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efee09048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b29669329acb4072"/>
    <x:sheet xmlns:r="http://schemas.openxmlformats.org/officeDocument/2006/relationships" name="01_学科" sheetId="2" r:id="R9d11195824494e5f"/>
    <x:sheet xmlns:r="http://schemas.openxmlformats.org/officeDocument/2006/relationships" name="02_课程" sheetId="3" r:id="Rbeb4710055c2496f"/>
    <x:sheet xmlns:r="http://schemas.openxmlformats.org/officeDocument/2006/relationships" name="03_单元库" sheetId="4" r:id="Ree6b9a9011794153"/>
    <x:sheet xmlns:r="http://schemas.openxmlformats.org/officeDocument/2006/relationships" name="04_课程单元关联" sheetId="5" r:id="R490428a100bb4505"/>
    <x:sheet xmlns:r="http://schemas.openxmlformats.org/officeDocument/2006/relationships" name="05_资格出口" sheetId="6" r:id="R42d0bee87f114c45"/>
    <x:sheet xmlns:r="http://schemas.openxmlformats.org/officeDocument/2006/relationships" name="06_考核组成" sheetId="7" r:id="Rc7a01d2928d74710"/>
    <x:sheet xmlns:r="http://schemas.openxmlformats.org/officeDocument/2006/relationships" name="07_单元考核关联" sheetId="8" r:id="Ra170a7f8dbed429f"/>
    <x:sheet xmlns:r="http://schemas.openxmlformats.org/officeDocument/2006/relationships" name="90_考试局结构参考" sheetId="9" r:id="R7588422b783f40b0"/>
    <x:sheet xmlns:r="http://schemas.openxmlformats.org/officeDocument/2006/relationships" name="91_来源索引" sheetId="10" r:id="R7a4103995d7643bd"/>
    <x:sheet xmlns:r="http://schemas.openxmlformats.org/officeDocument/2006/relationships" name="92_原CSV逐行核对" sheetId="11" r:id="R1320dca935a94920"/>
    <x:sheet xmlns:r="http://schemas.openxmlformats.org/officeDocument/2006/relationships" name="94_课程分类与版本" sheetId="12" r:id="R24c4b9cb36124d4e"/>
    <x:sheet xmlns:r="http://schemas.openxmlformats.org/officeDocument/2006/relationships" name="95_外部考试与量表" sheetId="13" r:id="R48a608b33f7e4013"/>
    <x:sheet xmlns:r="http://schemas.openxmlformats.org/officeDocument/2006/relationships" name="96_待补充与版本" sheetId="14" r:id="R2876d11f15034028"/>
    <x:sheet xmlns:r="http://schemas.openxmlformats.org/officeDocument/2006/relationships" name="97_导入与使用边界" sheetId="15" r:id="R613b700789ad4e9d"/>
    <x:sheet xmlns:r="http://schemas.openxmlformats.org/officeDocument/2006/relationships" name="93_全球覆盖总览" sheetId="16" r:id="Rbdee713dab0c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color rgb="FF253534"/>
      <x:name val="Arial"/>
    </x:font>
    <x:font>
      <x:b/>
      <x:sz val="11"/>
      <x:color rgb="FFFFFFFF"/>
      <x:name val="Arial"/>
    </x:font>
    <x:font>
      <x:sz val="11"/>
      <x:color rgb="FF596965"/>
      <x:name val="Arial"/>
    </x:font>
    <x:font>
      <x:sz val="11"/>
      <x:name val="Arial"/>
    </x:font>
    <x:font>
      <x:b/>
      <x:sz val="20"/>
      <x:color rgb="FFFFFFFF"/>
      <x:name val="Arial"/>
    </x:font>
    <x:font>
      <x:sz val="11"/>
      <x:color rgb="FF253534"/>
      <x:name val="Arial"/>
    </x:font>
    <x:font>
      <x:b/>
      <x:sz val="11"/>
      <x:color rgb="FF253534"/>
      <x:name val="Arial"/>
    </x:font>
    <x:font>
      <x:b/>
      <x:sz val="23"/>
      <x:color rgb="FF146E67"/>
      <x:name val="Arial"/>
    </x:font>
    <x:font>
      <x:b/>
      <x:sz val="12"/>
      <x:color rgb="FFFFFFFF"/>
      <x:name val="Arial"/>
    </x:font>
    <x:font>
      <x:sz val="11"/>
      <x:color rgb="FF5B6770"/>
      <x:name val="Arial"/>
    </x:font>
    <x:font>
      <x:b/>
      <x:sz val="11"/>
      <x:color rgb="FF173F3B"/>
      <x:name val="Arial"/>
    </x:font>
    <x:font>
      <x:b/>
      <x:sz val="23"/>
      <x:color rgb="FF173F3B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D3A"/>
      </x:patternFill>
    </x:fill>
    <x:fill>
      <x:patternFill patternType="solid">
        <x:fgColor rgb="FFEEF1F0"/>
      </x:patternFill>
    </x:fill>
    <x:fill>
      <x:patternFill patternType="solid">
        <x:fgColor rgb="FFFFFFFF"/>
      </x:patternFill>
    </x:fill>
    <x:fill>
      <x:patternFill patternType="solid">
        <x:fgColor rgb="FFEDF5F2"/>
      </x:patternFill>
    </x:fill>
    <x:fill>
      <x:patternFill patternType="solid">
        <x:fgColor rgb="FFF2F5F4"/>
      </x:patternFill>
    </x:fill>
    <x:fill>
      <x:patternFill patternType="solid">
        <x:fgColor rgb="FF146E67"/>
      </x:patternFill>
    </x:fill>
    <x:fill>
      <x:patternFill patternType="solid">
        <x:fgColor rgb="FFF5F8F7"/>
      </x:patternFill>
    </x:fill>
    <x:fill>
      <x:patternFill patternType="solid">
        <x:fgColor rgb="FF173F3B"/>
      </x:patternFill>
    </x:fill>
    <x:fill>
      <x:patternFill patternType="solid">
        <x:fgColor rgb="FFECF5F4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4" fillId="3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5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5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top" wrapText="1"/>
    </x:xf>
    <x:xf numFmtId="0" fontId="12" fillId="10" borderId="0" xfId="0" applyNumberFormat="1" applyFont="1" applyFill="1" applyBorder="1" applyAlignment="1">
      <x:alignment horizontal="left" vertical="top" wrapText="1"/>
    </x:xf>
    <x:xf numFmtId="0" fontId="13" fillId="10" borderId="0" xfId="0" applyNumberFormat="1" applyFont="1" applyFill="1" applyBorder="1" applyAlignment="1">
      <x:alignment horizontal="left" vertical="top" wrapText="1"/>
    </x:xf>
    <x:xf numFmtId="0" fontId="13" fillId="10" borderId="0" xfId="0" applyNumberFormat="1" applyFont="1" applyFill="1" applyBorder="1" applyAlignment="1">
      <x:alignment horizontal="left" vertical="top" wrapText="0"/>
    </x:xf>
    <x:xf numFmtId="0" fontId="13" fillId="1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9ed994948483c" /><Relationship Type="http://schemas.openxmlformats.org/officeDocument/2006/relationships/theme" Target="/xl/theme/theme1.xml" Id="Rffbfec08e2b44421" /><Relationship Type="http://schemas.openxmlformats.org/officeDocument/2006/relationships/sharedStrings" Target="/xl/sharedStrings.xml" Id="Ra12279bb0b1c4f45" /><Relationship Type="http://schemas.openxmlformats.org/officeDocument/2006/relationships/worksheet" Target="/xl/worksheets/sheet1.xml" Id="Rb29669329acb4072" /><Relationship Type="http://schemas.openxmlformats.org/officeDocument/2006/relationships/worksheet" Target="/xl/worksheets/sheet2.xml" Id="R9d11195824494e5f" /><Relationship Type="http://schemas.openxmlformats.org/officeDocument/2006/relationships/worksheet" Target="/xl/worksheets/sheet3.xml" Id="Rbeb4710055c2496f" /><Relationship Type="http://schemas.openxmlformats.org/officeDocument/2006/relationships/worksheet" Target="/xl/worksheets/sheet4.xml" Id="Ree6b9a9011794153" /><Relationship Type="http://schemas.openxmlformats.org/officeDocument/2006/relationships/worksheet" Target="/xl/worksheets/sheet5.xml" Id="R490428a100bb4505" /><Relationship Type="http://schemas.openxmlformats.org/officeDocument/2006/relationships/worksheet" Target="/xl/worksheets/sheet6.xml" Id="R42d0bee87f114c45" /><Relationship Type="http://schemas.openxmlformats.org/officeDocument/2006/relationships/worksheet" Target="/xl/worksheets/sheet7.xml" Id="Rc7a01d2928d74710" /><Relationship Type="http://schemas.openxmlformats.org/officeDocument/2006/relationships/worksheet" Target="/xl/worksheets/sheet8.xml" Id="Ra170a7f8dbed429f" /><Relationship Type="http://schemas.openxmlformats.org/officeDocument/2006/relationships/worksheet" Target="/xl/worksheets/sheet9.xml" Id="R7588422b783f40b0" /><Relationship Type="http://schemas.openxmlformats.org/officeDocument/2006/relationships/worksheet" Target="/xl/worksheets/sheet10.xml" Id="R7a4103995d7643bd" /><Relationship Type="http://schemas.openxmlformats.org/officeDocument/2006/relationships/worksheet" Target="/xl/worksheets/sheet11.xml" Id="R1320dca935a94920" /><Relationship Type="http://schemas.openxmlformats.org/officeDocument/2006/relationships/worksheet" Target="/xl/worksheets/sheet12.xml" Id="R24c4b9cb36124d4e" /><Relationship Type="http://schemas.openxmlformats.org/officeDocument/2006/relationships/worksheet" Target="/xl/worksheets/sheet13.xml" Id="R48a608b33f7e4013" /><Relationship Type="http://schemas.openxmlformats.org/officeDocument/2006/relationships/worksheet" Target="/xl/worksheets/sheet14.xml" Id="R2876d11f15034028" /><Relationship Type="http://schemas.openxmlformats.org/officeDocument/2006/relationships/worksheet" Target="/xl/worksheets/sheet15.xml" Id="R613b700789ad4e9d" /><Relationship Type="http://schemas.openxmlformats.org/officeDocument/2006/relationships/worksheet" Target="/xl/worksheets/sheet16.xml" Id="Rbdee713dab0c4f97" /></Relationships>
</file>

<file path=xl/tables/table1.xml><?xml version="1.0" encoding="utf-8"?>
<x:table xmlns:x="http://schemas.openxmlformats.org/spreadsheetml/2006/main" id="1" name="CatalogEx01" displayName="CatalogEx01" ref="A1:E40" headerRowCount="1" totalsRowCount="0" totalsRowShown="0">
  <x:tableColumns count="5">
    <x:tableColumn id="1" name="文件内学科标记*"/>
    <x:tableColumn id="2" name="学科名称*"/>
    <x:tableColumn id="3" name="英文名称"/>
    <x:tableColumn id="4" name="排序"/>
    <x:tableColumn id="5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Ex02" displayName="CatalogEx02" ref="A1:N520" headerRowCount="1" totalsRowCount="0" totalsRowShown="0">
  <x:tableColumns count="14">
    <x:tableColumn id="1" name="文件内课程标记*"/>
    <x:tableColumn id="2" name="所属学科标记*"/>
    <x:tableColumn id="3" name="课程名称*"/>
    <x:tableColumn id="4" name="英文课程名称"/>
    <x:tableColumn id="5" name="考试局／机构"/>
    <x:tableColumn id="6" name="课程体系／资格族"/>
    <x:tableColumn id="7" name="适用体系地区"/>
    <x:tableColumn id="8" name="教学组织方式*"/>
    <x:tableColumn id="9" name="考核结构"/>
    <x:tableColumn id="10" name="官方课程代码（选填）"/>
    <x:tableColumn id="11" name="规范／适用范围"/>
    <x:tableColumn id="12" name="排序"/>
    <x:tableColumn id="13" name="说明"/>
    <x:tableColumn id="14" name="来源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alogEx03" displayName="CatalogEx03" ref="A1:L213" headerRowCount="1" totalsRowCount="0" totalsRowShown="0">
  <x:tableColumns count="12">
    <x:tableColumn id="1" name="文件内单元标记*"/>
    <x:tableColumn id="2" name="单元名称*"/>
    <x:tableColumn id="3" name="英文单元名称"/>
    <x:tableColumn id="4" name="单元简称"/>
    <x:tableColumn id="5" name="官方单元代码（选填）"/>
    <x:tableColumn id="6" name="单元性质*"/>
    <x:tableColumn id="7" name="考试局／机构"/>
    <x:tableColumn id="8" name="课程体系／资格族"/>
    <x:tableColumn id="9" name="所属单元池"/>
    <x:tableColumn id="10" name="来源阶段标签"/>
    <x:tableColumn id="11" name="说明"/>
    <x:tableColumn id="12" name="来源编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alogEx04" displayName="CatalogEx04" ref="A1:G225" headerRowCount="1" totalsRowCount="0" totalsRowShown="0">
  <x:tableColumns count="7">
    <x:tableColumn id="1" name="文件内关联标记*"/>
    <x:tableColumn id="2" name="课程标记*"/>
    <x:tableColumn id="3" name="单元标记*"/>
    <x:tableColumn id="4" name="使用规则"/>
    <x:tableColumn id="5" name="本课程适用阶段"/>
    <x:tableColumn id="6" name="排序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talogEx05" displayName="CatalogEx05" ref="A1:I87" headerRowCount="1" totalsRowCount="0" totalsRowShown="0">
  <x:tableColumns count="9">
    <x:tableColumn id="1" name="文件内资格标记*"/>
    <x:tableColumn id="2" name="课程标记*"/>
    <x:tableColumn id="3" name="资格层级*"/>
    <x:tableColumn id="4" name="官方资格／Cash-in代码"/>
    <x:tableColumn id="5" name="代码类型"/>
    <x:tableColumn id="6" name="AS与完整资格关系"/>
    <x:tableColumn id="7" name="组成说明"/>
    <x:tableColumn id="8" name="资格UMS满分"/>
    <x:tableColumn id="9" name="来源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talogEx06" displayName="CatalogEx06" ref="A1:L74" headerRowCount="1" totalsRowCount="0" totalsRowShown="0">
  <x:tableColumns count="12">
    <x:tableColumn id="1" name="文件内考核标记*"/>
    <x:tableColumn id="2" name="考核名称*"/>
    <x:tableColumn id="3" name="英文考核名称"/>
    <x:tableColumn id="4" name="官方试卷代码／标签"/>
    <x:tableColumn id="5" name="考核形式*"/>
    <x:tableColumn id="6" name="考试时长（分钟）"/>
    <x:tableColumn id="7" name="原始分满分"/>
    <x:tableColumn id="8" name="UMS满分"/>
    <x:tableColumn id="9" name="考试局／机构"/>
    <x:tableColumn id="10" name="课程体系／资格族"/>
    <x:tableColumn id="11" name="说明"/>
    <x:tableColumn id="12" name="来源编号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talogEx07" displayName="CatalogEx07" ref="A1:G93" headerRowCount="1" totalsRowCount="0" totalsRowShown="0">
  <x:tableColumns count="7">
    <x:tableColumn id="1" name="文件内映射标记*"/>
    <x:tableColumn id="2" name="课程标记*"/>
    <x:tableColumn id="3" name="单元标记*"/>
    <x:tableColumn id="4" name="考核标记*"/>
    <x:tableColumn id="5" name="覆盖关系"/>
    <x:tableColumn id="6" name="说明"/>
    <x:tableColumn id="7" name="来源编号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1" name="CoverageEx" displayName="CoverageEx" ref="A1:F11" headerRowCount="1" totalsRowCount="0" totalsRowShown="0">
  <x:tableColumns count="6">
    <x:tableColumn id="1" name="机构"/>
    <x:tableColumn id="2" name="资格体系"/>
    <x:tableColumn id="3" name="本工作簿课程数"/>
    <x:tableColumn id="4" name="示例覆盖"/>
    <x:tableColumn id="5" name="不可混淆的边界"/>
    <x:tableColumn id="6" name="来源编号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sEx" displayName="SourcesEx" ref="A1:G89" headerRowCount="1" totalsRowCount="0" totalsRowShown="0">
  <x:tableColumns count="7">
    <x:tableColumn id="1" name="来源编号"/>
    <x:tableColumn id="2" name="资料名称"/>
    <x:tableColumn id="3" name="来源类型"/>
    <x:tableColumn id="4" name="版本／适用快照"/>
    <x:tableColumn id="5" name="核对日期"/>
    <x:tableColumn id="6" name="支持范围／限制"/>
    <x:tableColumn id="7" name="URL／文件位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awCheck" displayName="RawCheck" ref="A1:O80" headerRowCount="1" totalsRowCount="0" totalsRowShown="0">
  <x:tableColumns count="15">
    <x:tableColumn id="1" name="原CSV行号"/>
    <x:tableColumn id="2" name="所属科目（继承后）"/>
    <x:tableColumn id="3" name="原Cash-in（继承后）"/>
    <x:tableColumn id="4" name="原Unit Code"/>
    <x:tableColumn id="5" name="原Unit Name"/>
    <x:tableColumn id="6" name="原Duration"/>
    <x:tableColumn id="7" name="原Total UMS"/>
    <x:tableColumn id="8" name="核对后的资格代码"/>
    <x:tableColumn id="9" name="候选单元代码"/>
    <x:tableColumn id="10" name="候选单元名称"/>
    <x:tableColumn id="11" name="核定考试时长"/>
    <x:tableColumn id="12" name="核定UMS"/>
    <x:tableColumn id="13" name="处理状态"/>
    <x:tableColumn id="14" name="差异解释"/>
    <x:tableColumn id="15" name="来源编号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CourseRegistryV3" displayName="CourseRegistryV3" ref="A1:N520" headerRowCount="1" totalsRowCount="0" totalsRowShown="0">
  <x:tableColumns count="14">
    <x:tableColumn id="1" name="课程标记"/>
    <x:tableColumn id="2" name="体系键"/>
    <x:tableColumn id="3" name="记录类别"/>
    <x:tableColumn id="4" name="层级／选项"/>
    <x:tableColumn id="5" name="核对状态"/>
    <x:tableColumn id="6" name="规范／版本"/>
    <x:tableColumn id="7" name="适用年份约束"/>
    <x:tableColumn id="8" name="明细深度"/>
    <x:tableColumn id="9" name="GPA与成绩处理"/>
    <x:tableColumn id="10" name="启用方式"/>
    <x:tableColumn id="11" name="代码类型"/>
    <x:tableColumn id="12" name="外部考试键"/>
    <x:tableColumn id="13" name="来源编号"/>
    <x:tableColumn id="14" name="官方来源UR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3" name="ExternalTestsV3" displayName="ExternalTestsV3" ref="A1:M25" headerRowCount="1" totalsRowCount="0" totalsRowShown="0">
  <x:tableColumns count="13">
    <x:tableColumn id="1" name="外部考试键"/>
    <x:tableColumn id="2" name="备考课程标记"/>
    <x:tableColumn id="3" name="考试产品"/>
    <x:tableColumn id="4" name="考试机构"/>
    <x:tableColumn id="5" name="适用版本／日期"/>
    <x:tableColumn id="6" name="状态"/>
    <x:tableColumn id="7" name="考试内容／分项"/>
    <x:tableColumn id="8" name="成绩量表"/>
    <x:tableColumn id="9" name="使用边界"/>
    <x:tableColumn id="10" name="重要说明"/>
    <x:tableColumn id="11" name="数据性质"/>
    <x:tableColumn id="12" name="来源编号"/>
    <x:tableColumn id="13" name="官方来源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4" name="CoverageBacklogV3" displayName="CoverageBacklogV3" ref="A1:I29" headerRowCount="1" totalsRowCount="0" totalsRowShown="0">
  <x:tableColumns count="9">
    <x:tableColumn id="1" name="事项标记"/>
    <x:tableColumn id="2" name="体系键"/>
    <x:tableColumn id="3" name="待补充／版本事项"/>
    <x:tableColumn id="4" name="状态类别"/>
    <x:tableColumn id="5" name="课程入库状态"/>
    <x:tableColumn id="6" name="处理要求"/>
    <x:tableColumn id="7" name="补充说明"/>
    <x:tableColumn id="8" name="来源编号"/>
    <x:tableColumn id="9" name="官方来源UR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5" name="ImportRulesV3" displayName="ImportRulesV3" ref="A1:D13" headerRowCount="1" totalsRowCount="0" totalsRowShown="0">
  <x:tableColumns count="4">
    <x:tableColumn id="1" name="主题"/>
    <x:tableColumn id="2" name="关联工作表"/>
    <x:tableColumn id="3" name="规则"/>
    <x:tableColumn id="4" name="注意事项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6" name="GlobalCoverageV3" displayName="GlobalCoverageV3" ref="A8:H32" headerRowCount="1" totalsRowCount="0" totalsRowShown="0">
  <x:tableColumns count="8">
    <x:tableColumn id="1" name="体系键"/>
    <x:tableColumn id="2" name="课程族／机构"/>
    <x:tableColumn id="3" name="地区"/>
    <x:tableColumn id="4" name="原条目"/>
    <x:tableColumn id="5" name="新增"/>
    <x:tableColumn id="6" name="现条目"/>
    <x:tableColumn id="7" name="本版覆盖／限制"/>
    <x:tableColumn id="8" name="官方来源入口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a522013ace40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7f6fde7bb842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bd48429f564a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4e18efc1f846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3bc7240f7745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26d18be0294d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dd369c7a6141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3ec822e9d24a4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a79a06bea094a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d212ec7ae05481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7d4ffe76d7c49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8e2204116924fd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b5ee8a2323494e6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f0b3d90ec218469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6be56c971d32450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42" t="str">
        <x:v>国际升学课程与考试目录｜扩展导入工作簿 v3.0</x:v>
      </x:c>
      <x:c r="B1" s="42"/>
      <x:c r="C1" s="42"/>
      <x:c r="D1" s="42"/>
      <x:c r="E1" s="42"/>
      <x:c r="F1" s="42"/>
      <x:c r="G1" s="42"/>
      <x:c r="H1" s="42"/>
    </x:row>
    <x:row r="2" ht="26" customHeight="1">
      <x:c r="A2" s="42"/>
      <x:c r="B2" s="42"/>
      <x:c r="C2" s="42"/>
      <x:c r="D2" s="42"/>
      <x:c r="E2" s="42"/>
      <x:c r="F2" s="42"/>
      <x:c r="G2" s="42"/>
      <x:c r="H2" s="42"/>
    </x:row>
    <x:row r="3" ht="23" customHeight="1">
      <x:c r="A3" s="45" t="str">
        <x:v>保留原A Level结构示例＋全球课程目录增补。01–07为原业务表结构；90–97为参考/扩展说明，不应被旧导入器无差别导入。</x:v>
      </x:c>
      <x:c r="B3" s="45"/>
      <x:c r="C3" s="45"/>
      <x:c r="D3" s="45"/>
      <x:c r="E3" s="45"/>
      <x:c r="F3" s="45"/>
      <x:c r="G3" s="45"/>
      <x:c r="H3" s="45"/>
    </x:row>
    <x:row r="4" ht="23" customHeight="1">
      <x:c r="A4" s="45"/>
      <x:c r="B4" s="45"/>
      <x:c r="C4" s="45"/>
      <x:c r="D4" s="45"/>
      <x:c r="E4" s="45"/>
      <x:c r="F4" s="45"/>
      <x:c r="G4" s="45"/>
      <x:c r="H4" s="45"/>
    </x:row>
    <x:row r="5" ht="22" customHeight="1">
      <x:c r="A5" s="49" t="str">
        <x:v>学科</x:v>
      </x:c>
      <x:c r="B5" s="49"/>
      <x:c r="C5" s="49" t="str">
        <x:v>课程</x:v>
      </x:c>
      <x:c r="D5" s="49"/>
      <x:c r="E5" s="49" t="str">
        <x:v>唯一单元</x:v>
      </x:c>
      <x:c r="F5" s="49"/>
      <x:c r="G5" s="49" t="str">
        <x:v>课程–单元关联</x:v>
      </x:c>
      <x:c r="H5" s="49"/>
    </x:row>
    <x:row r="6" ht="24" customHeight="1">
      <x:c r="A6" s="52" t="n">
        <x:f>COUNTA('01_学科'!A2:A40)</x:f>
        <x:v>39</x:v>
      </x:c>
      <x:c r="B6" s="52"/>
      <x:c r="C6" s="52" t="n">
        <x:f>COUNTA('02_课程'!A2:A520)</x:f>
        <x:v>519</x:v>
      </x:c>
      <x:c r="D6" s="52"/>
      <x:c r="E6" s="52" t="n">
        <x:f>COUNTA('03_单元库'!A2:A213)</x:f>
        <x:v>212</x:v>
      </x:c>
      <x:c r="F6" s="52"/>
      <x:c r="G6" s="52" t="n">
        <x:f>COUNTA('04_课程单元关联'!A2:A225)</x:f>
        <x:v>224</x:v>
      </x:c>
      <x:c r="H6" s="52"/>
    </x:row>
    <x:row r="7" ht="24" customHeight="1">
      <x:c r="A7" s="52"/>
      <x:c r="B7" s="52"/>
      <x:c r="C7" s="52"/>
      <x:c r="D7" s="52"/>
      <x:c r="E7" s="52"/>
      <x:c r="F7" s="52"/>
      <x:c r="G7" s="52"/>
      <x:c r="H7" s="52"/>
    </x:row>
    <x:row r="8" ht="24" customHeight="1">
      <x:c r="A8" s="33"/>
      <x:c r="B8" s="33"/>
      <x:c r="C8" s="33"/>
      <x:c r="D8" s="33"/>
      <x:c r="E8" s="33"/>
      <x:c r="F8" s="33"/>
      <x:c r="G8" s="33"/>
      <x:c r="H8" s="33"/>
    </x:row>
    <x:row r="9" ht="27" customHeight="1">
      <x:c r="A9" s="55" t="str">
        <x:v>01  填写顺序</x:v>
      </x:c>
      <x:c r="B9" s="55"/>
      <x:c r="C9" s="55"/>
      <x:c r="D9" s="55"/>
      <x:c r="E9" s="55"/>
      <x:c r="F9" s="55"/>
      <x:c r="G9" s="55"/>
      <x:c r="H9" s="55"/>
    </x:row>
    <x:row r="10" ht="25" customHeight="1">
      <x:c r="A10" s="58" t="str">
        <x:v>先看93覆盖总览、94分类与版本，再选择01–04的课程及依赖记录。学历学科、核心项目、备考课必须分类处理；新增条目不代表本校已批准开设。</x:v>
      </x:c>
      <x:c r="B10" s="58"/>
      <x:c r="C10" s="58"/>
      <x:c r="D10" s="58"/>
      <x:c r="E10" s="58"/>
      <x:c r="F10" s="58"/>
      <x:c r="G10" s="58"/>
      <x:c r="H10" s="58"/>
    </x:row>
    <x:row r="11" ht="25" customHeight="1">
      <x:c r="A11" s="58"/>
      <x:c r="B11" s="58"/>
      <x:c r="C11" s="58"/>
      <x:c r="D11" s="58"/>
      <x:c r="E11" s="58"/>
      <x:c r="F11" s="58"/>
      <x:c r="G11" s="58"/>
      <x:c r="H11" s="58"/>
    </x:row>
    <x:row r="12" ht="25" customHeight="1">
      <x:c r="A12" s="61" t="str">
        <x:v>S/C/U/L 标记仅在当前工作簿内连线，不是学校永久代码、官方代码或数据库 ID。仅有预置标记的空行忽略，复制到另一文件不自动匹配旧对象。</x:v>
      </x:c>
      <x:c r="B12" s="61"/>
      <x:c r="C12" s="61"/>
      <x:c r="D12" s="61"/>
      <x:c r="E12" s="61"/>
      <x:c r="F12" s="61"/>
      <x:c r="G12" s="61"/>
      <x:c r="H12" s="61"/>
    </x:row>
    <x:row r="13" ht="25" customHeight="1">
      <x:c r="A13" s="61"/>
      <x:c r="B13" s="61"/>
      <x:c r="C13" s="61"/>
      <x:c r="D13" s="61"/>
      <x:c r="E13" s="61"/>
      <x:c r="F13" s="61"/>
      <x:c r="G13" s="61"/>
      <x:c r="H13" s="61"/>
    </x:row>
    <x:row r="14" ht="25" customHeight="1">
      <x:c r="A14" s="58" t="str">
        <x:v>05–07保留原资格出口、考核组成和映射示例；新增体系主要到课程目录层，尚未逐科补全试卷、NEA、资格兑换与评分规则。</x:v>
      </x:c>
      <x:c r="B14" s="58"/>
      <x:c r="C14" s="58"/>
      <x:c r="D14" s="58"/>
      <x:c r="E14" s="58"/>
      <x:c r="F14" s="58"/>
      <x:c r="G14" s="58"/>
      <x:c r="H14" s="58"/>
    </x:row>
    <x:row r="15" ht="25" customHeight="1">
      <x:c r="A15" s="58"/>
      <x:c r="B15" s="58"/>
      <x:c r="C15" s="58"/>
      <x:c r="D15" s="58"/>
      <x:c r="E15" s="58"/>
      <x:c r="F15" s="58"/>
      <x:c r="G15" s="58"/>
      <x:c r="H15" s="58"/>
    </x:row>
    <x:row r="16" ht="24" customHeight="1">
      <x:c r="A16" s="33"/>
      <x:c r="B16" s="33"/>
      <x:c r="C16" s="33"/>
      <x:c r="D16" s="33"/>
      <x:c r="E16" s="33"/>
      <x:c r="F16" s="33"/>
      <x:c r="G16" s="33"/>
      <x:c r="H16" s="33"/>
    </x:row>
    <x:row r="17" ht="27" customHeight="1">
      <x:c r="A17" s="55" t="str">
        <x:v>02  不再把所有考试局强行套进一种结构</x:v>
      </x:c>
      <x:c r="B17" s="55"/>
      <x:c r="C17" s="55"/>
      <x:c r="D17" s="55"/>
      <x:c r="E17" s="55"/>
      <x:c r="F17" s="55"/>
      <x:c r="G17" s="55"/>
      <x:c r="H17" s="55"/>
    </x:row>
    <x:row r="18" ht="25" customHeight="1">
      <x:c r="A18" s="58" t="str">
        <x:v>Edexcel IAL：Cash-in ≠ Unit Code ≠ 试卷形式代码。Mathematics、Further Mathematics、Pure Mathematics 复用一个数学单元池，再分别设置课程关联和资格组合。</x:v>
      </x:c>
      <x:c r="B18" s="58"/>
      <x:c r="C18" s="58"/>
      <x:c r="D18" s="58"/>
      <x:c r="E18" s="58"/>
      <x:c r="F18" s="58"/>
      <x:c r="G18" s="58"/>
      <x:c r="H18" s="58"/>
    </x:row>
    <x:row r="19" ht="25" customHeight="1">
      <x:c r="A19" s="58"/>
      <x:c r="B19" s="58"/>
      <x:c r="C19" s="58"/>
      <x:c r="D19" s="58"/>
      <x:c r="E19" s="58"/>
      <x:c r="F19" s="58"/>
      <x:c r="G19" s="58"/>
      <x:c r="H19" s="58"/>
    </x:row>
    <x:row r="20" ht="25" customHeight="1">
      <x:c r="A20" s="61" t="str">
        <x:v>AQA／OCR／Edexcel UK／Eduqas：线性考核不代表不能分块教学。校内教学板块必须明确标注，不能把一张覆盖多内容的试卷硬当成独立可兑换单元。</x:v>
      </x:c>
      <x:c r="B20" s="61"/>
      <x:c r="C20" s="61"/>
      <x:c r="D20" s="61"/>
      <x:c r="E20" s="61"/>
      <x:c r="F20" s="61"/>
      <x:c r="G20" s="61"/>
      <x:c r="H20" s="61"/>
    </x:row>
    <x:row r="21" ht="25" customHeight="1">
      <x:c r="A21" s="61"/>
      <x:c r="B21" s="61"/>
      <x:c r="C21" s="61"/>
      <x:c r="D21" s="61"/>
      <x:c r="E21" s="61"/>
      <x:c r="F21" s="61"/>
      <x:c r="G21" s="61"/>
      <x:c r="H21" s="61"/>
    </x:row>
    <x:row r="22" ht="25" customHeight="1">
      <x:c r="A22" s="58" t="str">
        <x:v>IB、AP、Singapore A Level、HKDSE、BC/OSSD、VCE/HSC及CBSE分别建系。SAT/ACT与英语考试按备考课纳入02，外部考试及量表另见95。</x:v>
      </x:c>
      <x:c r="B22" s="58"/>
      <x:c r="C22" s="58"/>
      <x:c r="D22" s="58"/>
      <x:c r="E22" s="58"/>
      <x:c r="F22" s="58"/>
      <x:c r="G22" s="58"/>
      <x:c r="H22" s="58"/>
    </x:row>
    <x:row r="23" ht="25" customHeight="1">
      <x:c r="A23" s="58"/>
      <x:c r="B23" s="58"/>
      <x:c r="C23" s="58"/>
      <x:c r="D23" s="58"/>
      <x:c r="E23" s="58"/>
      <x:c r="F23" s="58"/>
      <x:c r="G23" s="58"/>
      <x:c r="H23" s="58"/>
    </x:row>
    <x:row r="24" ht="24" customHeight="1">
      <x:c r="A24" s="33"/>
      <x:c r="B24" s="33"/>
      <x:c r="C24" s="33"/>
      <x:c r="D24" s="33"/>
      <x:c r="E24" s="33"/>
      <x:c r="F24" s="33"/>
      <x:c r="G24" s="33"/>
      <x:c r="H24" s="33"/>
    </x:row>
    <x:row r="25" ht="27" customHeight="1">
      <x:c r="A25" s="55" t="str">
        <x:v>03  代码、版本与课程层级</x:v>
      </x:c>
      <x:c r="B25" s="55"/>
      <x:c r="C25" s="55"/>
      <x:c r="D25" s="55"/>
      <x:c r="E25" s="55"/>
      <x:c r="F25" s="55"/>
      <x:c r="G25" s="55"/>
      <x:c r="H25" s="55"/>
    </x:row>
    <x:row r="26" ht="25" customHeight="1">
      <x:c r="A26" s="58" t="str">
        <x:v>已核实的官方代码按文本保存；没有可靠来源的代码留空。原示例“未设置／不适用”仍需规范化，不能入库为真实代码或零分。</x:v>
      </x:c>
      <x:c r="B26" s="58"/>
      <x:c r="C26" s="58"/>
      <x:c r="D26" s="58"/>
      <x:c r="E26" s="58"/>
      <x:c r="F26" s="58"/>
      <x:c r="G26" s="58"/>
      <x:c r="H26" s="58"/>
    </x:row>
    <x:row r="27" ht="25" customHeight="1">
      <x:c r="A27" s="58"/>
      <x:c r="B27" s="58"/>
      <x:c r="C27" s="58"/>
      <x:c r="D27" s="58"/>
      <x:c r="E27" s="58"/>
      <x:c r="F27" s="58"/>
      <x:c r="G27" s="58"/>
      <x:c r="H27" s="58"/>
    </x:row>
    <x:row r="28" ht="25" customHeight="1">
      <x:c r="A28" s="61" t="str">
        <x:v>课程标记、名称、所属学科、组织方式及关联必须明确。SL/HL、H1/H2/H3等分开记录；同码换版也必须携带适用考季，不能用代码单独判版本。</x:v>
      </x:c>
      <x:c r="B28" s="61"/>
      <x:c r="C28" s="61"/>
      <x:c r="D28" s="61"/>
      <x:c r="E28" s="61"/>
      <x:c r="F28" s="61"/>
      <x:c r="G28" s="61"/>
      <x:c r="H28" s="61"/>
    </x:row>
    <x:row r="29" ht="25" customHeight="1">
      <x:c r="A29" s="61"/>
      <x:c r="B29" s="61"/>
      <x:c r="C29" s="61"/>
      <x:c r="D29" s="61"/>
      <x:c r="E29" s="61"/>
      <x:c r="F29" s="61"/>
      <x:c r="G29" s="61"/>
      <x:c r="H29" s="61"/>
    </x:row>
    <x:row r="30" ht="25" customHeight="1">
      <x:c r="A30" s="58" t="str">
        <x:v>官方名称优先保留英文；中文译名和校内教学划分不是官方代码。已有原始课程不改写；新增候选按来源与本校办学范围逐项批准。</x:v>
      </x:c>
      <x:c r="B30" s="58"/>
      <x:c r="C30" s="58"/>
      <x:c r="D30" s="58"/>
      <x:c r="E30" s="58"/>
      <x:c r="F30" s="58"/>
      <x:c r="G30" s="58"/>
      <x:c r="H30" s="58"/>
    </x:row>
    <x:row r="31" ht="25" customHeight="1">
      <x:c r="A31" s="58"/>
      <x:c r="B31" s="58"/>
      <x:c r="C31" s="58"/>
      <x:c r="D31" s="58"/>
      <x:c r="E31" s="58"/>
      <x:c r="F31" s="58"/>
      <x:c r="G31" s="58"/>
      <x:c r="H31" s="58"/>
    </x:row>
    <x:row r="32" ht="24" customHeight="1">
      <x:c r="A32" s="33"/>
      <x:c r="B32" s="33"/>
      <x:c r="C32" s="33"/>
      <x:c r="D32" s="33"/>
      <x:c r="E32" s="33"/>
      <x:c r="F32" s="33"/>
      <x:c r="G32" s="33"/>
      <x:c r="H32" s="33"/>
    </x:row>
    <x:row r="33" ht="27" customHeight="1">
      <x:c r="A33" s="55" t="str">
        <x:v>04  导入边界与来源</x:v>
      </x:c>
      <x:c r="B33" s="55"/>
      <x:c r="C33" s="55"/>
      <x:c r="D33" s="55"/>
      <x:c r="E33" s="55"/>
      <x:c r="F33" s="55"/>
      <x:c r="G33" s="55"/>
      <x:c r="H33" s="55"/>
    </x:row>
    <x:row r="34" ht="25" customHeight="1">
      <x:c r="A34" s="58" t="str">
        <x:v>导入只建立课程目录与明确选择的扩展关系；不创建教学班、教师任命、学生选课或权限。上传 → 预览 → 明确匹配 → 确认提交；不按同名、空代码或相同短码静默合并。</x:v>
      </x:c>
      <x:c r="B34" s="58"/>
      <x:c r="C34" s="58"/>
      <x:c r="D34" s="58"/>
      <x:c r="E34" s="58"/>
      <x:c r="F34" s="58"/>
      <x:c r="G34" s="58"/>
      <x:c r="H34" s="58"/>
    </x:row>
    <x:row r="35" ht="25" customHeight="1">
      <x:c r="A35" s="58"/>
      <x:c r="B35" s="58"/>
      <x:c r="C35" s="58"/>
      <x:c r="D35" s="58"/>
      <x:c r="E35" s="58"/>
      <x:c r="F35" s="58"/>
      <x:c r="G35" s="58"/>
      <x:c r="H35" s="58"/>
    </x:row>
    <x:row r="36" ht="25" customHeight="1">
      <x:c r="A36" s="61" t="str">
        <x:v>保留92原CSV逐行核对的79条记录。96列出未展开体系、未来项目、旧码末考和待核版本；这些事项不自动作为当前可开课程。</x:v>
      </x:c>
      <x:c r="B36" s="61"/>
      <x:c r="C36" s="61"/>
      <x:c r="D36" s="61"/>
      <x:c r="E36" s="61"/>
      <x:c r="F36" s="61"/>
      <x:c r="G36" s="61"/>
      <x:c r="H36" s="61"/>
    </x:row>
    <x:row r="37" ht="25" customHeight="1">
      <x:c r="A37" s="61"/>
      <x:c r="B37" s="61"/>
      <x:c r="C37" s="61"/>
      <x:c r="D37" s="61"/>
      <x:c r="E37" s="61"/>
      <x:c r="F37" s="61"/>
      <x:c r="G37" s="61"/>
      <x:c r="H37" s="61"/>
    </x:row>
    <x:row r="38" ht="25" customHeight="1">
      <x:c r="A38" s="58" t="str">
        <x:v>本轮核对日期：2026-09-17。来源与支持范围见91，逐课程来源见94。目录核对不等于逐份大纲核对；不声称穷尽全球全部课程或录取要求。</x:v>
      </x:c>
      <x:c r="B38" s="58"/>
      <x:c r="C38" s="58"/>
      <x:c r="D38" s="58"/>
      <x:c r="E38" s="58"/>
      <x:c r="F38" s="58"/>
      <x:c r="G38" s="58"/>
      <x:c r="H38" s="58"/>
    </x:row>
    <x:row r="39" ht="25" customHeight="1">
      <x:c r="A39" s="58"/>
      <x:c r="B39" s="58"/>
      <x:c r="C39" s="58"/>
      <x:c r="D39" s="58"/>
      <x:c r="E39" s="58"/>
      <x:c r="F39" s="58"/>
      <x:c r="G39" s="58"/>
      <x:c r="H39" s="58"/>
    </x:row>
    <x:row r="40" ht="24" customHeight="1">
      <x:c r="A40" s="33"/>
      <x:c r="B40" s="33"/>
      <x:c r="C40" s="33"/>
      <x:c r="D40" s="33"/>
      <x:c r="E40" s="33"/>
      <x:c r="F40" s="33"/>
      <x:c r="G40" s="33"/>
      <x:c r="H40" s="33"/>
    </x:row>
    <x:row r="41" ht="25" customHeight="1">
      <x:c r="A41" s="61" t="str">
        <x:v>01–07列结构保留；94/95分类与量表由 v3.0 导入器支持。本分发示例已通过 weekly_feedback_ui 预览与导入回归；正式导入仍须先预览并逐项确认。</x:v>
      </x:c>
      <x:c r="B41" s="61"/>
      <x:c r="C41" s="61"/>
      <x:c r="D41" s="61"/>
      <x:c r="E41" s="61"/>
      <x:c r="F41" s="61"/>
      <x:c r="G41" s="61"/>
      <x:c r="H41" s="61"/>
    </x:row>
    <x:row r="42" ht="25" customHeight="1">
      <x:c r="A42" s="61"/>
      <x:c r="B42" s="61"/>
      <x:c r="C42" s="61"/>
      <x:c r="D42" s="61"/>
      <x:c r="E42" s="61"/>
      <x:c r="F42" s="61"/>
      <x:c r="G42" s="61"/>
      <x:c r="H42" s="61"/>
    </x:row>
    <x:row r="43" ht="25" customHeight="1">
      <x:c r="A43" s="61"/>
      <x:c r="B43" s="61"/>
      <x:c r="C43" s="61"/>
      <x:c r="D43" s="61"/>
      <x:c r="E43" s="61"/>
      <x:c r="F43" s="61"/>
      <x:c r="G43" s="61"/>
      <x:c r="H43" s="61"/>
    </x:row>
    <x:row r="44" ht="24" customHeight="1">
      <x:c r="A44" s="33"/>
      <x:c r="B44" s="33"/>
      <x:c r="C44" s="33"/>
      <x:c r="D44" s="33"/>
      <x:c r="E44" s="33"/>
      <x:c r="F44" s="33"/>
      <x:c r="G44" s="33"/>
      <x:c r="H44" s="33"/>
    </x:row>
    <x:row r="45" ht="25" customHeight="1">
      <x:c r="A45" s="61" t="str">
        <x:v>先筛选后预览；不要批量启用整个目录。保留学科、单元和关联依赖。外部考试成绩不自动换GPA；不存在单元的课程无需制造默认单元。</x:v>
      </x:c>
      <x:c r="B45" s="61"/>
      <x:c r="C45" s="61"/>
      <x:c r="D45" s="61"/>
      <x:c r="E45" s="61"/>
      <x:c r="F45" s="61"/>
      <x:c r="G45" s="61"/>
      <x:c r="H45" s="61"/>
    </x:row>
    <x:row r="46" ht="25" customHeight="1">
      <x:c r="A46" s="61"/>
      <x:c r="B46" s="61"/>
      <x:c r="C46" s="61"/>
      <x:c r="D46" s="61"/>
      <x:c r="E46" s="61"/>
      <x:c r="F46" s="61"/>
      <x:c r="G46" s="61"/>
      <x:c r="H46" s="61"/>
    </x:row>
    <x:row r="47" ht="24" customHeight="1">
      <x:c r="A47" s="33"/>
      <x:c r="B47" s="33"/>
      <x:c r="C47" s="33"/>
      <x:c r="D47" s="33"/>
      <x:c r="E47" s="33"/>
      <x:c r="F47" s="33"/>
      <x:c r="G47" s="33"/>
      <x:c r="H47" s="33"/>
    </x:row>
  </x:sheetData>
  <x:mergeCells>
    <x:mergeCell ref="A1:H2"/>
    <x:mergeCell ref="A3:H4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0:H11"/>
    <x:mergeCell ref="A12:H13"/>
    <x:mergeCell ref="A14:H15"/>
    <x:mergeCell ref="A17:H17"/>
    <x:mergeCell ref="A18:H19"/>
    <x:mergeCell ref="A20:H21"/>
    <x:mergeCell ref="A22:H23"/>
    <x:mergeCell ref="A25:H25"/>
    <x:mergeCell ref="A26:H27"/>
    <x:mergeCell ref="A28:H29"/>
    <x:mergeCell ref="A30:H31"/>
    <x:mergeCell ref="A33:H33"/>
    <x:mergeCell ref="A34:H35"/>
    <x:mergeCell ref="A36:H37"/>
    <x:mergeCell ref="A38:H39"/>
    <x:mergeCell ref="A41:H43"/>
    <x:mergeCell ref="A45:H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25" hidden="0" customWidth="1"/>
    <x:col min="4" max="4" width="9" hidden="0" customWidth="1"/>
    <x:col min="5" max="5" width="65" hidden="0" customWidth="1"/>
  </x:cols>
  <x:sheetData>
    <x:row r="1" ht="40" customHeight="1">
      <x:c r="A1" s="13" t="str">
        <x:v>文件内学科标记*</x:v>
      </x:c>
      <x:c r="B1" s="13" t="str">
        <x:v>学科名称*</x:v>
      </x:c>
      <x:c r="C1" s="13" t="str">
        <x:v>英文名称</x:v>
      </x:c>
      <x:c r="D1" s="13" t="str">
        <x:v>排序</x:v>
      </x:c>
      <x:c r="E1" s="13" t="str">
        <x:v>说明</x:v>
      </x:c>
    </x:row>
    <x:row r="2" ht="52" customHeight="1">
      <x:c r="A2" s="20" t="str">
        <x:v>S001</x:v>
      </x:c>
      <x:c r="B2" s="21" t="str">
        <x:v>数学</x:v>
      </x:c>
      <x:c r="C2" s="21" t="str">
        <x:v>Mathematics</x:v>
      </x:c>
      <x:c r="D2" s="24" t="n">
        <x:v>10</x:v>
      </x:c>
      <x:c r="E2" s="21" t="str">
        <x:v>校内学科分类；课程体系与考试局在课程表区分</x:v>
      </x:c>
    </x:row>
    <x:row r="3" ht="52" customHeight="1">
      <x:c r="A3" s="20" t="str">
        <x:v>S002</x:v>
      </x:c>
      <x:c r="B3" s="21" t="str">
        <x:v>物理</x:v>
      </x:c>
      <x:c r="C3" s="21" t="str">
        <x:v>Physics</x:v>
      </x:c>
      <x:c r="D3" s="24" t="n">
        <x:v>20</x:v>
      </x:c>
      <x:c r="E3" s="21" t="str">
        <x:v>校内学科分类；课程体系与考试局在课程表区分</x:v>
      </x:c>
    </x:row>
    <x:row r="4" ht="52" customHeight="1">
      <x:c r="A4" s="20" t="str">
        <x:v>S003</x:v>
      </x:c>
      <x:c r="B4" s="21" t="str">
        <x:v>化学</x:v>
      </x:c>
      <x:c r="C4" s="21" t="str">
        <x:v>Chemistry</x:v>
      </x:c>
      <x:c r="D4" s="24" t="n">
        <x:v>30</x:v>
      </x:c>
      <x:c r="E4" s="21" t="str">
        <x:v>校内学科分类；课程体系与考试局在课程表区分</x:v>
      </x:c>
    </x:row>
    <x:row r="5" ht="52" customHeight="1">
      <x:c r="A5" s="20" t="str">
        <x:v>S004</x:v>
      </x:c>
      <x:c r="B5" s="21" t="str">
        <x:v>生物</x:v>
      </x:c>
      <x:c r="C5" s="21" t="str">
        <x:v>Biology</x:v>
      </x:c>
      <x:c r="D5" s="24" t="n">
        <x:v>40</x:v>
      </x:c>
      <x:c r="E5" s="21" t="str">
        <x:v>校内学科分类；课程体系与考试局在课程表区分</x:v>
      </x:c>
    </x:row>
    <x:row r="6" ht="52" customHeight="1">
      <x:c r="A6" s="20" t="str">
        <x:v>S005</x:v>
      </x:c>
      <x:c r="B6" s="21" t="str">
        <x:v>计算机</x:v>
      </x:c>
      <x:c r="C6" s="21" t="str">
        <x:v>Computer Science</x:v>
      </x:c>
      <x:c r="D6" s="24" t="n">
        <x:v>50</x:v>
      </x:c>
      <x:c r="E6" s="21" t="str">
        <x:v>校内学科分类；课程体系与考试局在课程表区分</x:v>
      </x:c>
    </x:row>
    <x:row r="7" ht="52" customHeight="1">
      <x:c r="A7" s="20" t="str">
        <x:v>S006</x:v>
      </x:c>
      <x:c r="B7" s="21" t="str">
        <x:v>信息技术</x:v>
      </x:c>
      <x:c r="C7" s="21" t="str">
        <x:v>Information Technology</x:v>
      </x:c>
      <x:c r="D7" s="24" t="n">
        <x:v>60</x:v>
      </x:c>
      <x:c r="E7" s="21" t="str">
        <x:v>校内学科分类；课程体系与考试局在课程表区分</x:v>
      </x:c>
    </x:row>
    <x:row r="8" ht="52" customHeight="1">
      <x:c r="A8" s="20" t="str">
        <x:v>S007</x:v>
      </x:c>
      <x:c r="B8" s="21" t="str">
        <x:v>经济</x:v>
      </x:c>
      <x:c r="C8" s="21" t="str">
        <x:v>Economics</x:v>
      </x:c>
      <x:c r="D8" s="24" t="n">
        <x:v>70</x:v>
      </x:c>
      <x:c r="E8" s="21" t="str">
        <x:v>校内学科分类；课程体系与考试局在课程表区分</x:v>
      </x:c>
    </x:row>
    <x:row r="9" ht="52" customHeight="1">
      <x:c r="A9" s="20" t="str">
        <x:v>S008</x:v>
      </x:c>
      <x:c r="B9" s="21" t="str">
        <x:v>商科</x:v>
      </x:c>
      <x:c r="C9" s="21" t="str">
        <x:v>Business</x:v>
      </x:c>
      <x:c r="D9" s="24" t="n">
        <x:v>80</x:v>
      </x:c>
      <x:c r="E9" s="21" t="str">
        <x:v>校内学科分类；课程体系与考试局在课程表区分</x:v>
      </x:c>
    </x:row>
    <x:row r="10" ht="52" customHeight="1">
      <x:c r="A10" s="20" t="str">
        <x:v>S009</x:v>
      </x:c>
      <x:c r="B10" s="21" t="str">
        <x:v>会计</x:v>
      </x:c>
      <x:c r="C10" s="21" t="str">
        <x:v>Accounting</x:v>
      </x:c>
      <x:c r="D10" s="24" t="n">
        <x:v>90</x:v>
      </x:c>
      <x:c r="E10" s="21" t="str">
        <x:v>校内学科分类；课程体系与考试局在课程表区分</x:v>
      </x:c>
    </x:row>
    <x:row r="11" ht="52" customHeight="1">
      <x:c r="A11" s="20" t="str">
        <x:v>S010</x:v>
      </x:c>
      <x:c r="B11" s="21" t="str">
        <x:v>英语</x:v>
      </x:c>
      <x:c r="C11" s="21" t="str">
        <x:v>English</x:v>
      </x:c>
      <x:c r="D11" s="24" t="n">
        <x:v>100</x:v>
      </x:c>
      <x:c r="E11" s="21" t="str">
        <x:v>校内学科分类；课程体系与考试局在课程表区分</x:v>
      </x:c>
    </x:row>
    <x:row r="12" ht="52" customHeight="1">
      <x:c r="A12" s="20" t="str">
        <x:v>S011</x:v>
      </x:c>
      <x:c r="B12" s="21" t="str">
        <x:v>历史</x:v>
      </x:c>
      <x:c r="C12" s="21" t="str">
        <x:v>History</x:v>
      </x:c>
      <x:c r="D12" s="24" t="n">
        <x:v>110</x:v>
      </x:c>
      <x:c r="E12" s="21" t="str">
        <x:v>校内学科分类；课程体系与考试局在课程表区分</x:v>
      </x:c>
    </x:row>
    <x:row r="13" ht="52" customHeight="1">
      <x:c r="A13" s="20" t="str">
        <x:v>S012</x:v>
      </x:c>
      <x:c r="B13" s="21" t="str">
        <x:v>地理</x:v>
      </x:c>
      <x:c r="C13" s="21" t="str">
        <x:v>Geography</x:v>
      </x:c>
      <x:c r="D13" s="24" t="n">
        <x:v>120</x:v>
      </x:c>
      <x:c r="E13" s="21" t="str">
        <x:v>校内学科分类；课程体系与考试局在课程表区分</x:v>
      </x:c>
    </x:row>
    <x:row r="14" ht="52" customHeight="1">
      <x:c r="A14" s="20" t="str">
        <x:v>S013</x:v>
      </x:c>
      <x:c r="B14" s="21" t="str">
        <x:v>心理学</x:v>
      </x:c>
      <x:c r="C14" s="21" t="str">
        <x:v>Psychology</x:v>
      </x:c>
      <x:c r="D14" s="24" t="n">
        <x:v>130</x:v>
      </x:c>
      <x:c r="E14" s="21" t="str">
        <x:v>校内学科分类；课程体系与考试局在课程表区分</x:v>
      </x:c>
    </x:row>
    <x:row r="15" ht="52" customHeight="1">
      <x:c r="A15" s="20" t="str">
        <x:v>S014</x:v>
      </x:c>
      <x:c r="B15" s="21" t="str">
        <x:v>法律</x:v>
      </x:c>
      <x:c r="C15" s="21" t="str">
        <x:v>Law</x:v>
      </x:c>
      <x:c r="D15" s="24" t="n">
        <x:v>140</x:v>
      </x:c>
      <x:c r="E15" s="21" t="str">
        <x:v>校内学科分类；课程体系与考试局在课程表区分</x:v>
      </x:c>
    </x:row>
    <x:row r="16" ht="52" customHeight="1">
      <x:c r="A16" s="20" t="str">
        <x:v>S015</x:v>
      </x:c>
      <x:c r="B16" s="21" t="str">
        <x:v>阿拉伯语</x:v>
      </x:c>
      <x:c r="C16" s="21" t="str">
        <x:v>Arabic</x:v>
      </x:c>
      <x:c r="D16" s="24" t="n">
        <x:v>150</x:v>
      </x:c>
      <x:c r="E16" s="21" t="str">
        <x:v>校内学科分类；课程体系与考试局在课程表区分</x:v>
      </x:c>
    </x:row>
    <x:row r="17" ht="52" customHeight="1">
      <x:c r="A17" s="20" t="str">
        <x:v>S016</x:v>
      </x:c>
      <x:c r="B17" s="21" t="str">
        <x:v>法语</x:v>
      </x:c>
      <x:c r="C17" s="21" t="str">
        <x:v>French</x:v>
      </x:c>
      <x:c r="D17" s="24" t="n">
        <x:v>160</x:v>
      </x:c>
      <x:c r="E17" s="21" t="str">
        <x:v>校内学科分类；课程体系与考试局在课程表区分</x:v>
      </x:c>
    </x:row>
    <x:row r="18" ht="52" customHeight="1">
      <x:c r="A18" s="20" t="str">
        <x:v>S017</x:v>
      </x:c>
      <x:c r="B18" s="21" t="str">
        <x:v>德语</x:v>
      </x:c>
      <x:c r="C18" s="21" t="str">
        <x:v>German</x:v>
      </x:c>
      <x:c r="D18" s="24" t="n">
        <x:v>170</x:v>
      </x:c>
      <x:c r="E18" s="21" t="str">
        <x:v>校内学科分类；课程体系与考试局在课程表区分</x:v>
      </x:c>
    </x:row>
    <x:row r="19" ht="52" customHeight="1">
      <x:c r="A19" s="20" t="str">
        <x:v>S018</x:v>
      </x:c>
      <x:c r="B19" s="21" t="str">
        <x:v>西班牙语</x:v>
      </x:c>
      <x:c r="C19" s="21" t="str">
        <x:v>Spanish</x:v>
      </x:c>
      <x:c r="D19" s="24" t="n">
        <x:v>180</x:v>
      </x:c>
      <x:c r="E19" s="21" t="str">
        <x:v>校内学科分类；课程体系与考试局在课程表区分</x:v>
      </x:c>
    </x:row>
    <x:row r="20" ht="52" customHeight="1">
      <x:c r="A20" s="20" t="str">
        <x:v>S019</x:v>
      </x:c>
      <x:c r="B20" s="21" t="str">
        <x:v>希腊语</x:v>
      </x:c>
      <x:c r="C20" s="21" t="str">
        <x:v>Greek</x:v>
      </x:c>
      <x:c r="D20" s="24" t="n">
        <x:v>190</x:v>
      </x:c>
      <x:c r="E20" s="21" t="str">
        <x:v>校内学科分类；课程体系与考试局在课程表区分</x:v>
      </x:c>
    </x:row>
    <x:row r="21" ht="64" customHeight="1">
      <x:c r="A21" s="71" t="str">
        <x:v>S020</x:v>
      </x:c>
      <x:c r="B21" s="70" t="str">
        <x:v>中文</x:v>
      </x:c>
      <x:c r="C21" s="70" t="str">
        <x:v>Chinese</x:v>
      </x:c>
      <x:c r="D21" s="70" t="n">
        <x:v>200</x:v>
      </x:c>
      <x:c r="E21" s="70" t="str">
        <x:v>校内分类；不据此认定官方科目组、资格等价、学分或GPA资格。</x:v>
      </x:c>
    </x:row>
    <x:row r="22" ht="64" customHeight="1">
      <x:c r="A22" s="71" t="str">
        <x:v>S021</x:v>
      </x:c>
      <x:c r="B22" s="70" t="str">
        <x:v>日语</x:v>
      </x:c>
      <x:c r="C22" s="70" t="str">
        <x:v>Japanese</x:v>
      </x:c>
      <x:c r="D22" s="70" t="n">
        <x:v>210</x:v>
      </x:c>
      <x:c r="E22" s="70" t="str">
        <x:v>校内分类；不据此认定官方科目组、资格等价、学分或GPA资格。</x:v>
      </x:c>
    </x:row>
    <x:row r="23" ht="64" customHeight="1">
      <x:c r="A23" s="71" t="str">
        <x:v>S022</x:v>
      </x:c>
      <x:c r="B23" s="70" t="str">
        <x:v>韩语</x:v>
      </x:c>
      <x:c r="C23" s="70" t="str">
        <x:v>Korean</x:v>
      </x:c>
      <x:c r="D23" s="70" t="n">
        <x:v>220</x:v>
      </x:c>
      <x:c r="E23" s="70" t="str">
        <x:v>校内分类；不据此认定官方科目组、资格等价、学分或GPA资格。</x:v>
      </x:c>
    </x:row>
    <x:row r="24" ht="64" customHeight="1">
      <x:c r="A24" s="71" t="str">
        <x:v>S023</x:v>
      </x:c>
      <x:c r="B24" s="70" t="str">
        <x:v>意大利语</x:v>
      </x:c>
      <x:c r="C24" s="70" t="str">
        <x:v>Italian</x:v>
      </x:c>
      <x:c r="D24" s="70" t="n">
        <x:v>230</x:v>
      </x:c>
      <x:c r="E24" s="70" t="str">
        <x:v>校内分类；不据此认定官方科目组、资格等价、学分或GPA资格。</x:v>
      </x:c>
    </x:row>
    <x:row r="25" ht="64" customHeight="1">
      <x:c r="A25" s="71" t="str">
        <x:v>S024</x:v>
      </x:c>
      <x:c r="B25" s="70" t="str">
        <x:v>拉丁语</x:v>
      </x:c>
      <x:c r="C25" s="70" t="str">
        <x:v>Latin</x:v>
      </x:c>
      <x:c r="D25" s="70" t="n">
        <x:v>240</x:v>
      </x:c>
      <x:c r="E25" s="70" t="str">
        <x:v>校内分类；不据此认定官方科目组、资格等价、学分或GPA资格。</x:v>
      </x:c>
    </x:row>
    <x:row r="26" ht="64" customHeight="1">
      <x:c r="A26" s="71" t="str">
        <x:v>S025</x:v>
      </x:c>
      <x:c r="B26" s="70" t="str">
        <x:v>其他语言</x:v>
      </x:c>
      <x:c r="C26" s="70" t="str">
        <x:v>Other Languages</x:v>
      </x:c>
      <x:c r="D26" s="70" t="n">
        <x:v>250</x:v>
      </x:c>
      <x:c r="E26" s="70" t="str">
        <x:v>校内分类；不据此认定官方科目组、资格等价、学分或GPA资格。</x:v>
      </x:c>
    </x:row>
    <x:row r="27" ht="64" customHeight="1">
      <x:c r="A27" s="71" t="str">
        <x:v>S026</x:v>
      </x:c>
      <x:c r="B27" s="70" t="str">
        <x:v>艺术与设计</x:v>
      </x:c>
      <x:c r="C27" s="70" t="str">
        <x:v>Art and Design</x:v>
      </x:c>
      <x:c r="D27" s="70" t="n">
        <x:v>260</x:v>
      </x:c>
      <x:c r="E27" s="70" t="str">
        <x:v>校内分类；不据此认定官方科目组、资格等价、学分或GPA资格。</x:v>
      </x:c>
    </x:row>
    <x:row r="28" ht="64" customHeight="1">
      <x:c r="A28" s="71" t="str">
        <x:v>S027</x:v>
      </x:c>
      <x:c r="B28" s="70" t="str">
        <x:v>音乐</x:v>
      </x:c>
      <x:c r="C28" s="70" t="str">
        <x:v>Music</x:v>
      </x:c>
      <x:c r="D28" s="70" t="n">
        <x:v>270</x:v>
      </x:c>
      <x:c r="E28" s="70" t="str">
        <x:v>校内分类；不据此认定官方科目组、资格等价、学分或GPA资格。</x:v>
      </x:c>
    </x:row>
    <x:row r="29" ht="64" customHeight="1">
      <x:c r="A29" s="71" t="str">
        <x:v>S028</x:v>
      </x:c>
      <x:c r="B29" s="70" t="str">
        <x:v>戏剧与表演</x:v>
      </x:c>
      <x:c r="C29" s="70" t="str">
        <x:v>Drama and Performance</x:v>
      </x:c>
      <x:c r="D29" s="70" t="n">
        <x:v>280</x:v>
      </x:c>
      <x:c r="E29" s="70" t="str">
        <x:v>校内分类；不据此认定官方科目组、资格等价、学分或GPA资格。</x:v>
      </x:c>
    </x:row>
    <x:row r="30" ht="64" customHeight="1">
      <x:c r="A30" s="71" t="str">
        <x:v>S029</x:v>
      </x:c>
      <x:c r="B30" s="70" t="str">
        <x:v>社会与公民研究</x:v>
      </x:c>
      <x:c r="C30" s="70" t="str">
        <x:v>Social and Civic Studies</x:v>
      </x:c>
      <x:c r="D30" s="70" t="n">
        <x:v>290</x:v>
      </x:c>
      <x:c r="E30" s="70" t="str">
        <x:v>校内分类；不据此认定官方科目组、资格等价、学分或GPA资格。</x:v>
      </x:c>
    </x:row>
    <x:row r="31" ht="64" customHeight="1">
      <x:c r="A31" s="71" t="str">
        <x:v>S030</x:v>
      </x:c>
      <x:c r="B31" s="70" t="str">
        <x:v>哲学与宗教研究</x:v>
      </x:c>
      <x:c r="C31" s="70" t="str">
        <x:v>Philosophy and Religious Studies</x:v>
      </x:c>
      <x:c r="D31" s="70" t="n">
        <x:v>300</x:v>
      </x:c>
      <x:c r="E31" s="70" t="str">
        <x:v>校内分类；不据此认定官方科目组、资格等价、学分或GPA资格。</x:v>
      </x:c>
    </x:row>
    <x:row r="32" ht="64" customHeight="1">
      <x:c r="A32" s="71" t="str">
        <x:v>S031</x:v>
      </x:c>
      <x:c r="B32" s="70" t="str">
        <x:v>环境与综合科学</x:v>
      </x:c>
      <x:c r="C32" s="70" t="str">
        <x:v>Environmental and Integrated Sciences</x:v>
      </x:c>
      <x:c r="D32" s="70" t="n">
        <x:v>310</x:v>
      </x:c>
      <x:c r="E32" s="70" t="str">
        <x:v>校内分类；不据此认定官方科目组、资格等价、学分或GPA资格。</x:v>
      </x:c>
    </x:row>
    <x:row r="33" ht="64" customHeight="1">
      <x:c r="A33" s="71" t="str">
        <x:v>S032</x:v>
      </x:c>
      <x:c r="B33" s="70" t="str">
        <x:v>体育与健康</x:v>
      </x:c>
      <x:c r="C33" s="70" t="str">
        <x:v>Physical Education and Health</x:v>
      </x:c>
      <x:c r="D33" s="70" t="n">
        <x:v>320</x:v>
      </x:c>
      <x:c r="E33" s="70" t="str">
        <x:v>校内分类；不据此认定官方科目组、资格等价、学分或GPA资格。</x:v>
      </x:c>
    </x:row>
    <x:row r="34" ht="64" customHeight="1">
      <x:c r="A34" s="71" t="str">
        <x:v>S033</x:v>
      </x:c>
      <x:c r="B34" s="70" t="str">
        <x:v>设计与工程技术</x:v>
      </x:c>
      <x:c r="C34" s="70" t="str">
        <x:v>Design and Engineering</x:v>
      </x:c>
      <x:c r="D34" s="70" t="n">
        <x:v>330</x:v>
      </x:c>
      <x:c r="E34" s="70" t="str">
        <x:v>校内分类；不据此认定官方科目组、资格等价、学分或GPA资格。</x:v>
      </x:c>
    </x:row>
    <x:row r="35" ht="64" customHeight="1">
      <x:c r="A35" s="71" t="str">
        <x:v>S034</x:v>
      </x:c>
      <x:c r="B35" s="70" t="str">
        <x:v>媒体研究</x:v>
      </x:c>
      <x:c r="C35" s="70" t="str">
        <x:v>Media Studies</x:v>
      </x:c>
      <x:c r="D35" s="70" t="n">
        <x:v>340</x:v>
      </x:c>
      <x:c r="E35" s="70" t="str">
        <x:v>校内分类；不据此认定官方科目组、资格等价、学分或GPA资格。</x:v>
      </x:c>
    </x:row>
    <x:row r="36" ht="64" customHeight="1">
      <x:c r="A36" s="71" t="str">
        <x:v>S035</x:v>
      </x:c>
      <x:c r="B36" s="70" t="str">
        <x:v>旅游与服务</x:v>
      </x:c>
      <x:c r="C36" s="70" t="str">
        <x:v>Travel and Hospitality</x:v>
      </x:c>
      <x:c r="D36" s="70" t="n">
        <x:v>350</x:v>
      </x:c>
      <x:c r="E36" s="70" t="str">
        <x:v>校内分类；不据此认定官方科目组、资格等价、学分或GPA资格。</x:v>
      </x:c>
    </x:row>
    <x:row r="37" ht="64" customHeight="1">
      <x:c r="A37" s="71" t="str">
        <x:v>S036</x:v>
      </x:c>
      <x:c r="B37" s="70" t="str">
        <x:v>跨学科研究与项目</x:v>
      </x:c>
      <x:c r="C37" s="70" t="str">
        <x:v>Interdisciplinary Studies and Projects</x:v>
      </x:c>
      <x:c r="D37" s="70" t="n">
        <x:v>360</x:v>
      </x:c>
      <x:c r="E37" s="70" t="str">
        <x:v>校内分类；不据此认定官方科目组、资格等价、学分或GPA资格。</x:v>
      </x:c>
    </x:row>
    <x:row r="38" ht="64" customHeight="1">
      <x:c r="A38" s="71" t="str">
        <x:v>S037</x:v>
      </x:c>
      <x:c r="B38" s="70" t="str">
        <x:v>升学考试综合</x:v>
      </x:c>
      <x:c r="C38" s="70" t="str">
        <x:v>Admissions Test Preparation</x:v>
      </x:c>
      <x:c r="D38" s="70" t="n">
        <x:v>370</x:v>
      </x:c>
      <x:c r="E38" s="70" t="str">
        <x:v>校内分类；不据此认定官方科目组、资格等价、学分或GPA资格。</x:v>
      </x:c>
    </x:row>
    <x:row r="39" ht="64" customHeight="1">
      <x:c r="A39" s="71" t="str">
        <x:v>S038</x:v>
      </x:c>
      <x:c r="B39" s="70" t="str">
        <x:v>英语能力考试</x:v>
      </x:c>
      <x:c r="C39" s="70" t="str">
        <x:v>English Proficiency</x:v>
      </x:c>
      <x:c r="D39" s="70" t="n">
        <x:v>380</x:v>
      </x:c>
      <x:c r="E39" s="70" t="str">
        <x:v>校内分类；不据此认定官方科目组、资格等价、学分或GPA资格。</x:v>
      </x:c>
    </x:row>
    <x:row r="40" ht="64" customHeight="1">
      <x:c r="A40" s="71" t="str">
        <x:v>S039</x:v>
      </x:c>
      <x:c r="B40" s="70" t="str">
        <x:v>农业与食品科学</x:v>
      </x:c>
      <x:c r="C40" s="70" t="str">
        <x:v>Agriculture and Food Science</x:v>
      </x:c>
      <x:c r="D40" s="70" t="n">
        <x:v>390</x:v>
      </x:c>
      <x:c r="E40" s="70" t="str">
        <x:v>校内分类；不据此认定官方科目组、资格等价、学分或GPA资格。</x:v>
      </x:c>
    </x:row>
  </x:sheetData>
  <x:pageMargins left="0.7" right="0.7" top="0.75" bottom="0.75" header="0.3" footer="0.3"/>
  <x:tableParts count="1">
    <x:tablePart xmlns:r="http://schemas.openxmlformats.org/officeDocument/2006/relationships" r:id="R79a522013ace40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34" hidden="0" customWidth="1"/>
    <x:col min="4" max="4" width="46" hidden="0" customWidth="1"/>
    <x:col min="5" max="5" width="24" hidden="0" customWidth="1"/>
    <x:col min="6" max="6" width="28" hidden="0" customWidth="1"/>
    <x:col min="7" max="7" width="16" hidden="0" customWidth="1"/>
    <x:col min="8" max="8" width="18" hidden="0" customWidth="1"/>
    <x:col min="9" max="9" width="21" hidden="0" customWidth="1"/>
    <x:col min="10" max="10" width="22" hidden="0" customWidth="1"/>
    <x:col min="11" max="11" width="32" hidden="0" customWidth="1"/>
    <x:col min="12" max="12" width="9" hidden="0" customWidth="1"/>
    <x:col min="13" max="13" width="70" hidden="0" customWidth="1"/>
    <x:col min="14" max="14" width="24" hidden="0" customWidth="1"/>
  </x:cols>
  <x:sheetData>
    <x:row r="1" ht="40" customHeight="1">
      <x:c r="A1" s="13" t="str">
        <x:v>文件内课程标记*</x:v>
      </x:c>
      <x:c r="B1" s="13" t="str">
        <x:v>所属学科标记*</x:v>
      </x:c>
      <x:c r="C1" s="13" t="str">
        <x:v>课程名称*</x:v>
      </x:c>
      <x:c r="D1" s="13" t="str">
        <x:v>英文课程名称</x:v>
      </x:c>
      <x:c r="E1" s="13" t="str">
        <x:v>考试局／机构</x:v>
      </x:c>
      <x:c r="F1" s="13" t="str">
        <x:v>课程体系／资格族</x:v>
      </x:c>
      <x:c r="G1" s="13" t="str">
        <x:v>适用体系地区</x:v>
      </x:c>
      <x:c r="H1" s="13" t="str">
        <x:v>教学组织方式*</x:v>
      </x:c>
      <x:c r="I1" s="13" t="str">
        <x:v>考核结构</x:v>
      </x:c>
      <x:c r="J1" s="13" t="str">
        <x:v>官方课程代码（选填）</x:v>
      </x:c>
      <x:c r="K1" s="13" t="str">
        <x:v>规范／适用范围</x:v>
      </x:c>
      <x:c r="L1" s="13" t="str">
        <x:v>排序</x:v>
      </x:c>
      <x:c r="M1" s="13" t="str">
        <x:v>说明</x:v>
      </x:c>
      <x:c r="N1" s="13" t="str">
        <x:v>来源编号</x:v>
      </x:c>
    </x:row>
    <x:row r="2" ht="52" customHeight="1">
      <x:c r="A2" s="20" t="str">
        <x:v>C001</x:v>
      </x:c>
      <x:c r="B2" s="21" t="str">
        <x:v>S009</x:v>
      </x:c>
      <x:c r="C2" s="21" t="str">
        <x:v>Edexcel IAL 会计</x:v>
      </x:c>
      <x:c r="D2" s="21" t="str">
        <x:v>Pearson Edexcel International AS / A Level Accounting</x:v>
      </x:c>
      <x:c r="E2" s="21" t="str">
        <x:v>Pearson Edexcel</x:v>
      </x:c>
      <x:c r="F2" s="21" t="str">
        <x:v>International AS / A Level</x:v>
      </x:c>
      <x:c r="G2" s="21" t="str">
        <x:v>国际版</x:v>
      </x:c>
      <x:c r="H2" s="21" t="str">
        <x:v>分单元教学</x:v>
      </x:c>
      <x:c r="I2" s="21" t="str">
        <x:v>模块化</x:v>
      </x:c>
      <x:c r="J2" s="21" t="str">
        <x:v>不适用</x:v>
      </x:c>
      <x:c r="K2" s="21" t="str">
        <x:v>按2025/26目录；逐年启用前核对</x:v>
      </x:c>
      <x:c r="L2" s="24" t="n">
        <x:v>10</x:v>
      </x:c>
      <x:c r="M2" s="21" t="str">
        <x:v>中文为校内显示译名；cash-in分别见资格出口；不是一个科目代码拼接字符串。</x:v>
      </x:c>
      <x:c r="N2" s="21" t="str">
        <x:v>P-ACCOUNTING;P-MAN</x:v>
      </x:c>
    </x:row>
    <x:row r="3" ht="52" customHeight="1">
      <x:c r="A3" s="20" t="str">
        <x:v>C002</x:v>
      </x:c>
      <x:c r="B3" s="21" t="str">
        <x:v>S015</x:v>
      </x:c>
      <x:c r="C3" s="21" t="str">
        <x:v>Edexcel IAL 阿拉伯语</x:v>
      </x:c>
      <x:c r="D3" s="21" t="str">
        <x:v>Pearson Edexcel International AS / A Level Arabic</x:v>
      </x:c>
      <x:c r="E3" s="21" t="str">
        <x:v>Pearson Edexcel</x:v>
      </x:c>
      <x:c r="F3" s="21" t="str">
        <x:v>International AS / A Level</x:v>
      </x:c>
      <x:c r="G3" s="21" t="str">
        <x:v>国际版</x:v>
      </x:c>
      <x:c r="H3" s="21" t="str">
        <x:v>分单元教学</x:v>
      </x:c>
      <x:c r="I3" s="21" t="str">
        <x:v>模块化</x:v>
      </x:c>
      <x:c r="J3" s="21" t="str">
        <x:v>不适用</x:v>
      </x:c>
      <x:c r="K3" s="21" t="str">
        <x:v>按2025/26目录；逐年启用前核对</x:v>
      </x:c>
      <x:c r="L3" s="24" t="n">
        <x:v>20</x:v>
      </x:c>
      <x:c r="M3" s="21" t="str">
        <x:v>中文为校内显示译名；cash-in分别见资格出口；不是一个科目代码拼接字符串。</x:v>
      </x:c>
      <x:c r="N3" s="21" t="str">
        <x:v>P-ARABIC;P-MAN</x:v>
      </x:c>
    </x:row>
    <x:row r="4" ht="52" customHeight="1">
      <x:c r="A4" s="20" t="str">
        <x:v>C003</x:v>
      </x:c>
      <x:c r="B4" s="21" t="str">
        <x:v>S004</x:v>
      </x:c>
      <x:c r="C4" s="21" t="str">
        <x:v>Edexcel IAL 生物</x:v>
      </x:c>
      <x:c r="D4" s="21" t="str">
        <x:v>Pearson Edexcel International AS / A Level Biology</x:v>
      </x:c>
      <x:c r="E4" s="21" t="str">
        <x:v>Pearson Edexcel</x:v>
      </x:c>
      <x:c r="F4" s="21" t="str">
        <x:v>International AS / A Level</x:v>
      </x:c>
      <x:c r="G4" s="21" t="str">
        <x:v>国际版</x:v>
      </x:c>
      <x:c r="H4" s="21" t="str">
        <x:v>分单元教学</x:v>
      </x:c>
      <x:c r="I4" s="21" t="str">
        <x:v>模块化</x:v>
      </x:c>
      <x:c r="J4" s="21" t="str">
        <x:v>不适用</x:v>
      </x:c>
      <x:c r="K4" s="21" t="str">
        <x:v>按2025/26目录；逐年启用前核对</x:v>
      </x:c>
      <x:c r="L4" s="24" t="n">
        <x:v>30</x:v>
      </x:c>
      <x:c r="M4" s="21" t="str">
        <x:v>中文为校内显示译名；cash-in分别见资格出口；不是一个科目代码拼接字符串。</x:v>
      </x:c>
      <x:c r="N4" s="21" t="str">
        <x:v>P-BIOLOGY;P-MAN</x:v>
      </x:c>
    </x:row>
    <x:row r="5" ht="52" customHeight="1">
      <x:c r="A5" s="20" t="str">
        <x:v>C004</x:v>
      </x:c>
      <x:c r="B5" s="21" t="str">
        <x:v>S008</x:v>
      </x:c>
      <x:c r="C5" s="21" t="str">
        <x:v>Edexcel IAL 商科</x:v>
      </x:c>
      <x:c r="D5" s="21" t="str">
        <x:v>Pearson Edexcel International AS / A Level Business</x:v>
      </x:c>
      <x:c r="E5" s="21" t="str">
        <x:v>Pearson Edexcel</x:v>
      </x:c>
      <x:c r="F5" s="21" t="str">
        <x:v>International AS / A Level</x:v>
      </x:c>
      <x:c r="G5" s="21" t="str">
        <x:v>国际版</x:v>
      </x:c>
      <x:c r="H5" s="21" t="str">
        <x:v>分单元教学</x:v>
      </x:c>
      <x:c r="I5" s="21" t="str">
        <x:v>模块化</x:v>
      </x:c>
      <x:c r="J5" s="21" t="str">
        <x:v>不适用</x:v>
      </x:c>
      <x:c r="K5" s="21" t="str">
        <x:v>按2025/26目录；逐年启用前核对</x:v>
      </x:c>
      <x:c r="L5" s="24" t="n">
        <x:v>40</x:v>
      </x:c>
      <x:c r="M5" s="21" t="str">
        <x:v>中文为校内显示译名；cash-in分别见资格出口；不是一个科目代码拼接字符串。</x:v>
      </x:c>
      <x:c r="N5" s="21" t="str">
        <x:v>P-BUSINESS;P-MAN</x:v>
      </x:c>
    </x:row>
    <x:row r="6" ht="52" customHeight="1">
      <x:c r="A6" s="20" t="str">
        <x:v>C005</x:v>
      </x:c>
      <x:c r="B6" s="21" t="str">
        <x:v>S003</x:v>
      </x:c>
      <x:c r="C6" s="21" t="str">
        <x:v>Edexcel IAL 化学</x:v>
      </x:c>
      <x:c r="D6" s="21" t="str">
        <x:v>Pearson Edexcel International AS / A Level Chemistry</x:v>
      </x:c>
      <x:c r="E6" s="21" t="str">
        <x:v>Pearson Edexcel</x:v>
      </x:c>
      <x:c r="F6" s="21" t="str">
        <x:v>International AS / A Level</x:v>
      </x:c>
      <x:c r="G6" s="21" t="str">
        <x:v>国际版</x:v>
      </x:c>
      <x:c r="H6" s="21" t="str">
        <x:v>分单元教学</x:v>
      </x:c>
      <x:c r="I6" s="21" t="str">
        <x:v>模块化</x:v>
      </x:c>
      <x:c r="J6" s="21" t="str">
        <x:v>不适用</x:v>
      </x:c>
      <x:c r="K6" s="21" t="str">
        <x:v>按2025/26目录；逐年启用前核对</x:v>
      </x:c>
      <x:c r="L6" s="24" t="n">
        <x:v>50</x:v>
      </x:c>
      <x:c r="M6" s="21" t="str">
        <x:v>中文为校内显示译名；cash-in分别见资格出口；不是一个科目代码拼接字符串。</x:v>
      </x:c>
      <x:c r="N6" s="21" t="str">
        <x:v>P-CHEMISTRY;P-MAN</x:v>
      </x:c>
    </x:row>
    <x:row r="7" ht="52" customHeight="1">
      <x:c r="A7" s="20" t="str">
        <x:v>C006</x:v>
      </x:c>
      <x:c r="B7" s="21" t="str">
        <x:v>S007</x:v>
      </x:c>
      <x:c r="C7" s="21" t="str">
        <x:v>Edexcel IAL 经济</x:v>
      </x:c>
      <x:c r="D7" s="21" t="str">
        <x:v>Pearson Edexcel International AS / A Level Economics</x:v>
      </x:c>
      <x:c r="E7" s="21" t="str">
        <x:v>Pearson Edexcel</x:v>
      </x:c>
      <x:c r="F7" s="21" t="str">
        <x:v>International AS / A Level</x:v>
      </x:c>
      <x:c r="G7" s="21" t="str">
        <x:v>国际版</x:v>
      </x:c>
      <x:c r="H7" s="21" t="str">
        <x:v>分单元教学</x:v>
      </x:c>
      <x:c r="I7" s="21" t="str">
        <x:v>模块化</x:v>
      </x:c>
      <x:c r="J7" s="21" t="str">
        <x:v>不适用</x:v>
      </x:c>
      <x:c r="K7" s="21" t="str">
        <x:v>按2025/26目录；逐年启用前核对</x:v>
      </x:c>
      <x:c r="L7" s="24" t="n">
        <x:v>60</x:v>
      </x:c>
      <x:c r="M7" s="21" t="str">
        <x:v>中文为校内显示译名；cash-in分别见资格出口；不是一个科目代码拼接字符串。</x:v>
      </x:c>
      <x:c r="N7" s="21" t="str">
        <x:v>P-ECONOMICS;P-MAN</x:v>
      </x:c>
    </x:row>
    <x:row r="8" ht="52" customHeight="1">
      <x:c r="A8" s="20" t="str">
        <x:v>C007</x:v>
      </x:c>
      <x:c r="B8" s="21" t="str">
        <x:v>S010</x:v>
      </x:c>
      <x:c r="C8" s="21" t="str">
        <x:v>Edexcel IAL 英语语言</x:v>
      </x:c>
      <x:c r="D8" s="21" t="str">
        <x:v>Pearson Edexcel International AS / A Level English Language</x:v>
      </x:c>
      <x:c r="E8" s="21" t="str">
        <x:v>Pearson Edexcel</x:v>
      </x:c>
      <x:c r="F8" s="21" t="str">
        <x:v>International AS / A Level</x:v>
      </x:c>
      <x:c r="G8" s="21" t="str">
        <x:v>国际版</x:v>
      </x:c>
      <x:c r="H8" s="21" t="str">
        <x:v>分单元教学</x:v>
      </x:c>
      <x:c r="I8" s="21" t="str">
        <x:v>模块化</x:v>
      </x:c>
      <x:c r="J8" s="21" t="str">
        <x:v>不适用</x:v>
      </x:c>
      <x:c r="K8" s="21" t="str">
        <x:v>按2025/26目录；逐年启用前核对</x:v>
      </x:c>
      <x:c r="L8" s="24" t="n">
        <x:v>70</x:v>
      </x:c>
      <x:c r="M8" s="21" t="str">
        <x:v>中文为校内显示译名；cash-in分别见资格出口；不是一个科目代码拼接字符串。</x:v>
      </x:c>
      <x:c r="N8" s="21" t="str">
        <x:v>P-ENGLISHLANGUAGE;P-MAN</x:v>
      </x:c>
    </x:row>
    <x:row r="9" ht="52" customHeight="1">
      <x:c r="A9" s="20" t="str">
        <x:v>C008</x:v>
      </x:c>
      <x:c r="B9" s="21" t="str">
        <x:v>S010</x:v>
      </x:c>
      <x:c r="C9" s="21" t="str">
        <x:v>Edexcel IAL 英语文学</x:v>
      </x:c>
      <x:c r="D9" s="21" t="str">
        <x:v>Pearson Edexcel International AS / A Level English Literature</x:v>
      </x:c>
      <x:c r="E9" s="21" t="str">
        <x:v>Pearson Edexcel</x:v>
      </x:c>
      <x:c r="F9" s="21" t="str">
        <x:v>International AS / A Level</x:v>
      </x:c>
      <x:c r="G9" s="21" t="str">
        <x:v>国际版</x:v>
      </x:c>
      <x:c r="H9" s="21" t="str">
        <x:v>分单元教学</x:v>
      </x:c>
      <x:c r="I9" s="21" t="str">
        <x:v>模块化</x:v>
      </x:c>
      <x:c r="J9" s="21" t="str">
        <x:v>不适用</x:v>
      </x:c>
      <x:c r="K9" s="21" t="str">
        <x:v>按2025/26目录；逐年启用前核对</x:v>
      </x:c>
      <x:c r="L9" s="24" t="n">
        <x:v>80</x:v>
      </x:c>
      <x:c r="M9" s="21" t="str">
        <x:v>中文为校内显示译名；cash-in分别见资格出口；不是一个科目代码拼接字符串。</x:v>
      </x:c>
      <x:c r="N9" s="21" t="str">
        <x:v>P-ENGLISHLITERATURE;P-MAN</x:v>
      </x:c>
    </x:row>
    <x:row r="10" ht="52" customHeight="1">
      <x:c r="A10" s="20" t="str">
        <x:v>C009</x:v>
      </x:c>
      <x:c r="B10" s="21" t="str">
        <x:v>S016</x:v>
      </x:c>
      <x:c r="C10" s="21" t="str">
        <x:v>Edexcel IAL 法语</x:v>
      </x:c>
      <x:c r="D10" s="21" t="str">
        <x:v>Pearson Edexcel International AS / A Level French</x:v>
      </x:c>
      <x:c r="E10" s="21" t="str">
        <x:v>Pearson Edexcel</x:v>
      </x:c>
      <x:c r="F10" s="21" t="str">
        <x:v>International AS / A Level</x:v>
      </x:c>
      <x:c r="G10" s="21" t="str">
        <x:v>国际版</x:v>
      </x:c>
      <x:c r="H10" s="21" t="str">
        <x:v>分单元教学</x:v>
      </x:c>
      <x:c r="I10" s="21" t="str">
        <x:v>模块化</x:v>
      </x:c>
      <x:c r="J10" s="21" t="str">
        <x:v>不适用</x:v>
      </x:c>
      <x:c r="K10" s="21" t="str">
        <x:v>按2025/26目录；逐年启用前核对</x:v>
      </x:c>
      <x:c r="L10" s="24" t="n">
        <x:v>90</x:v>
      </x:c>
      <x:c r="M10" s="21" t="str">
        <x:v>中文为校内显示译名；cash-in分别见资格出口；不是一个科目代码拼接字符串。</x:v>
      </x:c>
      <x:c r="N10" s="21" t="str">
        <x:v>P-MAN</x:v>
      </x:c>
    </x:row>
    <x:row r="11" ht="52" customHeight="1">
      <x:c r="A11" s="20" t="str">
        <x:v>C010</x:v>
      </x:c>
      <x:c r="B11" s="21" t="str">
        <x:v>S012</x:v>
      </x:c>
      <x:c r="C11" s="21" t="str">
        <x:v>Edexcel IAL 地理</x:v>
      </x:c>
      <x:c r="D11" s="21" t="str">
        <x:v>Pearson Edexcel International AS / A Level Geography</x:v>
      </x:c>
      <x:c r="E11" s="21" t="str">
        <x:v>Pearson Edexcel</x:v>
      </x:c>
      <x:c r="F11" s="21" t="str">
        <x:v>International AS / A Level</x:v>
      </x:c>
      <x:c r="G11" s="21" t="str">
        <x:v>国际版</x:v>
      </x:c>
      <x:c r="H11" s="21" t="str">
        <x:v>分单元教学</x:v>
      </x:c>
      <x:c r="I11" s="21" t="str">
        <x:v>模块化</x:v>
      </x:c>
      <x:c r="J11" s="21" t="str">
        <x:v>不适用</x:v>
      </x:c>
      <x:c r="K11" s="21" t="str">
        <x:v>按2025/26目录；逐年启用前核对</x:v>
      </x:c>
      <x:c r="L11" s="24" t="n">
        <x:v>100</x:v>
      </x:c>
      <x:c r="M11" s="21" t="str">
        <x:v>中文为校内显示译名；cash-in分别见资格出口；不是一个科目代码拼接字符串。</x:v>
      </x:c>
      <x:c r="N11" s="21" t="str">
        <x:v>P-MAN</x:v>
      </x:c>
    </x:row>
    <x:row r="12" ht="52" customHeight="1">
      <x:c r="A12" s="20" t="str">
        <x:v>C011</x:v>
      </x:c>
      <x:c r="B12" s="21" t="str">
        <x:v>S017</x:v>
      </x:c>
      <x:c r="C12" s="21" t="str">
        <x:v>Edexcel IAL 德语</x:v>
      </x:c>
      <x:c r="D12" s="21" t="str">
        <x:v>Pearson Edexcel International AS / A Level German</x:v>
      </x:c>
      <x:c r="E12" s="21" t="str">
        <x:v>Pearson Edexcel</x:v>
      </x:c>
      <x:c r="F12" s="21" t="str">
        <x:v>International AS / A Level</x:v>
      </x:c>
      <x:c r="G12" s="21" t="str">
        <x:v>国际版</x:v>
      </x:c>
      <x:c r="H12" s="21" t="str">
        <x:v>分单元教学</x:v>
      </x:c>
      <x:c r="I12" s="21" t="str">
        <x:v>模块化</x:v>
      </x:c>
      <x:c r="J12" s="21" t="str">
        <x:v>不适用</x:v>
      </x:c>
      <x:c r="K12" s="21" t="str">
        <x:v>按2025/26目录；逐年启用前核对</x:v>
      </x:c>
      <x:c r="L12" s="24" t="n">
        <x:v>110</x:v>
      </x:c>
      <x:c r="M12" s="21" t="str">
        <x:v>中文为校内显示译名；cash-in分别见资格出口；不是一个科目代码拼接字符串。</x:v>
      </x:c>
      <x:c r="N12" s="21" t="str">
        <x:v>P-MAN</x:v>
      </x:c>
    </x:row>
    <x:row r="13" ht="52" customHeight="1">
      <x:c r="A13" s="20" t="str">
        <x:v>C012</x:v>
      </x:c>
      <x:c r="B13" s="21" t="str">
        <x:v>S011</x:v>
      </x:c>
      <x:c r="C13" s="21" t="str">
        <x:v>Edexcel IAL 历史</x:v>
      </x:c>
      <x:c r="D13" s="21" t="str">
        <x:v>Pearson Edexcel International AS / A Level History</x:v>
      </x:c>
      <x:c r="E13" s="21" t="str">
        <x:v>Pearson Edexcel</x:v>
      </x:c>
      <x:c r="F13" s="21" t="str">
        <x:v>International AS / A Level</x:v>
      </x:c>
      <x:c r="G13" s="21" t="str">
        <x:v>国际版</x:v>
      </x:c>
      <x:c r="H13" s="21" t="str">
        <x:v>分单元教学</x:v>
      </x:c>
      <x:c r="I13" s="21" t="str">
        <x:v>模块化</x:v>
      </x:c>
      <x:c r="J13" s="21" t="str">
        <x:v>不适用</x:v>
      </x:c>
      <x:c r="K13" s="21" t="str">
        <x:v>按2025/26目录；逐年启用前核对</x:v>
      </x:c>
      <x:c r="L13" s="24" t="n">
        <x:v>120</x:v>
      </x:c>
      <x:c r="M13" s="21" t="str">
        <x:v>中文为校内显示译名；cash-in分别见资格出口；不是一个科目代码拼接字符串。 单元内存在内容选项；本文件不为学生自动选择选项。</x:v>
      </x:c>
      <x:c r="N13" s="21" t="str">
        <x:v>P-MAN</x:v>
      </x:c>
    </x:row>
    <x:row r="14" ht="52" customHeight="1">
      <x:c r="A14" s="20" t="str">
        <x:v>C013</x:v>
      </x:c>
      <x:c r="B14" s="21" t="str">
        <x:v>S006</x:v>
      </x:c>
      <x:c r="C14" s="21" t="str">
        <x:v>Edexcel IAL 信息技术</x:v>
      </x:c>
      <x:c r="D14" s="21" t="str">
        <x:v>Pearson Edexcel International AS / A Level Information Technology</x:v>
      </x:c>
      <x:c r="E14" s="21" t="str">
        <x:v>Pearson Edexcel</x:v>
      </x:c>
      <x:c r="F14" s="21" t="str">
        <x:v>International AS / A Level</x:v>
      </x:c>
      <x:c r="G14" s="21" t="str">
        <x:v>国际版</x:v>
      </x:c>
      <x:c r="H14" s="21" t="str">
        <x:v>分单元教学</x:v>
      </x:c>
      <x:c r="I14" s="21" t="str">
        <x:v>模块化</x:v>
      </x:c>
      <x:c r="J14" s="21" t="str">
        <x:v>不适用</x:v>
      </x:c>
      <x:c r="K14" s="21" t="str">
        <x:v>按2025/26目录；逐年启用前核对</x:v>
      </x:c>
      <x:c r="L14" s="24" t="n">
        <x:v>130</x:v>
      </x:c>
      <x:c r="M14" s="21" t="str">
        <x:v>中文为校内显示译名；cash-in分别见资格出口；不是一个科目代码拼接字符串。 Unit 2/4为受控实操考试，不是portfolio coursework。</x:v>
      </x:c>
      <x:c r="N14" s="21" t="str">
        <x:v>P-INFORMATIONTECHNOLOGY;P-MAN</x:v>
      </x:c>
    </x:row>
    <x:row r="15" ht="52" customHeight="1">
      <x:c r="A15" s="20" t="str">
        <x:v>C014</x:v>
      </x:c>
      <x:c r="B15" s="21" t="str">
        <x:v>S002</x:v>
      </x:c>
      <x:c r="C15" s="21" t="str">
        <x:v>Edexcel IAL 物理</x:v>
      </x:c>
      <x:c r="D15" s="21" t="str">
        <x:v>Pearson Edexcel International AS / A Level Physics</x:v>
      </x:c>
      <x:c r="E15" s="21" t="str">
        <x:v>Pearson Edexcel</x:v>
      </x:c>
      <x:c r="F15" s="21" t="str">
        <x:v>International AS / A Level</x:v>
      </x:c>
      <x:c r="G15" s="21" t="str">
        <x:v>国际版</x:v>
      </x:c>
      <x:c r="H15" s="21" t="str">
        <x:v>分单元教学</x:v>
      </x:c>
      <x:c r="I15" s="21" t="str">
        <x:v>模块化</x:v>
      </x:c>
      <x:c r="J15" s="21" t="str">
        <x:v>不适用</x:v>
      </x:c>
      <x:c r="K15" s="21" t="str">
        <x:v>按2025/26目录；逐年启用前核对</x:v>
      </x:c>
      <x:c r="L15" s="24" t="n">
        <x:v>140</x:v>
      </x:c>
      <x:c r="M15" s="21" t="str">
        <x:v>中文为校内显示译名；cash-in分别见资格出口；不是一个科目代码拼接字符串。</x:v>
      </x:c>
      <x:c r="N15" s="21" t="str">
        <x:v>P-MAN</x:v>
      </x:c>
    </x:row>
    <x:row r="16" ht="52" customHeight="1">
      <x:c r="A16" s="20" t="str">
        <x:v>C015</x:v>
      </x:c>
      <x:c r="B16" s="21" t="str">
        <x:v>S013</x:v>
      </x:c>
      <x:c r="C16" s="21" t="str">
        <x:v>Edexcel IAL 心理学</x:v>
      </x:c>
      <x:c r="D16" s="21" t="str">
        <x:v>Pearson Edexcel International AS / A Level Psychology</x:v>
      </x:c>
      <x:c r="E16" s="21" t="str">
        <x:v>Pearson Edexcel</x:v>
      </x:c>
      <x:c r="F16" s="21" t="str">
        <x:v>International AS / A Level</x:v>
      </x:c>
      <x:c r="G16" s="21" t="str">
        <x:v>国际版</x:v>
      </x:c>
      <x:c r="H16" s="21" t="str">
        <x:v>分单元教学</x:v>
      </x:c>
      <x:c r="I16" s="21" t="str">
        <x:v>模块化</x:v>
      </x:c>
      <x:c r="J16" s="21" t="str">
        <x:v>不适用</x:v>
      </x:c>
      <x:c r="K16" s="21" t="str">
        <x:v>按2025/26目录；逐年启用前核对</x:v>
      </x:c>
      <x:c r="L16" s="24" t="n">
        <x:v>150</x:v>
      </x:c>
      <x:c r="M16" s="21" t="str">
        <x:v>中文为校内显示译名；cash-in分别见资格出口；不是一个科目代码拼接字符串。</x:v>
      </x:c>
      <x:c r="N16" s="21" t="str">
        <x:v>P-MAN</x:v>
      </x:c>
    </x:row>
    <x:row r="17" ht="52" customHeight="1">
      <x:c r="A17" s="20" t="str">
        <x:v>C016</x:v>
      </x:c>
      <x:c r="B17" s="21" t="str">
        <x:v>S018</x:v>
      </x:c>
      <x:c r="C17" s="21" t="str">
        <x:v>Edexcel IAL 西班牙语</x:v>
      </x:c>
      <x:c r="D17" s="21" t="str">
        <x:v>Pearson Edexcel International AS / A Level Spanish</x:v>
      </x:c>
      <x:c r="E17" s="21" t="str">
        <x:v>Pearson Edexcel</x:v>
      </x:c>
      <x:c r="F17" s="21" t="str">
        <x:v>International AS / A Level</x:v>
      </x:c>
      <x:c r="G17" s="21" t="str">
        <x:v>国际版</x:v>
      </x:c>
      <x:c r="H17" s="21" t="str">
        <x:v>分单元教学</x:v>
      </x:c>
      <x:c r="I17" s="21" t="str">
        <x:v>模块化</x:v>
      </x:c>
      <x:c r="J17" s="21" t="str">
        <x:v>不适用</x:v>
      </x:c>
      <x:c r="K17" s="21" t="str">
        <x:v>按2025/26目录；逐年启用前核对</x:v>
      </x:c>
      <x:c r="L17" s="24" t="n">
        <x:v>160</x:v>
      </x:c>
      <x:c r="M17" s="21" t="str">
        <x:v>中文为校内显示译名；cash-in分别见资格出口；不是一个科目代码拼接字符串。</x:v>
      </x:c>
      <x:c r="N17" s="21" t="str">
        <x:v>P-MAN</x:v>
      </x:c>
    </x:row>
    <x:row r="18" ht="52" customHeight="1">
      <x:c r="A18" s="20" t="str">
        <x:v>C017</x:v>
      </x:c>
      <x:c r="B18" s="21" t="str">
        <x:v>S019</x:v>
      </x:c>
      <x:c r="C18" s="21" t="str">
        <x:v>Edexcel IAL 希腊语</x:v>
      </x:c>
      <x:c r="D18" s="21" t="str">
        <x:v>Pearson Edexcel International AS / A Level Greek</x:v>
      </x:c>
      <x:c r="E18" s="21" t="str">
        <x:v>Pearson Edexcel</x:v>
      </x:c>
      <x:c r="F18" s="21" t="str">
        <x:v>International AS / A Level</x:v>
      </x:c>
      <x:c r="G18" s="21" t="str">
        <x:v>国际版</x:v>
      </x:c>
      <x:c r="H18" s="21" t="str">
        <x:v>分单元教学</x:v>
      </x:c>
      <x:c r="I18" s="21" t="str">
        <x:v>模块化</x:v>
      </x:c>
      <x:c r="J18" s="21" t="str">
        <x:v>不适用</x:v>
      </x:c>
      <x:c r="K18" s="21" t="str">
        <x:v>按2025/26目录；逐年启用前核对</x:v>
      </x:c>
      <x:c r="L18" s="24" t="n">
        <x:v>170</x:v>
      </x:c>
      <x:c r="M18" s="21" t="str">
        <x:v>中文为校内显示译名；cash-in分别见资格出口；不是一个科目代码拼接字符串。</x:v>
      </x:c>
      <x:c r="N18" s="21" t="str">
        <x:v>P-MAN</x:v>
      </x:c>
    </x:row>
    <x:row r="19" ht="52" customHeight="1">
      <x:c r="A19" s="20" t="str">
        <x:v>C018</x:v>
      </x:c>
      <x:c r="B19" s="21" t="str">
        <x:v>S001</x:v>
      </x:c>
      <x:c r="C19" s="21" t="str">
        <x:v>Edexcel IAL 数学</x:v>
      </x:c>
      <x:c r="D19" s="21" t="str">
        <x:v>Pearson Edexcel International AS / A Level Mathematics</x:v>
      </x:c>
      <x:c r="E19" s="21" t="str">
        <x:v>Pearson Edexcel</x:v>
      </x:c>
      <x:c r="F19" s="21" t="str">
        <x:v>International AS / A Level</x:v>
      </x:c>
      <x:c r="G19" s="21" t="str">
        <x:v>国际版</x:v>
      </x:c>
      <x:c r="H19" s="21" t="str">
        <x:v>分单元教学</x:v>
      </x:c>
      <x:c r="I19" s="21" t="str">
        <x:v>模块化</x:v>
      </x:c>
      <x:c r="J19" s="21" t="str">
        <x:v>不适用</x:v>
      </x:c>
      <x:c r="K19" s="21" t="str">
        <x:v>2018数学体系；2025/26目录</x:v>
      </x:c>
      <x:c r="L19" s="24" t="n">
        <x:v>180</x:v>
      </x:c>
      <x:c r="M19" s="21" t="str">
        <x:v>关系表列可用单元，不表示全部必修；资格组合见05；不据此自动报考或重复兑换成绩。</x:v>
      </x:c>
      <x:c r="N19" s="21" t="str">
        <x:v>P-MATH;P-MAN</x:v>
      </x:c>
    </x:row>
    <x:row r="20" ht="52" customHeight="1">
      <x:c r="A20" s="20" t="str">
        <x:v>C019</x:v>
      </x:c>
      <x:c r="B20" s="21" t="str">
        <x:v>S001</x:v>
      </x:c>
      <x:c r="C20" s="21" t="str">
        <x:v>Edexcel IAL 进阶数学</x:v>
      </x:c>
      <x:c r="D20" s="21" t="str">
        <x:v>Pearson Edexcel International AS / A Level Further Mathematics</x:v>
      </x:c>
      <x:c r="E20" s="21" t="str">
        <x:v>Pearson Edexcel</x:v>
      </x:c>
      <x:c r="F20" s="21" t="str">
        <x:v>International AS / A Level</x:v>
      </x:c>
      <x:c r="G20" s="21" t="str">
        <x:v>国际版</x:v>
      </x:c>
      <x:c r="H20" s="21" t="str">
        <x:v>分单元教学</x:v>
      </x:c>
      <x:c r="I20" s="21" t="str">
        <x:v>模块化</x:v>
      </x:c>
      <x:c r="J20" s="21" t="str">
        <x:v>不适用</x:v>
      </x:c>
      <x:c r="K20" s="21" t="str">
        <x:v>2018数学体系；2025/26目录</x:v>
      </x:c>
      <x:c r="L20" s="24" t="n">
        <x:v>190</x:v>
      </x:c>
      <x:c r="M20" s="21" t="str">
        <x:v>关系表列可用单元，不表示全部必修；资格组合见05；不据此自动报考或重复兑换成绩。</x:v>
      </x:c>
      <x:c r="N20" s="21" t="str">
        <x:v>P-MATH;P-MAN</x:v>
      </x:c>
    </x:row>
    <x:row r="21" ht="52" customHeight="1">
      <x:c r="A21" s="20" t="str">
        <x:v>C020</x:v>
      </x:c>
      <x:c r="B21" s="21" t="str">
        <x:v>S001</x:v>
      </x:c>
      <x:c r="C21" s="21" t="str">
        <x:v>Edexcel IAL 纯数学</x:v>
      </x:c>
      <x:c r="D21" s="21" t="str">
        <x:v>Pearson Edexcel International AS / A Level Pure Mathematics</x:v>
      </x:c>
      <x:c r="E21" s="21" t="str">
        <x:v>Pearson Edexcel</x:v>
      </x:c>
      <x:c r="F21" s="21" t="str">
        <x:v>International AS / A Level</x:v>
      </x:c>
      <x:c r="G21" s="21" t="str">
        <x:v>国际版</x:v>
      </x:c>
      <x:c r="H21" s="21" t="str">
        <x:v>分单元教学</x:v>
      </x:c>
      <x:c r="I21" s="21" t="str">
        <x:v>模块化</x:v>
      </x:c>
      <x:c r="J21" s="21" t="str">
        <x:v>不适用</x:v>
      </x:c>
      <x:c r="K21" s="21" t="str">
        <x:v>2018数学体系；2025/26目录</x:v>
      </x:c>
      <x:c r="L21" s="24" t="n">
        <x:v>200</x:v>
      </x:c>
      <x:c r="M21" s="21" t="str">
        <x:v>关系表列可用单元，不表示全部必修；资格组合见05；不据此自动报考或重复兑换成绩。</x:v>
      </x:c>
      <x:c r="N21" s="21" t="str">
        <x:v>P-MATH;P-MAN</x:v>
      </x:c>
    </x:row>
    <x:row r="22" ht="52" customHeight="1">
      <x:c r="A22" s="20" t="str">
        <x:v>C021</x:v>
      </x:c>
      <x:c r="B22" s="21" t="str">
        <x:v>S014</x:v>
      </x:c>
      <x:c r="C22" s="21" t="str">
        <x:v>Edexcel IAL 法律</x:v>
      </x:c>
      <x:c r="D22" s="21" t="str">
        <x:v>Pearson Edexcel International Advanced Level Law</x:v>
      </x:c>
      <x:c r="E22" s="21" t="str">
        <x:v>Pearson Edexcel</x:v>
      </x:c>
      <x:c r="F22" s="21" t="str">
        <x:v>International A Level</x:v>
      </x:c>
      <x:c r="G22" s="21" t="str">
        <x:v>国际版</x:v>
      </x:c>
      <x:c r="H22" s="21" t="str">
        <x:v>整门课程</x:v>
      </x:c>
      <x:c r="I22" s="21" t="str">
        <x:v>线性</x:v>
      </x:c>
      <x:c r="J22" s="21" t="str">
        <x:v>YLA1</x:v>
      </x:c>
      <x:c r="K22" s="21" t="str">
        <x:v>2015体系；2025/26目录</x:v>
      </x:c>
      <x:c r="L22" s="24" t="n">
        <x:v>210</x:v>
      </x:c>
      <x:c r="M22" s="21" t="str">
        <x:v>只设IAL出口；两张考试试卷不自动建成可兑换的独立课程单元。</x:v>
      </x:c>
      <x:c r="N22" s="21" t="str">
        <x:v>P-MAN</x:v>
      </x:c>
    </x:row>
    <x:row r="23" ht="52" customHeight="1">
      <x:c r="A23" s="20" t="str">
        <x:v>C022</x:v>
      </x:c>
      <x:c r="B23" s="21" t="str">
        <x:v>S001</x:v>
      </x:c>
      <x:c r="C23" s="21" t="str">
        <x:v>CIE 数学</x:v>
      </x:c>
      <x:c r="D23" s="21" t="str">
        <x:v>Cambridge International AS &amp; A Level Mathematics</x:v>
      </x:c>
      <x:c r="E23" s="21" t="str">
        <x:v>Cambridge International</x:v>
      </x:c>
      <x:c r="F23" s="21" t="str">
        <x:v>International AS / A Level</x:v>
      </x:c>
      <x:c r="G23" s="21" t="str">
        <x:v>国际版</x:v>
      </x:c>
      <x:c r="H23" s="21" t="str">
        <x:v>分单元教学</x:v>
      </x:c>
      <x:c r="I23" s="21" t="str">
        <x:v>分阶段或一次性考核</x:v>
      </x:c>
      <x:c r="J23" s="21" t="str">
        <x:v>9709</x:v>
      </x:c>
      <x:c r="K23" s="21" t="str">
        <x:v>2026–2027大纲</x:v>
      </x:c>
      <x:c r="L23" s="24" t="n">
        <x:v>220</x:v>
      </x:c>
      <x:c r="M23" s="21" t="str">
        <x:v>同一大纲下区分AS与完整AL出口；不把试卷变体号当课程单元。</x:v>
      </x:c>
      <x:c r="N23" s="21" t="str">
        <x:v>C-9709-PDF</x:v>
      </x:c>
    </x:row>
    <x:row r="24" ht="52" customHeight="1">
      <x:c r="A24" s="20" t="str">
        <x:v>C023</x:v>
      </x:c>
      <x:c r="B24" s="21" t="str">
        <x:v>S001</x:v>
      </x:c>
      <x:c r="C24" s="21" t="str">
        <x:v>CIE 进阶数学</x:v>
      </x:c>
      <x:c r="D24" s="21" t="str">
        <x:v>Cambridge International AS &amp; A Level Further Mathematics</x:v>
      </x:c>
      <x:c r="E24" s="21" t="str">
        <x:v>Cambridge International</x:v>
      </x:c>
      <x:c r="F24" s="21" t="str">
        <x:v>International AS / A Level</x:v>
      </x:c>
      <x:c r="G24" s="21" t="str">
        <x:v>国际版</x:v>
      </x:c>
      <x:c r="H24" s="21" t="str">
        <x:v>分单元教学</x:v>
      </x:c>
      <x:c r="I24" s="21" t="str">
        <x:v>分阶段或一次性考核</x:v>
      </x:c>
      <x:c r="J24" s="21" t="str">
        <x:v>9231</x:v>
      </x:c>
      <x:c r="K24" s="21" t="str">
        <x:v>2026–2027大纲</x:v>
      </x:c>
      <x:c r="L24" s="24" t="n">
        <x:v>230</x:v>
      </x:c>
      <x:c r="M24" s="21" t="str">
        <x:v>同一大纲下区分AS与完整AL出口；不把试卷变体号当课程单元。</x:v>
      </x:c>
      <x:c r="N24" s="21" t="str">
        <x:v>C-9231-PDF</x:v>
      </x:c>
    </x:row>
    <x:row r="25" ht="52" customHeight="1">
      <x:c r="A25" s="20" t="str">
        <x:v>C024</x:v>
      </x:c>
      <x:c r="B25" s="21" t="str">
        <x:v>S005</x:v>
      </x:c>
      <x:c r="C25" s="21" t="str">
        <x:v>CIE 计算机科学</x:v>
      </x:c>
      <x:c r="D25" s="21" t="str">
        <x:v>Cambridge International AS &amp; A Level Computer Science</x:v>
      </x:c>
      <x:c r="E25" s="21" t="str">
        <x:v>Cambridge International</x:v>
      </x:c>
      <x:c r="F25" s="21" t="str">
        <x:v>International AS / A Level</x:v>
      </x:c>
      <x:c r="G25" s="21" t="str">
        <x:v>国际版</x:v>
      </x:c>
      <x:c r="H25" s="21" t="str">
        <x:v>分单元教学</x:v>
      </x:c>
      <x:c r="I25" s="21" t="str">
        <x:v>分阶段或一次性考核</x:v>
      </x:c>
      <x:c r="J25" s="21" t="str">
        <x:v>9618</x:v>
      </x:c>
      <x:c r="K25" s="21" t="str">
        <x:v>官网课程目录快照；教学块为校内示例</x:v>
      </x:c>
      <x:c r="L25" s="24" t="n">
        <x:v>240</x:v>
      </x:c>
      <x:c r="M25" s="21" t="str">
        <x:v>同一大纲下区分AS与完整AL出口；不把试卷变体号当课程单元。</x:v>
      </x:c>
      <x:c r="N25" s="21" t="str">
        <x:v>C-9618</x:v>
      </x:c>
    </x:row>
    <x:row r="26" ht="52" customHeight="1">
      <x:c r="A26" s="20" t="str">
        <x:v>C025</x:v>
      </x:c>
      <x:c r="B26" s="21" t="str">
        <x:v>S002</x:v>
      </x:c>
      <x:c r="C26" s="21" t="str">
        <x:v>CIE 物理</x:v>
      </x:c>
      <x:c r="D26" s="21" t="str">
        <x:v>Cambridge International AS &amp; A Level Physics</x:v>
      </x:c>
      <x:c r="E26" s="21" t="str">
        <x:v>Cambridge International</x:v>
      </x:c>
      <x:c r="F26" s="21" t="str">
        <x:v>International AS / A Level</x:v>
      </x:c>
      <x:c r="G26" s="21" t="str">
        <x:v>国际版</x:v>
      </x:c>
      <x:c r="H26" s="21" t="str">
        <x:v>分单元教学</x:v>
      </x:c>
      <x:c r="I26" s="21" t="str">
        <x:v>分阶段或一次性考核</x:v>
      </x:c>
      <x:c r="J26" s="21" t="str">
        <x:v>9702</x:v>
      </x:c>
      <x:c r="K26" s="21" t="str">
        <x:v>官网课程目录快照；教学块为校内示例</x:v>
      </x:c>
      <x:c r="L26" s="24" t="n">
        <x:v>250</x:v>
      </x:c>
      <x:c r="M26" s="21" t="str">
        <x:v>同一大纲下区分AS与完整AL出口；不把试卷变体号当课程单元。</x:v>
      </x:c>
      <x:c r="N26" s="21" t="str">
        <x:v>C-9702</x:v>
      </x:c>
    </x:row>
    <x:row r="27" ht="52" customHeight="1">
      <x:c r="A27" s="20" t="str">
        <x:v>C026</x:v>
      </x:c>
      <x:c r="B27" s="21" t="str">
        <x:v>S003</x:v>
      </x:c>
      <x:c r="C27" s="21" t="str">
        <x:v>CIE 化学</x:v>
      </x:c>
      <x:c r="D27" s="21" t="str">
        <x:v>Cambridge International AS &amp; A Level Chemistry</x:v>
      </x:c>
      <x:c r="E27" s="21" t="str">
        <x:v>Cambridge International</x:v>
      </x:c>
      <x:c r="F27" s="21" t="str">
        <x:v>International AS / A Level</x:v>
      </x:c>
      <x:c r="G27" s="21" t="str">
        <x:v>国际版</x:v>
      </x:c>
      <x:c r="H27" s="21" t="str">
        <x:v>分单元教学</x:v>
      </x:c>
      <x:c r="I27" s="21" t="str">
        <x:v>分阶段或一次性考核</x:v>
      </x:c>
      <x:c r="J27" s="21" t="str">
        <x:v>9701</x:v>
      </x:c>
      <x:c r="K27" s="21" t="str">
        <x:v>官网课程目录快照；教学块为校内示例</x:v>
      </x:c>
      <x:c r="L27" s="24" t="n">
        <x:v>260</x:v>
      </x:c>
      <x:c r="M27" s="21" t="str">
        <x:v>同一大纲下区分AS与完整AL出口；不把试卷变体号当课程单元。</x:v>
      </x:c>
      <x:c r="N27" s="21" t="str">
        <x:v>C-9701</x:v>
      </x:c>
    </x:row>
    <x:row r="28" ht="52" customHeight="1">
      <x:c r="A28" s="20" t="str">
        <x:v>C027</x:v>
      </x:c>
      <x:c r="B28" s="21" t="str">
        <x:v>S004</x:v>
      </x:c>
      <x:c r="C28" s="21" t="str">
        <x:v>CIE 生物</x:v>
      </x:c>
      <x:c r="D28" s="21" t="str">
        <x:v>Cambridge International AS &amp; A Level Biology</x:v>
      </x:c>
      <x:c r="E28" s="21" t="str">
        <x:v>Cambridge International</x:v>
      </x:c>
      <x:c r="F28" s="21" t="str">
        <x:v>International AS / A Level</x:v>
      </x:c>
      <x:c r="G28" s="21" t="str">
        <x:v>国际版</x:v>
      </x:c>
      <x:c r="H28" s="21" t="str">
        <x:v>分单元教学</x:v>
      </x:c>
      <x:c r="I28" s="21" t="str">
        <x:v>分阶段或一次性考核</x:v>
      </x:c>
      <x:c r="J28" s="21" t="str">
        <x:v>9700</x:v>
      </x:c>
      <x:c r="K28" s="21" t="str">
        <x:v>官网课程目录快照；教学块为校内示例</x:v>
      </x:c>
      <x:c r="L28" s="24" t="n">
        <x:v>270</x:v>
      </x:c>
      <x:c r="M28" s="21" t="str">
        <x:v>同一大纲下区分AS与完整AL出口；不把试卷变体号当课程单元。</x:v>
      </x:c>
      <x:c r="N28" s="21" t="str">
        <x:v>C-9700</x:v>
      </x:c>
    </x:row>
    <x:row r="29" ht="52" customHeight="1">
      <x:c r="A29" s="20" t="str">
        <x:v>C028</x:v>
      </x:c>
      <x:c r="B29" s="21" t="str">
        <x:v>S008</x:v>
      </x:c>
      <x:c r="C29" s="21" t="str">
        <x:v>CIE 商科</x:v>
      </x:c>
      <x:c r="D29" s="21" t="str">
        <x:v>Cambridge International AS &amp; A Level Business</x:v>
      </x:c>
      <x:c r="E29" s="21" t="str">
        <x:v>Cambridge International</x:v>
      </x:c>
      <x:c r="F29" s="21" t="str">
        <x:v>International AS / A Level</x:v>
      </x:c>
      <x:c r="G29" s="21" t="str">
        <x:v>国际版</x:v>
      </x:c>
      <x:c r="H29" s="21" t="str">
        <x:v>分单元教学</x:v>
      </x:c>
      <x:c r="I29" s="21" t="str">
        <x:v>分阶段或一次性考核</x:v>
      </x:c>
      <x:c r="J29" s="21" t="str">
        <x:v>9609</x:v>
      </x:c>
      <x:c r="K29" s="21" t="str">
        <x:v>官网课程目录快照；教学块为校内示例</x:v>
      </x:c>
      <x:c r="L29" s="24" t="n">
        <x:v>280</x:v>
      </x:c>
      <x:c r="M29" s="21" t="str">
        <x:v>同一大纲下区分AS与完整AL出口；不把试卷变体号当课程单元。</x:v>
      </x:c>
      <x:c r="N29" s="21" t="str">
        <x:v>C-9609</x:v>
      </x:c>
    </x:row>
    <x:row r="30" ht="52" customHeight="1">
      <x:c r="A30" s="20" t="str">
        <x:v>C029</x:v>
      </x:c>
      <x:c r="B30" s="21" t="str">
        <x:v>S007</x:v>
      </x:c>
      <x:c r="C30" s="21" t="str">
        <x:v>CIE 经济</x:v>
      </x:c>
      <x:c r="D30" s="21" t="str">
        <x:v>Cambridge International AS &amp; A Level Economics</x:v>
      </x:c>
      <x:c r="E30" s="21" t="str">
        <x:v>Cambridge International</x:v>
      </x:c>
      <x:c r="F30" s="21" t="str">
        <x:v>International AS / A Level</x:v>
      </x:c>
      <x:c r="G30" s="21" t="str">
        <x:v>国际版</x:v>
      </x:c>
      <x:c r="H30" s="21" t="str">
        <x:v>分单元教学</x:v>
      </x:c>
      <x:c r="I30" s="21" t="str">
        <x:v>分阶段或一次性考核</x:v>
      </x:c>
      <x:c r="J30" s="21" t="str">
        <x:v>9708</x:v>
      </x:c>
      <x:c r="K30" s="21" t="str">
        <x:v>官网课程目录快照；教学块为校内示例</x:v>
      </x:c>
      <x:c r="L30" s="24" t="n">
        <x:v>290</x:v>
      </x:c>
      <x:c r="M30" s="21" t="str">
        <x:v>同一大纲下区分AS与完整AL出口；不把试卷变体号当课程单元。</x:v>
      </x:c>
      <x:c r="N30" s="21" t="str">
        <x:v>C-9708</x:v>
      </x:c>
    </x:row>
    <x:row r="31" ht="52" customHeight="1">
      <x:c r="A31" s="20" t="str">
        <x:v>C030</x:v>
      </x:c>
      <x:c r="B31" s="21" t="str">
        <x:v>S006</x:v>
      </x:c>
      <x:c r="C31" s="21" t="str">
        <x:v>CIE 信息技术</x:v>
      </x:c>
      <x:c r="D31" s="21" t="str">
        <x:v>Cambridge International AS &amp; A Level Information Technology</x:v>
      </x:c>
      <x:c r="E31" s="21" t="str">
        <x:v>Cambridge International</x:v>
      </x:c>
      <x:c r="F31" s="21" t="str">
        <x:v>International AS / A Level</x:v>
      </x:c>
      <x:c r="G31" s="21" t="str">
        <x:v>国际版</x:v>
      </x:c>
      <x:c r="H31" s="21" t="str">
        <x:v>分单元教学</x:v>
      </x:c>
      <x:c r="I31" s="21" t="str">
        <x:v>分阶段或一次性考核</x:v>
      </x:c>
      <x:c r="J31" s="21" t="str">
        <x:v>9626</x:v>
      </x:c>
      <x:c r="K31" s="21" t="str">
        <x:v>官网课程目录快照；教学块为校内示例</x:v>
      </x:c>
      <x:c r="L31" s="24" t="n">
        <x:v>300</x:v>
      </x:c>
      <x:c r="M31" s="21" t="str">
        <x:v>同一大纲下区分AS与完整AL出口；不把试卷变体号当课程单元。</x:v>
      </x:c>
      <x:c r="N31" s="21" t="str">
        <x:v>C-9626</x:v>
      </x:c>
    </x:row>
    <x:row r="32" ht="52" customHeight="1">
      <x:c r="A32" s="20" t="str">
        <x:v>C031</x:v>
      </x:c>
      <x:c r="B32" s="21" t="str">
        <x:v>S009</x:v>
      </x:c>
      <x:c r="C32" s="21" t="str">
        <x:v>CIE 会计</x:v>
      </x:c>
      <x:c r="D32" s="21" t="str">
        <x:v>Cambridge International AS &amp; A Level Accounting</x:v>
      </x:c>
      <x:c r="E32" s="21" t="str">
        <x:v>Cambridge International</x:v>
      </x:c>
      <x:c r="F32" s="21" t="str">
        <x:v>International AS / A Level</x:v>
      </x:c>
      <x:c r="G32" s="21" t="str">
        <x:v>国际版</x:v>
      </x:c>
      <x:c r="H32" s="21" t="str">
        <x:v>分单元教学</x:v>
      </x:c>
      <x:c r="I32" s="21" t="str">
        <x:v>分阶段或一次性考核</x:v>
      </x:c>
      <x:c r="J32" s="21" t="str">
        <x:v>9706</x:v>
      </x:c>
      <x:c r="K32" s="21" t="str">
        <x:v>官网课程目录快照；教学块为校内示例</x:v>
      </x:c>
      <x:c r="L32" s="24" t="n">
        <x:v>310</x:v>
      </x:c>
      <x:c r="M32" s="21" t="str">
        <x:v>同一大纲下区分AS与完整AL出口；不把试卷变体号当课程单元。</x:v>
      </x:c>
      <x:c r="N32" s="21" t="str">
        <x:v>C-9706</x:v>
      </x:c>
    </x:row>
    <x:row r="33" ht="52" customHeight="1">
      <x:c r="A33" s="20" t="str">
        <x:v>C032</x:v>
      </x:c>
      <x:c r="B33" s="21" t="str">
        <x:v>S001</x:v>
      </x:c>
      <x:c r="C33" s="21" t="str">
        <x:v>OxfordAQA 国际数学</x:v>
      </x:c>
      <x:c r="D33" s="21" t="str">
        <x:v>OxfordAQA International AS / A-level Mathematics</x:v>
      </x:c>
      <x:c r="E33" s="21" t="str">
        <x:v>OxfordAQA</x:v>
      </x:c>
      <x:c r="F33" s="21" t="str">
        <x:v>International AS / A Level</x:v>
      </x:c>
      <x:c r="G33" s="21" t="str">
        <x:v>国际版</x:v>
      </x:c>
      <x:c r="H33" s="21" t="str">
        <x:v>分单元教学</x:v>
      </x:c>
      <x:c r="I33" s="21" t="str">
        <x:v>模块化</x:v>
      </x:c>
      <x:c r="J33" s="21" t="str">
        <x:v>9660</x:v>
      </x:c>
      <x:c r="K33" s="21" t="str">
        <x:v>官网课程结构快照</x:v>
      </x:c>
      <x:c r="L33" s="24" t="n">
        <x:v>320</x:v>
      </x:c>
      <x:c r="M33" s="21" t="str">
        <x:v>与AQA英国本土课程分开；unit标签不冒充报名代码。</x:v>
      </x:c>
      <x:c r="N33" s="21" t="str">
        <x:v>OA-MATH</x:v>
      </x:c>
    </x:row>
    <x:row r="34" ht="52" customHeight="1">
      <x:c r="A34" s="20" t="str">
        <x:v>C033</x:v>
      </x:c>
      <x:c r="B34" s="21" t="str">
        <x:v>S002</x:v>
      </x:c>
      <x:c r="C34" s="21" t="str">
        <x:v>OxfordAQA 国际物理</x:v>
      </x:c>
      <x:c r="D34" s="21" t="str">
        <x:v>OxfordAQA International AS / A-level Physics</x:v>
      </x:c>
      <x:c r="E34" s="21" t="str">
        <x:v>OxfordAQA</x:v>
      </x:c>
      <x:c r="F34" s="21" t="str">
        <x:v>International AS / A Level</x:v>
      </x:c>
      <x:c r="G34" s="21" t="str">
        <x:v>国际版</x:v>
      </x:c>
      <x:c r="H34" s="21" t="str">
        <x:v>分单元教学</x:v>
      </x:c>
      <x:c r="I34" s="21" t="str">
        <x:v>模块化</x:v>
      </x:c>
      <x:c r="J34" s="21" t="str">
        <x:v>9630</x:v>
      </x:c>
      <x:c r="K34" s="21" t="str">
        <x:v>官网课程结构快照</x:v>
      </x:c>
      <x:c r="L34" s="24" t="n">
        <x:v>330</x:v>
      </x:c>
      <x:c r="M34" s="21" t="str">
        <x:v>与AQA英国本土课程分开；unit标签不冒充报名代码。</x:v>
      </x:c>
      <x:c r="N34" s="21" t="str">
        <x:v>OA-PHYSICS</x:v>
      </x:c>
    </x:row>
    <x:row r="35" ht="52" customHeight="1">
      <x:c r="A35" s="20" t="str">
        <x:v>C034</x:v>
      </x:c>
      <x:c r="B35" s="21" t="str">
        <x:v>S004</x:v>
      </x:c>
      <x:c r="C35" s="21" t="str">
        <x:v>OxfordAQA 国际生物</x:v>
      </x:c>
      <x:c r="D35" s="21" t="str">
        <x:v>OxfordAQA International AS / A-level Biology</x:v>
      </x:c>
      <x:c r="E35" s="21" t="str">
        <x:v>OxfordAQA</x:v>
      </x:c>
      <x:c r="F35" s="21" t="str">
        <x:v>International AS / A Level</x:v>
      </x:c>
      <x:c r="G35" s="21" t="str">
        <x:v>国际版</x:v>
      </x:c>
      <x:c r="H35" s="21" t="str">
        <x:v>分单元教学</x:v>
      </x:c>
      <x:c r="I35" s="21" t="str">
        <x:v>模块化</x:v>
      </x:c>
      <x:c r="J35" s="21" t="str">
        <x:v>9610</x:v>
      </x:c>
      <x:c r="K35" s="21" t="str">
        <x:v>官网课程结构快照</x:v>
      </x:c>
      <x:c r="L35" s="24" t="n">
        <x:v>340</x:v>
      </x:c>
      <x:c r="M35" s="21" t="str">
        <x:v>与AQA英国本土课程分开；unit标签不冒充报名代码。</x:v>
      </x:c>
      <x:c r="N35" s="21" t="str">
        <x:v>OA-BIOLOGY</x:v>
      </x:c>
    </x:row>
    <x:row r="36" ht="52" customHeight="1">
      <x:c r="A36" s="20" t="str">
        <x:v>C035</x:v>
      </x:c>
      <x:c r="B36" s="21" t="str">
        <x:v>S003</x:v>
      </x:c>
      <x:c r="C36" s="21" t="str">
        <x:v>OxfordAQA 国际化学</x:v>
      </x:c>
      <x:c r="D36" s="21" t="str">
        <x:v>OxfordAQA International AS / A-level Chemistry</x:v>
      </x:c>
      <x:c r="E36" s="21" t="str">
        <x:v>OxfordAQA</x:v>
      </x:c>
      <x:c r="F36" s="21" t="str">
        <x:v>International AS / A Level</x:v>
      </x:c>
      <x:c r="G36" s="21" t="str">
        <x:v>国际版</x:v>
      </x:c>
      <x:c r="H36" s="21" t="str">
        <x:v>分单元教学</x:v>
      </x:c>
      <x:c r="I36" s="21" t="str">
        <x:v>模块化</x:v>
      </x:c>
      <x:c r="J36" s="21" t="str">
        <x:v>9620</x:v>
      </x:c>
      <x:c r="K36" s="21" t="str">
        <x:v>官网课程结构快照</x:v>
      </x:c>
      <x:c r="L36" s="24" t="n">
        <x:v>350</x:v>
      </x:c>
      <x:c r="M36" s="21" t="str">
        <x:v>与AQA英国本土课程分开；unit标签不冒充报名代码。</x:v>
      </x:c>
      <x:c r="N36" s="21" t="str">
        <x:v>OA-CHEMISTRY</x:v>
      </x:c>
    </x:row>
    <x:row r="37" ht="52" customHeight="1">
      <x:c r="A37" s="20" t="str">
        <x:v>C036</x:v>
      </x:c>
      <x:c r="B37" s="21" t="str">
        <x:v>S001</x:v>
      </x:c>
      <x:c r="C37" s="21" t="str">
        <x:v>AQA GCE A Level 数学</x:v>
      </x:c>
      <x:c r="D37" s="21" t="str">
        <x:v>AQA GCE A Level Mathematics</x:v>
      </x:c>
      <x:c r="E37" s="21" t="str">
        <x:v>AQA</x:v>
      </x:c>
      <x:c r="F37" s="21" t="str">
        <x:v>GCE A Level</x:v>
      </x:c>
      <x:c r="G37" s="21" t="str">
        <x:v>英格兰</x:v>
      </x:c>
      <x:c r="H37" s="21" t="str">
        <x:v>分单元教学</x:v>
      </x:c>
      <x:c r="I37" s="21" t="str">
        <x:v>线性</x:v>
      </x:c>
      <x:c r="J37" s="21" t="str">
        <x:v>7357</x:v>
      </x:c>
      <x:c r="K37" s="21" t="str">
        <x:v>来源规范快照；代码区分AS与AL</x:v>
      </x:c>
      <x:c r="L37" s="24" t="n">
        <x:v>360</x:v>
      </x:c>
      <x:c r="M37" s="21" t="str">
        <x:v>线性考试与校内分块教学并存；本表教学块不是可独立兑换的官方unit。</x:v>
      </x:c>
      <x:c r="N37" s="21" t="str">
        <x:v>AQ-MATH</x:v>
      </x:c>
    </x:row>
    <x:row r="38" ht="52" customHeight="1">
      <x:c r="A38" s="20" t="str">
        <x:v>C037</x:v>
      </x:c>
      <x:c r="B38" s="21" t="str">
        <x:v>S002</x:v>
      </x:c>
      <x:c r="C38" s="21" t="str">
        <x:v>AQA GCE A Level 物理</x:v>
      </x:c>
      <x:c r="D38" s="21" t="str">
        <x:v>AQA GCE A Level Physics</x:v>
      </x:c>
      <x:c r="E38" s="21" t="str">
        <x:v>AQA</x:v>
      </x:c>
      <x:c r="F38" s="21" t="str">
        <x:v>GCE A Level</x:v>
      </x:c>
      <x:c r="G38" s="21" t="str">
        <x:v>英格兰</x:v>
      </x:c>
      <x:c r="H38" s="21" t="str">
        <x:v>分单元教学</x:v>
      </x:c>
      <x:c r="I38" s="21" t="str">
        <x:v>线性</x:v>
      </x:c>
      <x:c r="J38" s="21" t="str">
        <x:v>7408</x:v>
      </x:c>
      <x:c r="K38" s="21" t="str">
        <x:v>来源规范快照；代码区分AS与AL</x:v>
      </x:c>
      <x:c r="L38" s="24" t="n">
        <x:v>370</x:v>
      </x:c>
      <x:c r="M38" s="21" t="str">
        <x:v>线性考试与校内分块教学并存；本表教学块不是可独立兑换的官方unit。</x:v>
      </x:c>
      <x:c r="N38" s="21" t="str">
        <x:v>AQ-PHYSICS</x:v>
      </x:c>
    </x:row>
    <x:row r="39" ht="52" customHeight="1">
      <x:c r="A39" s="20" t="str">
        <x:v>C038</x:v>
      </x:c>
      <x:c r="B39" s="21" t="str">
        <x:v>S003</x:v>
      </x:c>
      <x:c r="C39" s="21" t="str">
        <x:v>AQA GCE A Level 化学</x:v>
      </x:c>
      <x:c r="D39" s="21" t="str">
        <x:v>AQA GCE A Level Chemistry</x:v>
      </x:c>
      <x:c r="E39" s="21" t="str">
        <x:v>AQA</x:v>
      </x:c>
      <x:c r="F39" s="21" t="str">
        <x:v>GCE A Level</x:v>
      </x:c>
      <x:c r="G39" s="21" t="str">
        <x:v>英格兰</x:v>
      </x:c>
      <x:c r="H39" s="21" t="str">
        <x:v>分单元教学</x:v>
      </x:c>
      <x:c r="I39" s="21" t="str">
        <x:v>线性</x:v>
      </x:c>
      <x:c r="J39" s="21" t="str">
        <x:v>7405</x:v>
      </x:c>
      <x:c r="K39" s="21" t="str">
        <x:v>来源规范快照；代码区分AS与AL</x:v>
      </x:c>
      <x:c r="L39" s="24" t="n">
        <x:v>380</x:v>
      </x:c>
      <x:c r="M39" s="21" t="str">
        <x:v>线性考试与校内分块教学并存；本表教学块不是可独立兑换的官方unit。</x:v>
      </x:c>
      <x:c r="N39" s="21" t="str">
        <x:v>AQ-CHEMISTRY</x:v>
      </x:c>
    </x:row>
    <x:row r="40" ht="52" customHeight="1">
      <x:c r="A40" s="20" t="str">
        <x:v>C039</x:v>
      </x:c>
      <x:c r="B40" s="21" t="str">
        <x:v>S004</x:v>
      </x:c>
      <x:c r="C40" s="21" t="str">
        <x:v>AQA GCE A Level 生物</x:v>
      </x:c>
      <x:c r="D40" s="21" t="str">
        <x:v>AQA GCE A Level Biology</x:v>
      </x:c>
      <x:c r="E40" s="21" t="str">
        <x:v>AQA</x:v>
      </x:c>
      <x:c r="F40" s="21" t="str">
        <x:v>GCE A Level</x:v>
      </x:c>
      <x:c r="G40" s="21" t="str">
        <x:v>英格兰</x:v>
      </x:c>
      <x:c r="H40" s="21" t="str">
        <x:v>分单元教学</x:v>
      </x:c>
      <x:c r="I40" s="21" t="str">
        <x:v>线性</x:v>
      </x:c>
      <x:c r="J40" s="21" t="str">
        <x:v>7402</x:v>
      </x:c>
      <x:c r="K40" s="21" t="str">
        <x:v>来源规范快照；代码区分AS与AL</x:v>
      </x:c>
      <x:c r="L40" s="24" t="n">
        <x:v>390</x:v>
      </x:c>
      <x:c r="M40" s="21" t="str">
        <x:v>线性考试与校内分块教学并存；本表教学块不是可独立兑换的官方unit。</x:v>
      </x:c>
      <x:c r="N40" s="21" t="str">
        <x:v>AQ-BIOLOGY</x:v>
      </x:c>
    </x:row>
    <x:row r="41" ht="52" customHeight="1">
      <x:c r="A41" s="20" t="str">
        <x:v>C040</x:v>
      </x:c>
      <x:c r="B41" s="21" t="str">
        <x:v>S001</x:v>
      </x:c>
      <x:c r="C41" s="21" t="str">
        <x:v>Pearson Edexcel GCE A Level 数学</x:v>
      </x:c>
      <x:c r="D41" s="21" t="str">
        <x:v>Pearson Edexcel GCE A Level Mathematics</x:v>
      </x:c>
      <x:c r="E41" s="21" t="str">
        <x:v>Pearson Edexcel</x:v>
      </x:c>
      <x:c r="F41" s="21" t="str">
        <x:v>GCE A Level</x:v>
      </x:c>
      <x:c r="G41" s="21" t="str">
        <x:v>英格兰</x:v>
      </x:c>
      <x:c r="H41" s="21" t="str">
        <x:v>分单元教学</x:v>
      </x:c>
      <x:c r="I41" s="21" t="str">
        <x:v>线性</x:v>
      </x:c>
      <x:c r="J41" s="21" t="str">
        <x:v>9MA0</x:v>
      </x:c>
      <x:c r="K41" s="21" t="str">
        <x:v>来源规范快照；代码区分AS与AL</x:v>
      </x:c>
      <x:c r="L41" s="24" t="n">
        <x:v>400</x:v>
      </x:c>
      <x:c r="M41" s="21" t="str">
        <x:v>线性考试与校内分块教学并存；本表教学块不是可独立兑换的官方unit。</x:v>
      </x:c>
      <x:c r="N41" s="21" t="str">
        <x:v>P-UK-AL</x:v>
      </x:c>
    </x:row>
    <x:row r="42" ht="52" customHeight="1">
      <x:c r="A42" s="20" t="str">
        <x:v>C041</x:v>
      </x:c>
      <x:c r="B42" s="21" t="str">
        <x:v>S001</x:v>
      </x:c>
      <x:c r="C42" s="21" t="str">
        <x:v>Pearson Edexcel GCE AS Level 数学</x:v>
      </x:c>
      <x:c r="D42" s="21" t="str">
        <x:v>Pearson Edexcel GCE AS Level Mathematics</x:v>
      </x:c>
      <x:c r="E42" s="21" t="str">
        <x:v>Pearson Edexcel</x:v>
      </x:c>
      <x:c r="F42" s="21" t="str">
        <x:v>GCE AS Level</x:v>
      </x:c>
      <x:c r="G42" s="21" t="str">
        <x:v>英格兰</x:v>
      </x:c>
      <x:c r="H42" s="21" t="str">
        <x:v>分单元教学</x:v>
      </x:c>
      <x:c r="I42" s="21" t="str">
        <x:v>线性</x:v>
      </x:c>
      <x:c r="J42" s="21" t="str">
        <x:v>8MA0</x:v>
      </x:c>
      <x:c r="K42" s="21" t="str">
        <x:v>来源规范快照；代码区分AS与AL</x:v>
      </x:c>
      <x:c r="L42" s="24" t="n">
        <x:v>410</x:v>
      </x:c>
      <x:c r="M42" s="21" t="str">
        <x:v>线性考试与校内分块教学并存；本表教学块不是可独立兑换的官方unit。</x:v>
      </x:c>
      <x:c r="N42" s="21" t="str">
        <x:v>P-UK-AS</x:v>
      </x:c>
    </x:row>
    <x:row r="43" ht="52" customHeight="1">
      <x:c r="A43" s="20" t="str">
        <x:v>C042</x:v>
      </x:c>
      <x:c r="B43" s="21" t="str">
        <x:v>S001</x:v>
      </x:c>
      <x:c r="C43" s="21" t="str">
        <x:v>OCR GCE A Level 数学A</x:v>
      </x:c>
      <x:c r="D43" s="21" t="str">
        <x:v>OCR GCE A Level Mathematics A</x:v>
      </x:c>
      <x:c r="E43" s="21" t="str">
        <x:v>OCR</x:v>
      </x:c>
      <x:c r="F43" s="21" t="str">
        <x:v>GCE A Level</x:v>
      </x:c>
      <x:c r="G43" s="21" t="str">
        <x:v>英格兰</x:v>
      </x:c>
      <x:c r="H43" s="21" t="str">
        <x:v>分单元教学</x:v>
      </x:c>
      <x:c r="I43" s="21" t="str">
        <x:v>线性</x:v>
      </x:c>
      <x:c r="J43" s="21" t="str">
        <x:v>H240</x:v>
      </x:c>
      <x:c r="K43" s="21" t="str">
        <x:v>来源规范快照；代码区分AS与AL</x:v>
      </x:c>
      <x:c r="L43" s="24" t="n">
        <x:v>420</x:v>
      </x:c>
      <x:c r="M43" s="21" t="str">
        <x:v>线性考试与校内分块教学并存；本表教学块不是可独立兑换的官方unit。</x:v>
      </x:c>
      <x:c r="N43" s="21" t="str">
        <x:v>OCR-A</x:v>
      </x:c>
    </x:row>
    <x:row r="44" ht="52" customHeight="1">
      <x:c r="A44" s="20" t="str">
        <x:v>C043</x:v>
      </x:c>
      <x:c r="B44" s="21" t="str">
        <x:v>S001</x:v>
      </x:c>
      <x:c r="C44" s="21" t="str">
        <x:v>OCR GCE AS Level 数学A</x:v>
      </x:c>
      <x:c r="D44" s="21" t="str">
        <x:v>OCR GCE AS Level Mathematics A</x:v>
      </x:c>
      <x:c r="E44" s="21" t="str">
        <x:v>OCR</x:v>
      </x:c>
      <x:c r="F44" s="21" t="str">
        <x:v>GCE AS Level</x:v>
      </x:c>
      <x:c r="G44" s="21" t="str">
        <x:v>英格兰</x:v>
      </x:c>
      <x:c r="H44" s="21" t="str">
        <x:v>分单元教学</x:v>
      </x:c>
      <x:c r="I44" s="21" t="str">
        <x:v>线性</x:v>
      </x:c>
      <x:c r="J44" s="21" t="str">
        <x:v>H230</x:v>
      </x:c>
      <x:c r="K44" s="21" t="str">
        <x:v>来源规范快照；代码区分AS与AL</x:v>
      </x:c>
      <x:c r="L44" s="24" t="n">
        <x:v>430</x:v>
      </x:c>
      <x:c r="M44" s="21" t="str">
        <x:v>线性考试与校内分块教学并存；本表教学块不是可独立兑换的官方unit。</x:v>
      </x:c>
      <x:c r="N44" s="21" t="str">
        <x:v>OCR-A</x:v>
      </x:c>
    </x:row>
    <x:row r="45" ht="52" customHeight="1">
      <x:c r="A45" s="20" t="str">
        <x:v>C044</x:v>
      </x:c>
      <x:c r="B45" s="21" t="str">
        <x:v>S001</x:v>
      </x:c>
      <x:c r="C45" s="21" t="str">
        <x:v>OCR GCE A Level 数学B (MEI)</x:v>
      </x:c>
      <x:c r="D45" s="21" t="str">
        <x:v>OCR GCE A Level Mathematics B (MEI)</x:v>
      </x:c>
      <x:c r="E45" s="21" t="str">
        <x:v>OCR</x:v>
      </x:c>
      <x:c r="F45" s="21" t="str">
        <x:v>GCE A Level</x:v>
      </x:c>
      <x:c r="G45" s="21" t="str">
        <x:v>英格兰</x:v>
      </x:c>
      <x:c r="H45" s="21" t="str">
        <x:v>分单元教学</x:v>
      </x:c>
      <x:c r="I45" s="21" t="str">
        <x:v>线性</x:v>
      </x:c>
      <x:c r="J45" s="21" t="str">
        <x:v>H640</x:v>
      </x:c>
      <x:c r="K45" s="21" t="str">
        <x:v>来源规范快照；代码区分AS与AL</x:v>
      </x:c>
      <x:c r="L45" s="24" t="n">
        <x:v>440</x:v>
      </x:c>
      <x:c r="M45" s="21" t="str">
        <x:v>线性考试与校内分块教学并存；本表教学块不是可独立兑换的官方unit。</x:v>
      </x:c>
      <x:c r="N45" s="21" t="str">
        <x:v>OCR-B</x:v>
      </x:c>
    </x:row>
    <x:row r="46" ht="52" customHeight="1">
      <x:c r="A46" s="20" t="str">
        <x:v>C045</x:v>
      </x:c>
      <x:c r="B46" s="21" t="str">
        <x:v>S001</x:v>
      </x:c>
      <x:c r="C46" s="21" t="str">
        <x:v>OCR GCE AS Level 数学B (MEI)</x:v>
      </x:c>
      <x:c r="D46" s="21" t="str">
        <x:v>OCR GCE AS Level Mathematics B (MEI)</x:v>
      </x:c>
      <x:c r="E46" s="21" t="str">
        <x:v>OCR</x:v>
      </x:c>
      <x:c r="F46" s="21" t="str">
        <x:v>GCE AS Level</x:v>
      </x:c>
      <x:c r="G46" s="21" t="str">
        <x:v>英格兰</x:v>
      </x:c>
      <x:c r="H46" s="21" t="str">
        <x:v>分单元教学</x:v>
      </x:c>
      <x:c r="I46" s="21" t="str">
        <x:v>线性</x:v>
      </x:c>
      <x:c r="J46" s="21" t="str">
        <x:v>H630</x:v>
      </x:c>
      <x:c r="K46" s="21" t="str">
        <x:v>来源规范快照；代码区分AS与AL</x:v>
      </x:c>
      <x:c r="L46" s="24" t="n">
        <x:v>450</x:v>
      </x:c>
      <x:c r="M46" s="21" t="str">
        <x:v>线性考试与校内分块教学并存；本表教学块不是可独立兑换的官方unit。</x:v>
      </x:c>
      <x:c r="N46" s="21" t="str">
        <x:v>OCR-B</x:v>
      </x:c>
    </x:row>
    <x:row r="47" ht="52" customHeight="1">
      <x:c r="A47" s="20" t="str">
        <x:v>C046</x:v>
      </x:c>
      <x:c r="B47" s="21" t="str">
        <x:v>S001</x:v>
      </x:c>
      <x:c r="C47" s="21" t="str">
        <x:v>WJEC 威尔士数学</x:v>
      </x:c>
      <x:c r="D47" s="21" t="str">
        <x:v>WJEC GCE AS and A Level Mathematics</x:v>
      </x:c>
      <x:c r="E47" s="21" t="str">
        <x:v>WJEC</x:v>
      </x:c>
      <x:c r="F47" s="21" t="str">
        <x:v>GCE AS / A Level</x:v>
      </x:c>
      <x:c r="G47" s="21" t="str">
        <x:v>威尔士</x:v>
      </x:c>
      <x:c r="H47" s="21" t="str">
        <x:v>分单元教学</x:v>
      </x:c>
      <x:c r="I47" s="21" t="str">
        <x:v>单元制</x:v>
      </x:c>
      <x:c r="J47" s="21" t="str">
        <x:v>不适用</x:v>
      </x:c>
      <x:c r="K47" s="21" t="str">
        <x:v>2017起教学规范</x:v>
      </x:c>
      <x:c r="L47" s="24" t="n">
        <x:v>460</x:v>
      </x:c>
      <x:c r="M47" s="21" t="str">
        <x:v>区别于Eduqas英格兰线性课程；AS贡献完整AL的40%。</x:v>
      </x:c>
      <x:c r="N47" s="21" t="str">
        <x:v>WJ-MATH;WJ-PAGE</x:v>
      </x:c>
    </x:row>
    <x:row r="48" ht="52" customHeight="1">
      <x:c r="A48" s="20" t="str">
        <x:v>C047</x:v>
      </x:c>
      <x:c r="B48" s="21" t="str">
        <x:v>S001</x:v>
      </x:c>
      <x:c r="C48" s="21" t="str">
        <x:v>CCEA 北爱尔兰数学</x:v>
      </x:c>
      <x:c r="D48" s="21" t="str">
        <x:v>CCEA GCE AS and A Level Mathematics</x:v>
      </x:c>
      <x:c r="E48" s="21" t="str">
        <x:v>CCEA</x:v>
      </x:c>
      <x:c r="F48" s="21" t="str">
        <x:v>GCE AS / A Level</x:v>
      </x:c>
      <x:c r="G48" s="21" t="str">
        <x:v>北爱尔兰</x:v>
      </x:c>
      <x:c r="H48" s="21" t="str">
        <x:v>分单元教学</x:v>
      </x:c>
      <x:c r="I48" s="21" t="str">
        <x:v>单元制</x:v>
      </x:c>
      <x:c r="J48" s="21" t="str">
        <x:v>未设置</x:v>
      </x:c>
      <x:c r="K48" s="21" t="str">
        <x:v>2018起教学规范摘录</x:v>
      </x:c>
      <x:c r="L48" s="24" t="n">
        <x:v>470</x:v>
      </x:c>
      <x:c r="M48" s="21" t="str">
        <x:v>2210是classification code而非唯一资格/cash-in代码；本例课程代码允许未设置。官网本轮未能直接读取。</x:v>
      </x:c>
      <x:c r="N48" s="21" t="str">
        <x:v>CCEA-MATH;CCEA-SCHOOL</x:v>
      </x:c>
    </x:row>
    <x:row r="49" ht="52" customHeight="1">
      <x:c r="A49" s="20" t="str">
        <x:v>C048</x:v>
      </x:c>
      <x:c r="B49" s="21" t="str">
        <x:v>S008</x:v>
      </x:c>
      <x:c r="C49" s="21" t="str">
        <x:v>Eduqas A Level 商科</x:v>
      </x:c>
      <x:c r="D49" s="21" t="str">
        <x:v>WJEC Eduqas GCE A Level Business</x:v>
      </x:c>
      <x:c r="E49" s="21" t="str">
        <x:v>WJEC Eduqas</x:v>
      </x:c>
      <x:c r="F49" s="21" t="str">
        <x:v>GCE A Level</x:v>
      </x:c>
      <x:c r="G49" s="21" t="str">
        <x:v>英格兰</x:v>
      </x:c>
      <x:c r="H49" s="21" t="str">
        <x:v>分单元教学</x:v>
      </x:c>
      <x:c r="I49" s="21" t="str">
        <x:v>线性</x:v>
      </x:c>
      <x:c r="J49" s="21" t="str">
        <x:v>A510QS</x:v>
      </x:c>
      <x:c r="K49" s="21" t="str">
        <x:v>官网AL课程快照；不创建已宣布退场的AS新开课</x:v>
      </x:c>
      <x:c r="L49" s="24" t="n">
        <x:v>480</x:v>
      </x:c>
      <x:c r="M49" s="21" t="str">
        <x:v>校内教学块用于组织教学；不是官方独立模块。Eduqas与WJEC Wales分开。</x:v>
      </x:c>
      <x:c r="N49" s="21" t="str">
        <x:v>EDU-BUS</x:v>
      </x:c>
    </x:row>
    <x:row r="50" ht="52" customHeight="1">
      <x:c r="A50" s="20" t="str">
        <x:v>C049</x:v>
      </x:c>
      <x:c r="B50" s="21" t="str">
        <x:v>S005</x:v>
      </x:c>
      <x:c r="C50" s="21" t="str">
        <x:v>Eduqas A Level 计算机科学</x:v>
      </x:c>
      <x:c r="D50" s="21" t="str">
        <x:v>WJEC Eduqas GCE A Level Computer Science</x:v>
      </x:c>
      <x:c r="E50" s="21" t="str">
        <x:v>WJEC Eduqas</x:v>
      </x:c>
      <x:c r="F50" s="21" t="str">
        <x:v>GCE A Level</x:v>
      </x:c>
      <x:c r="G50" s="21" t="str">
        <x:v>英格兰</x:v>
      </x:c>
      <x:c r="H50" s="21" t="str">
        <x:v>分单元教学</x:v>
      </x:c>
      <x:c r="I50" s="21" t="str">
        <x:v>线性</x:v>
      </x:c>
      <x:c r="J50" s="21" t="str">
        <x:v>A500QS</x:v>
      </x:c>
      <x:c r="K50" s="21" t="str">
        <x:v>官网AL课程快照；不创建已宣布退场的AS新开课</x:v>
      </x:c>
      <x:c r="L50" s="24" t="n">
        <x:v>490</x:v>
      </x:c>
      <x:c r="M50" s="21" t="str">
        <x:v>校内教学块用于组织教学；不是官方独立模块。Eduqas与WJEC Wales分开。</x:v>
      </x:c>
      <x:c r="N50" s="21" t="str">
        <x:v>EDU-CS</x:v>
      </x:c>
    </x:row>
    <x:row r="51" ht="52" customHeight="1">
      <x:c r="A51" s="20" t="str">
        <x:v>C050</x:v>
      </x:c>
      <x:c r="B51" s="21" t="str">
        <x:v>S001</x:v>
      </x:c>
      <x:c r="C51" s="21" t="str">
        <x:v>数学衔接与拓展</x:v>
      </x:c>
      <x:c r="D51" s="21" t="str">
        <x:v>Mathematics Bridging and Enrichment</x:v>
      </x:c>
      <x:c r="E51" s="21" t="str">
        <x:v>校本</x:v>
      </x:c>
      <x:c r="F51" s="21" t="str">
        <x:v>校本课程</x:v>
      </x:c>
      <x:c r="G51" s="21" t="str">
        <x:v>本校</x:v>
      </x:c>
      <x:c r="H51" s="21" t="str">
        <x:v>分单元教学</x:v>
      </x:c>
      <x:c r="I51" s="21" t="str">
        <x:v>校内评价</x:v>
      </x:c>
      <x:c r="J51" s="21" t="str">
        <x:v>未设置</x:v>
      </x:c>
      <x:c r="K51" s="21" t="str">
        <x:v>校内示例 v1</x:v>
      </x:c>
      <x:c r="L51" s="24" t="n">
        <x:v>500</x:v>
      </x:c>
      <x:c r="M51" s="21" t="str">
        <x:v>说明没有官方代码也能创建课程；本例不是任何考试局的资格。</x:v>
      </x:c>
      <x:c r="N51" s="21" t="str">
        <x:v>SCHOOL</x:v>
      </x:c>
    </x:row>
    <x:row r="52" ht="52" customHeight="1">
      <x:c r="A52" s="20" t="str">
        <x:v>C051</x:v>
      </x:c>
      <x:c r="B52" s="21" t="str">
        <x:v>S005</x:v>
      </x:c>
      <x:c r="C52" s="21" t="str">
        <x:v>AQA A Level 计算机科学</x:v>
      </x:c>
      <x:c r="D52" s="21" t="str">
        <x:v>AQA GCE A Level Computer Science</x:v>
      </x:c>
      <x:c r="E52" s="21" t="str">
        <x:v>AQA</x:v>
      </x:c>
      <x:c r="F52" s="21" t="str">
        <x:v>GCE A Level</x:v>
      </x:c>
      <x:c r="G52" s="21" t="str">
        <x:v>英格兰</x:v>
      </x:c>
      <x:c r="H52" s="21" t="str">
        <x:v>分单元教学</x:v>
      </x:c>
      <x:c r="I52" s="21" t="str">
        <x:v>线性（含NEA）</x:v>
      </x:c>
      <x:c r="J52" s="21" t="str">
        <x:v>7517</x:v>
      </x:c>
      <x:c r="K52" s="21" t="str">
        <x:v>官网规范快照</x:v>
      </x:c>
      <x:c r="L52" s="24" t="n">
        <x:v>510</x:v>
      </x:c>
      <x:c r="M52" s="21" t="str">
        <x:v>编程项目是NEA考核；学校可按板块组织教学，不把NEA当独立cash-in单元。</x:v>
      </x:c>
      <x:c r="N52" s="21" t="str">
        <x:v>AQ-CS</x:v>
      </x:c>
    </x:row>
    <x:row r="53" ht="64" customHeight="1">
      <x:c r="A53" s="71" t="str">
        <x:v>C052</x:v>
      </x:c>
      <x:c r="B53" s="70" t="str">
        <x:v>S025</x:v>
      </x:c>
      <x:c r="C53" s="70" t="str">
        <x:v>Cambridge Afrikaans Language AS only</x:v>
      </x:c>
      <x:c r="D53" s="70" t="str">
        <x:v>Cambridge Afrikaans Language AS only</x:v>
      </x:c>
      <x:c r="E53" s="70" t="str">
        <x:v>Cambridge International</x:v>
      </x:c>
      <x:c r="F53" s="70" t="str">
        <x:v>International AS / A Level</x:v>
      </x:c>
      <x:c r="G53" s="70" t="str">
        <x:v>国际版</x:v>
      </x:c>
      <x:c r="H53" s="70" t="str">
        <x:v>整门课程</x:v>
      </x:c>
      <x:c r="I53" s="70" t="str">
        <x:v>按学科大纲；未展开考核明细</x:v>
      </x:c>
      <x:c r="J53" s="72" t="str">
        <x:v>8679</x:v>
      </x:c>
      <x:c r="K53" s="70" t="str">
        <x:v>2026-09-17目录快照；按开课/考试年份复核</x:v>
      </x:c>
      <x:c r="L53" s="73" t="n">
        <x:v>520</x:v>
      </x:c>
      <x:c r="M53" s="70" t="str">
        <x:v>资格层级按官方目录；AS-only/A-only不自动扩成完整AL或独立AS资格。 目录层条目；未预填并不代表没有考试/实践/校评。</x:v>
      </x:c>
      <x:c r="N53" s="70" t="str">
        <x:v>V3-CAIE-AL</x:v>
      </x:c>
    </x:row>
    <x:row r="54" ht="64" customHeight="1">
      <x:c r="A54" s="71" t="str">
        <x:v>C053</x:v>
      </x:c>
      <x:c r="B54" s="70" t="str">
        <x:v>S015</x:v>
      </x:c>
      <x:c r="C54" s="70" t="str">
        <x:v>Cambridge Arabic AS / A Level</x:v>
      </x:c>
      <x:c r="D54" s="70" t="str">
        <x:v>Cambridge Arabic AS / A Level</x:v>
      </x:c>
      <x:c r="E54" s="70" t="str">
        <x:v>Cambridge International</x:v>
      </x:c>
      <x:c r="F54" s="70" t="str">
        <x:v>International AS / A Level</x:v>
      </x:c>
      <x:c r="G54" s="70" t="str">
        <x:v>国际版</x:v>
      </x:c>
      <x:c r="H54" s="70" t="str">
        <x:v>整门课程</x:v>
      </x:c>
      <x:c r="I54" s="70" t="str">
        <x:v>按学科大纲；未展开考核明细</x:v>
      </x:c>
      <x:c r="J54" s="72" t="str">
        <x:v>9680</x:v>
      </x:c>
      <x:c r="K54" s="70" t="str">
        <x:v>2026-09-17目录快照；按开课/考试年份复核</x:v>
      </x:c>
      <x:c r="L54" s="73" t="n">
        <x:v>530</x:v>
      </x:c>
      <x:c r="M54" s="70" t="str">
        <x:v>资格层级按官方目录；AS-only/A-only不自动扩成完整AL或独立AS资格。 目录层条目；未预填并不代表没有考试/实践/校评。</x:v>
      </x:c>
      <x:c r="N54" s="70" t="str">
        <x:v>V3-CAIE-AL</x:v>
      </x:c>
    </x:row>
    <x:row r="55" ht="64" customHeight="1">
      <x:c r="A55" s="71" t="str">
        <x:v>C054</x:v>
      </x:c>
      <x:c r="B55" s="70" t="str">
        <x:v>S015</x:v>
      </x:c>
      <x:c r="C55" s="70" t="str">
        <x:v>Cambridge Arabic Language AS only</x:v>
      </x:c>
      <x:c r="D55" s="70" t="str">
        <x:v>Cambridge Arabic Language AS only</x:v>
      </x:c>
      <x:c r="E55" s="70" t="str">
        <x:v>Cambridge International</x:v>
      </x:c>
      <x:c r="F55" s="70" t="str">
        <x:v>International AS / A Level</x:v>
      </x:c>
      <x:c r="G55" s="70" t="str">
        <x:v>国际版</x:v>
      </x:c>
      <x:c r="H55" s="70" t="str">
        <x:v>整门课程</x:v>
      </x:c>
      <x:c r="I55" s="70" t="str">
        <x:v>按学科大纲；未展开考核明细</x:v>
      </x:c>
      <x:c r="J55" s="72" t="str">
        <x:v>8680</x:v>
      </x:c>
      <x:c r="K55" s="70" t="str">
        <x:v>2026-09-17目录快照；按开课/考试年份复核</x:v>
      </x:c>
      <x:c r="L55" s="73" t="n">
        <x:v>540</x:v>
      </x:c>
      <x:c r="M55" s="70" t="str">
        <x:v>资格层级按官方目录；AS-only/A-only不自动扩成完整AL或独立AS资格。 目录层条目；未预填并不代表没有考试/实践/校评。</x:v>
      </x:c>
      <x:c r="N55" s="70" t="str">
        <x:v>V3-CAIE-AL</x:v>
      </x:c>
    </x:row>
    <x:row r="56" ht="64" customHeight="1">
      <x:c r="A56" s="71" t="str">
        <x:v>C055</x:v>
      </x:c>
      <x:c r="B56" s="70" t="str">
        <x:v>S026</x:v>
      </x:c>
      <x:c r="C56" s="70" t="str">
        <x:v>Cambridge Art &amp; Design AS / A Level</x:v>
      </x:c>
      <x:c r="D56" s="70" t="str">
        <x:v>Cambridge Art &amp; Design AS / A Level</x:v>
      </x:c>
      <x:c r="E56" s="70" t="str">
        <x:v>Cambridge International</x:v>
      </x:c>
      <x:c r="F56" s="70" t="str">
        <x:v>International AS / A Level</x:v>
      </x:c>
      <x:c r="G56" s="70" t="str">
        <x:v>国际版</x:v>
      </x:c>
      <x:c r="H56" s="70" t="str">
        <x:v>整门课程</x:v>
      </x:c>
      <x:c r="I56" s="70" t="str">
        <x:v>按学科大纲；未展开考核明细</x:v>
      </x:c>
      <x:c r="J56" s="72" t="str">
        <x:v>9479</x:v>
      </x:c>
      <x:c r="K56" s="70" t="str">
        <x:v>2026-09-17目录快照；按开课/考试年份复核</x:v>
      </x:c>
      <x:c r="L56" s="73" t="n">
        <x:v>550</x:v>
      </x:c>
      <x:c r="M56" s="70" t="str">
        <x:v>资格层级按官方目录；AS-only/A-only不自动扩成完整AL或独立AS资格。 目录层条目；未预填并不代表没有考试/实践/校评。</x:v>
      </x:c>
      <x:c r="N56" s="70" t="str">
        <x:v>V3-CAIE-AL</x:v>
      </x:c>
    </x:row>
    <x:row r="57" ht="64" customHeight="1">
      <x:c r="A57" s="71" t="str">
        <x:v>C056</x:v>
      </x:c>
      <x:c r="B57" s="70" t="str">
        <x:v>S030</x:v>
      </x:c>
      <x:c r="C57" s="70" t="str">
        <x:v>Cambridge Classical Studies AS / A Level</x:v>
      </x:c>
      <x:c r="D57" s="70" t="str">
        <x:v>Cambridge Classical Studies AS / A Level</x:v>
      </x:c>
      <x:c r="E57" s="70" t="str">
        <x:v>Cambridge International</x:v>
      </x:c>
      <x:c r="F57" s="70" t="str">
        <x:v>International AS / A Level</x:v>
      </x:c>
      <x:c r="G57" s="70" t="str">
        <x:v>国际版</x:v>
      </x:c>
      <x:c r="H57" s="70" t="str">
        <x:v>整门课程</x:v>
      </x:c>
      <x:c r="I57" s="70" t="str">
        <x:v>按学科大纲；未展开考核明细</x:v>
      </x:c>
      <x:c r="J57" s="72" t="str">
        <x:v>9274</x:v>
      </x:c>
      <x:c r="K57" s="70" t="str">
        <x:v>2026-09-17目录快照；按开课/考试年份复核</x:v>
      </x:c>
      <x:c r="L57" s="73" t="n">
        <x:v>560</x:v>
      </x:c>
      <x:c r="M57" s="70" t="str">
        <x:v>资格层级按官方目录；AS-only/A-only不自动扩成完整AL或独立AS资格。 目录层条目；未预填并不代表没有考试/实践/校评。</x:v>
      </x:c>
      <x:c r="N57" s="70" t="str">
        <x:v>V3-CAIE-AL</x:v>
      </x:c>
    </x:row>
    <x:row r="58" ht="64" customHeight="1">
      <x:c r="A58" s="71" t="str">
        <x:v>C057</x:v>
      </x:c>
      <x:c r="B58" s="70" t="str">
        <x:v>S033</x:v>
      </x:c>
      <x:c r="C58" s="70" t="str">
        <x:v>Cambridge Design &amp; Technology AS / A Level</x:v>
      </x:c>
      <x:c r="D58" s="70" t="str">
        <x:v>Cambridge Design &amp; Technology AS / A Level</x:v>
      </x:c>
      <x:c r="E58" s="70" t="str">
        <x:v>Cambridge International</x:v>
      </x:c>
      <x:c r="F58" s="70" t="str">
        <x:v>International AS / A Level</x:v>
      </x:c>
      <x:c r="G58" s="70" t="str">
        <x:v>国际版</x:v>
      </x:c>
      <x:c r="H58" s="70" t="str">
        <x:v>整门课程</x:v>
      </x:c>
      <x:c r="I58" s="70" t="str">
        <x:v>按学科大纲；未展开考核明细</x:v>
      </x:c>
      <x:c r="J58" s="72" t="str">
        <x:v>9705</x:v>
      </x:c>
      <x:c r="K58" s="70" t="str">
        <x:v>2026-09-17目录快照；按开课/考试年份复核</x:v>
      </x:c>
      <x:c r="L58" s="73" t="n">
        <x:v>570</x:v>
      </x:c>
      <x:c r="M58" s="70" t="str">
        <x:v>资格层级按官方目录；AS-only/A-only不自动扩成完整AL或独立AS资格。 目录层条目；未预填并不代表没有考试/实践/校评。</x:v>
      </x:c>
      <x:c r="N58" s="70" t="str">
        <x:v>V3-CAIE-AL</x:v>
      </x:c>
    </x:row>
    <x:row r="59" ht="64" customHeight="1">
      <x:c r="A59" s="71" t="str">
        <x:v>C058</x:v>
      </x:c>
      <x:c r="B59" s="70" t="str">
        <x:v>S034</x:v>
      </x:c>
      <x:c r="C59" s="70" t="str">
        <x:v>Cambridge Digital Media &amp; Design AS / A Level</x:v>
      </x:c>
      <x:c r="D59" s="70" t="str">
        <x:v>Cambridge Digital Media &amp; Design AS / A Level</x:v>
      </x:c>
      <x:c r="E59" s="70" t="str">
        <x:v>Cambridge International</x:v>
      </x:c>
      <x:c r="F59" s="70" t="str">
        <x:v>International AS / A Level</x:v>
      </x:c>
      <x:c r="G59" s="70" t="str">
        <x:v>国际版</x:v>
      </x:c>
      <x:c r="H59" s="70" t="str">
        <x:v>整门课程</x:v>
      </x:c>
      <x:c r="I59" s="70" t="str">
        <x:v>按学科大纲；未展开考核明细</x:v>
      </x:c>
      <x:c r="J59" s="72" t="str">
        <x:v>9481</x:v>
      </x:c>
      <x:c r="K59" s="70" t="str">
        <x:v>2026-09-17目录快照；按开课/考试年份复核</x:v>
      </x:c>
      <x:c r="L59" s="73" t="n">
        <x:v>580</x:v>
      </x:c>
      <x:c r="M59" s="70" t="str">
        <x:v>资格层级按官方目录；AS-only/A-only不自动扩成完整AL或独立AS资格。 目录层条目；未预填并不代表没有考试/实践/校评。</x:v>
      </x:c>
      <x:c r="N59" s="70" t="str">
        <x:v>V3-CAIE-AL</x:v>
      </x:c>
    </x:row>
    <x:row r="60" ht="64" customHeight="1">
      <x:c r="A60" s="71" t="str">
        <x:v>C059</x:v>
      </x:c>
      <x:c r="B60" s="70" t="str">
        <x:v>S028</x:v>
      </x:c>
      <x:c r="C60" s="70" t="str">
        <x:v>Cambridge Drama AS / A Level</x:v>
      </x:c>
      <x:c r="D60" s="70" t="str">
        <x:v>Cambridge Drama AS / A Level</x:v>
      </x:c>
      <x:c r="E60" s="70" t="str">
        <x:v>Cambridge International</x:v>
      </x:c>
      <x:c r="F60" s="70" t="str">
        <x:v>International AS / A Level</x:v>
      </x:c>
      <x:c r="G60" s="70" t="str">
        <x:v>国际版</x:v>
      </x:c>
      <x:c r="H60" s="70" t="str">
        <x:v>整门课程</x:v>
      </x:c>
      <x:c r="I60" s="70" t="str">
        <x:v>按学科大纲；未展开考核明细</x:v>
      </x:c>
      <x:c r="J60" s="72" t="str">
        <x:v>9482</x:v>
      </x:c>
      <x:c r="K60" s="70" t="str">
        <x:v>2026-09-17目录快照；按开课/考试年份复核</x:v>
      </x:c>
      <x:c r="L60" s="73" t="n">
        <x:v>590</x:v>
      </x:c>
      <x:c r="M60" s="70" t="str">
        <x:v>资格层级按官方目录；AS-only/A-only不自动扩成完整AL或独立AS资格。 目录层条目；未预填并不代表没有考试/实践/校评。</x:v>
      </x:c>
      <x:c r="N60" s="70" t="str">
        <x:v>V3-CAIE-AL</x:v>
      </x:c>
    </x:row>
    <x:row r="61" ht="64" customHeight="1">
      <x:c r="A61" s="71" t="str">
        <x:v>C060</x:v>
      </x:c>
      <x:c r="B61" s="70" t="str">
        <x:v>S010</x:v>
      </x:c>
      <x:c r="C61" s="70" t="str">
        <x:v>Cambridge English Language and Literature AS only</x:v>
      </x:c>
      <x:c r="D61" s="70" t="str">
        <x:v>Cambridge English Language and Literature AS only</x:v>
      </x:c>
      <x:c r="E61" s="70" t="str">
        <x:v>Cambridge International</x:v>
      </x:c>
      <x:c r="F61" s="70" t="str">
        <x:v>International AS / A Level</x:v>
      </x:c>
      <x:c r="G61" s="70" t="str">
        <x:v>国际版</x:v>
      </x:c>
      <x:c r="H61" s="70" t="str">
        <x:v>整门课程</x:v>
      </x:c>
      <x:c r="I61" s="70" t="str">
        <x:v>按学科大纲；未展开考核明细</x:v>
      </x:c>
      <x:c r="J61" s="72" t="str">
        <x:v>8695</x:v>
      </x:c>
      <x:c r="K61" s="70" t="str">
        <x:v>2026-09-17目录快照；按开课/考试年份复核</x:v>
      </x:c>
      <x:c r="L61" s="73" t="n">
        <x:v>600</x:v>
      </x:c>
      <x:c r="M61" s="70" t="str">
        <x:v>资格层级按官方目录；AS-only/A-only不自动扩成完整AL或独立AS资格。 目录层条目；未预填并不代表没有考试/实践/校评。</x:v>
      </x:c>
      <x:c r="N61" s="70" t="str">
        <x:v>V3-CAIE-AL</x:v>
      </x:c>
    </x:row>
    <x:row r="62" ht="64" customHeight="1">
      <x:c r="A62" s="71" t="str">
        <x:v>C061</x:v>
      </x:c>
      <x:c r="B62" s="70" t="str">
        <x:v>S010</x:v>
      </x:c>
      <x:c r="C62" s="70" t="str">
        <x:v>Cambridge Literature in English AS / A Level</x:v>
      </x:c>
      <x:c r="D62" s="70" t="str">
        <x:v>Cambridge Literature in English AS / A Level</x:v>
      </x:c>
      <x:c r="E62" s="70" t="str">
        <x:v>Cambridge International</x:v>
      </x:c>
      <x:c r="F62" s="70" t="str">
        <x:v>International AS / A Level</x:v>
      </x:c>
      <x:c r="G62" s="70" t="str">
        <x:v>国际版</x:v>
      </x:c>
      <x:c r="H62" s="70" t="str">
        <x:v>整门课程</x:v>
      </x:c>
      <x:c r="I62" s="70" t="str">
        <x:v>按学科大纲；未展开考核明细</x:v>
      </x:c>
      <x:c r="J62" s="72" t="str">
        <x:v>9695</x:v>
      </x:c>
      <x:c r="K62" s="70" t="str">
        <x:v>2026-09-17目录快照；按开课/考试年份复核</x:v>
      </x:c>
      <x:c r="L62" s="73" t="n">
        <x:v>610</x:v>
      </x:c>
      <x:c r="M62" s="70" t="str">
        <x:v>资格层级按官方目录；AS-only/A-only不自动扩成完整AL或独立AS资格。 目录层条目；未预填并不代表没有考试/实践/校评。</x:v>
      </x:c>
      <x:c r="N62" s="70" t="str">
        <x:v>V3-CAIE-AL</x:v>
      </x:c>
    </x:row>
    <x:row r="63" ht="64" customHeight="1">
      <x:c r="A63" s="71" t="str">
        <x:v>C062</x:v>
      </x:c>
      <x:c r="B63" s="70" t="str">
        <x:v>S010</x:v>
      </x:c>
      <x:c r="C63" s="70" t="str">
        <x:v>Cambridge English General Paper AS only</x:v>
      </x:c>
      <x:c r="D63" s="70" t="str">
        <x:v>Cambridge English General Paper AS only</x:v>
      </x:c>
      <x:c r="E63" s="70" t="str">
        <x:v>Cambridge International</x:v>
      </x:c>
      <x:c r="F63" s="70" t="str">
        <x:v>International AS / A Level</x:v>
      </x:c>
      <x:c r="G63" s="70" t="str">
        <x:v>国际版</x:v>
      </x:c>
      <x:c r="H63" s="70" t="str">
        <x:v>整门课程</x:v>
      </x:c>
      <x:c r="I63" s="70" t="str">
        <x:v>按学科大纲；未展开考核明细</x:v>
      </x:c>
      <x:c r="J63" s="72" t="str">
        <x:v>8021</x:v>
      </x:c>
      <x:c r="K63" s="70" t="str">
        <x:v>2026-09-17目录快照；按开课/考试年份复核</x:v>
      </x:c>
      <x:c r="L63" s="73" t="n">
        <x:v>620</x:v>
      </x:c>
      <x:c r="M63" s="70" t="str">
        <x:v>资格层级按官方目录；AS-only/A-only不自动扩成完整AL或独立AS资格。 目录层条目；未预填并不代表没有考试/实践/校评。</x:v>
      </x:c>
      <x:c r="N63" s="70" t="str">
        <x:v>V3-CAIE-AL</x:v>
      </x:c>
    </x:row>
    <x:row r="64" ht="64" customHeight="1">
      <x:c r="A64" s="71" t="str">
        <x:v>C063</x:v>
      </x:c>
      <x:c r="B64" s="70" t="str">
        <x:v>S010</x:v>
      </x:c>
      <x:c r="C64" s="70" t="str">
        <x:v>Cambridge English Language AS / A Level</x:v>
      </x:c>
      <x:c r="D64" s="70" t="str">
        <x:v>Cambridge English Language AS / A Level</x:v>
      </x:c>
      <x:c r="E64" s="70" t="str">
        <x:v>Cambridge International</x:v>
      </x:c>
      <x:c r="F64" s="70" t="str">
        <x:v>International AS / A Level</x:v>
      </x:c>
      <x:c r="G64" s="70" t="str">
        <x:v>国际版</x:v>
      </x:c>
      <x:c r="H64" s="70" t="str">
        <x:v>整门课程</x:v>
      </x:c>
      <x:c r="I64" s="70" t="str">
        <x:v>按学科大纲；未展开考核明细</x:v>
      </x:c>
      <x:c r="J64" s="72" t="str">
        <x:v>9093</x:v>
      </x:c>
      <x:c r="K64" s="70" t="str">
        <x:v>2026-09-17目录快照；按开课/考试年份复核</x:v>
      </x:c>
      <x:c r="L64" s="73" t="n">
        <x:v>630</x:v>
      </x:c>
      <x:c r="M64" s="70" t="str">
        <x:v>资格层级按官方目录；AS-only/A-only不自动扩成完整AL或独立AS资格。 目录层条目；未预填并不代表没有考试/实践/校评。</x:v>
      </x:c>
      <x:c r="N64" s="70" t="str">
        <x:v>V3-CAIE-AL</x:v>
      </x:c>
    </x:row>
    <x:row r="65" ht="64" customHeight="1">
      <x:c r="A65" s="71" t="str">
        <x:v>C064</x:v>
      </x:c>
      <x:c r="B65" s="70" t="str">
        <x:v>S031</x:v>
      </x:c>
      <x:c r="C65" s="70" t="str">
        <x:v>Cambridge Environmental Management AS only</x:v>
      </x:c>
      <x:c r="D65" s="70" t="str">
        <x:v>Cambridge Environmental Management AS only</x:v>
      </x:c>
      <x:c r="E65" s="70" t="str">
        <x:v>Cambridge International</x:v>
      </x:c>
      <x:c r="F65" s="70" t="str">
        <x:v>International AS / A Level</x:v>
      </x:c>
      <x:c r="G65" s="70" t="str">
        <x:v>国际版</x:v>
      </x:c>
      <x:c r="H65" s="70" t="str">
        <x:v>整门课程</x:v>
      </x:c>
      <x:c r="I65" s="70" t="str">
        <x:v>按学科大纲；未展开考核明细</x:v>
      </x:c>
      <x:c r="J65" s="72" t="str">
        <x:v>8291</x:v>
      </x:c>
      <x:c r="K65" s="70" t="str">
        <x:v>2026-09-17目录快照；按开课/考试年份复核</x:v>
      </x:c>
      <x:c r="L65" s="73" t="n">
        <x:v>640</x:v>
      </x:c>
      <x:c r="M65" s="70" t="str">
        <x:v>资格层级按官方目录；AS-only/A-only不自动扩成完整AL或独立AS资格。 目录层条目；未预填并不代表没有考试/实践/校评。</x:v>
      </x:c>
      <x:c r="N65" s="70" t="str">
        <x:v>V3-CAIE-AL</x:v>
      </x:c>
    </x:row>
    <x:row r="66" ht="64" customHeight="1">
      <x:c r="A66" s="71" t="str">
        <x:v>C065</x:v>
      </x:c>
      <x:c r="B66" s="70" t="str">
        <x:v>S016</x:v>
      </x:c>
      <x:c r="C66" s="70" t="str">
        <x:v>Cambridge French Language &amp; Literature A Level only</x:v>
      </x:c>
      <x:c r="D66" s="70" t="str">
        <x:v>Cambridge French Language &amp; Literature A Level only</x:v>
      </x:c>
      <x:c r="E66" s="70" t="str">
        <x:v>Cambridge International</x:v>
      </x:c>
      <x:c r="F66" s="70" t="str">
        <x:v>International AS / A Level</x:v>
      </x:c>
      <x:c r="G66" s="70" t="str">
        <x:v>国际版</x:v>
      </x:c>
      <x:c r="H66" s="70" t="str">
        <x:v>整门课程</x:v>
      </x:c>
      <x:c r="I66" s="70" t="str">
        <x:v>按学科大纲；未展开考核明细</x:v>
      </x:c>
      <x:c r="J66" s="72" t="str">
        <x:v>9898</x:v>
      </x:c>
      <x:c r="K66" s="70" t="str">
        <x:v>2026-09-17目录快照；按开课/考试年份复核</x:v>
      </x:c>
      <x:c r="L66" s="73" t="n">
        <x:v>650</x:v>
      </x:c>
      <x:c r="M66" s="70" t="str">
        <x:v>资格层级按官方目录；AS-only/A-only不自动扩成完整AL或独立AS资格。 目录层条目；未预填并不代表没有考试/实践/校评。</x:v>
      </x:c>
      <x:c r="N66" s="70" t="str">
        <x:v>V3-CAIE-AL</x:v>
      </x:c>
    </x:row>
    <x:row r="67" ht="64" customHeight="1">
      <x:c r="A67" s="71" t="str">
        <x:v>C066</x:v>
      </x:c>
      <x:c r="B67" s="70" t="str">
        <x:v>S016</x:v>
      </x:c>
      <x:c r="C67" s="70" t="str">
        <x:v>Cambridge French Language AS only</x:v>
      </x:c>
      <x:c r="D67" s="70" t="str">
        <x:v>Cambridge French Language AS only</x:v>
      </x:c>
      <x:c r="E67" s="70" t="str">
        <x:v>Cambridge International</x:v>
      </x:c>
      <x:c r="F67" s="70" t="str">
        <x:v>International AS / A Level</x:v>
      </x:c>
      <x:c r="G67" s="70" t="str">
        <x:v>国际版</x:v>
      </x:c>
      <x:c r="H67" s="70" t="str">
        <x:v>整门课程</x:v>
      </x:c>
      <x:c r="I67" s="70" t="str">
        <x:v>按学科大纲；未展开考核明细</x:v>
      </x:c>
      <x:c r="J67" s="72" t="str">
        <x:v>8028</x:v>
      </x:c>
      <x:c r="K67" s="70" t="str">
        <x:v>2026-09-17目录快照；按开课/考试年份复核</x:v>
      </x:c>
      <x:c r="L67" s="73" t="n">
        <x:v>660</x:v>
      </x:c>
      <x:c r="M67" s="70" t="str">
        <x:v>资格层级按官方目录；AS-only/A-only不自动扩成完整AL或独立AS资格。 目录层条目；未预填并不代表没有考试/实践/校评。</x:v>
      </x:c>
      <x:c r="N67" s="70" t="str">
        <x:v>V3-CAIE-AL</x:v>
      </x:c>
    </x:row>
    <x:row r="68" ht="64" customHeight="1">
      <x:c r="A68" s="71" t="str">
        <x:v>C067</x:v>
      </x:c>
      <x:c r="B68" s="70" t="str">
        <x:v>S012</x:v>
      </x:c>
      <x:c r="C68" s="70" t="str">
        <x:v>Cambridge Geography AS / A Level</x:v>
      </x:c>
      <x:c r="D68" s="70" t="str">
        <x:v>Cambridge Geography AS / A Level</x:v>
      </x:c>
      <x:c r="E68" s="70" t="str">
        <x:v>Cambridge International</x:v>
      </x:c>
      <x:c r="F68" s="70" t="str">
        <x:v>International AS / A Level</x:v>
      </x:c>
      <x:c r="G68" s="70" t="str">
        <x:v>国际版</x:v>
      </x:c>
      <x:c r="H68" s="70" t="str">
        <x:v>整门课程</x:v>
      </x:c>
      <x:c r="I68" s="70" t="str">
        <x:v>按学科大纲；未展开考核明细</x:v>
      </x:c>
      <x:c r="J68" s="72" t="str">
        <x:v>9696</x:v>
      </x:c>
      <x:c r="K68" s="70" t="str">
        <x:v>2026-09-17目录快照；按开课/考试年份复核</x:v>
      </x:c>
      <x:c r="L68" s="73" t="n">
        <x:v>670</x:v>
      </x:c>
      <x:c r="M68" s="70" t="str">
        <x:v>资格层级按官方目录；AS-only/A-only不自动扩成完整AL或独立AS资格。 目录层条目；未预填并不代表没有考试/实践/校评。</x:v>
      </x:c>
      <x:c r="N68" s="70" t="str">
        <x:v>V3-CAIE-AL</x:v>
      </x:c>
    </x:row>
    <x:row r="69" ht="64" customHeight="1">
      <x:c r="A69" s="71" t="str">
        <x:v>C068</x:v>
      </x:c>
      <x:c r="B69" s="70" t="str">
        <x:v>S017</x:v>
      </x:c>
      <x:c r="C69" s="70" t="str">
        <x:v>Cambridge German Language AS only</x:v>
      </x:c>
      <x:c r="D69" s="70" t="str">
        <x:v>Cambridge German Language AS only</x:v>
      </x:c>
      <x:c r="E69" s="70" t="str">
        <x:v>Cambridge International</x:v>
      </x:c>
      <x:c r="F69" s="70" t="str">
        <x:v>International AS / A Level</x:v>
      </x:c>
      <x:c r="G69" s="70" t="str">
        <x:v>国际版</x:v>
      </x:c>
      <x:c r="H69" s="70" t="str">
        <x:v>整门课程</x:v>
      </x:c>
      <x:c r="I69" s="70" t="str">
        <x:v>按学科大纲；未展开考核明细</x:v>
      </x:c>
      <x:c r="J69" s="72" t="str">
        <x:v>8027</x:v>
      </x:c>
      <x:c r="K69" s="70" t="str">
        <x:v>2026-09-17目录快照；按开课/考试年份复核</x:v>
      </x:c>
      <x:c r="L69" s="73" t="n">
        <x:v>680</x:v>
      </x:c>
      <x:c r="M69" s="70" t="str">
        <x:v>资格层级按官方目录；AS-only/A-only不自动扩成完整AL或独立AS资格。 目录层条目；未预填并不代表没有考试/实践/校评。</x:v>
      </x:c>
      <x:c r="N69" s="70" t="str">
        <x:v>V3-CAIE-AL</x:v>
      </x:c>
    </x:row>
    <x:row r="70" ht="64" customHeight="1">
      <x:c r="A70" s="71" t="str">
        <x:v>C069</x:v>
      </x:c>
      <x:c r="B70" s="70" t="str">
        <x:v>S017</x:v>
      </x:c>
      <x:c r="C70" s="70" t="str">
        <x:v>Cambridge German Language &amp; Literature A Level only</x:v>
      </x:c>
      <x:c r="D70" s="70" t="str">
        <x:v>Cambridge German Language &amp; Literature A Level only</x:v>
      </x:c>
      <x:c r="E70" s="70" t="str">
        <x:v>Cambridge International</x:v>
      </x:c>
      <x:c r="F70" s="70" t="str">
        <x:v>International AS / A Level</x:v>
      </x:c>
      <x:c r="G70" s="70" t="str">
        <x:v>国际版</x:v>
      </x:c>
      <x:c r="H70" s="70" t="str">
        <x:v>整门课程</x:v>
      </x:c>
      <x:c r="I70" s="70" t="str">
        <x:v>按学科大纲；未展开考核明细</x:v>
      </x:c>
      <x:c r="J70" s="72" t="str">
        <x:v>9897</x:v>
      </x:c>
      <x:c r="K70" s="70" t="str">
        <x:v>2026-09-17目录快照；按开课/考试年份复核</x:v>
      </x:c>
      <x:c r="L70" s="73" t="n">
        <x:v>690</x:v>
      </x:c>
      <x:c r="M70" s="70" t="str">
        <x:v>资格层级按官方目录；AS-only/A-only不自动扩成完整AL或独立AS资格。 目录层条目；未预填并不代表没有考试/实践/校评。</x:v>
      </x:c>
      <x:c r="N70" s="70" t="str">
        <x:v>V3-CAIE-AL</x:v>
      </x:c>
    </x:row>
    <x:row r="71" ht="64" customHeight="1">
      <x:c r="A71" s="71" t="str">
        <x:v>C070</x:v>
      </x:c>
      <x:c r="B71" s="70" t="str">
        <x:v>S036</x:v>
      </x:c>
      <x:c r="C71" s="70" t="str">
        <x:v>Cambridge Global Perspectives &amp; Research AS / A Level</x:v>
      </x:c>
      <x:c r="D71" s="70" t="str">
        <x:v>Cambridge Global Perspectives &amp; Research AS / A Level</x:v>
      </x:c>
      <x:c r="E71" s="70" t="str">
        <x:v>Cambridge International</x:v>
      </x:c>
      <x:c r="F71" s="70" t="str">
        <x:v>International AS / A Level</x:v>
      </x:c>
      <x:c r="G71" s="70" t="str">
        <x:v>国际版</x:v>
      </x:c>
      <x:c r="H71" s="70" t="str">
        <x:v>整门课程</x:v>
      </x:c>
      <x:c r="I71" s="70" t="str">
        <x:v>按学科大纲；未展开考核明细</x:v>
      </x:c>
      <x:c r="J71" s="72" t="str">
        <x:v>9239</x:v>
      </x:c>
      <x:c r="K71" s="70" t="str">
        <x:v>2026-09-17目录快照；按开课/考试年份复核</x:v>
      </x:c>
      <x:c r="L71" s="73" t="n">
        <x:v>700</x:v>
      </x:c>
      <x:c r="M71" s="70" t="str">
        <x:v>资格层级按官方目录；AS-only/A-only不自动扩成完整AL或独立AS资格。 目录层条目；未预填并不代表没有考试/实践/校评。</x:v>
      </x:c>
      <x:c r="N71" s="70" t="str">
        <x:v>V3-CAIE-AL</x:v>
      </x:c>
    </x:row>
    <x:row r="72" ht="64" customHeight="1">
      <x:c r="A72" s="71" t="str">
        <x:v>C071</x:v>
      </x:c>
      <x:c r="B72" s="70" t="str">
        <x:v>S030</x:v>
      </x:c>
      <x:c r="C72" s="70" t="str">
        <x:v>Cambridge Hinduism AS / A Level</x:v>
      </x:c>
      <x:c r="D72" s="70" t="str">
        <x:v>Cambridge Hinduism AS / A Level</x:v>
      </x:c>
      <x:c r="E72" s="70" t="str">
        <x:v>Cambridge International</x:v>
      </x:c>
      <x:c r="F72" s="70" t="str">
        <x:v>International AS / A Level</x:v>
      </x:c>
      <x:c r="G72" s="70" t="str">
        <x:v>国际版</x:v>
      </x:c>
      <x:c r="H72" s="70" t="str">
        <x:v>整门课程</x:v>
      </x:c>
      <x:c r="I72" s="70" t="str">
        <x:v>按学科大纲；未展开考核明细</x:v>
      </x:c>
      <x:c r="J72" s="72" t="str">
        <x:v>9487</x:v>
      </x:c>
      <x:c r="K72" s="70" t="str">
        <x:v>2026-09-17目录快照；按开课/考试年份复核</x:v>
      </x:c>
      <x:c r="L72" s="73" t="n">
        <x:v>710</x:v>
      </x:c>
      <x:c r="M72" s="70" t="str">
        <x:v>资格层级按官方目录；AS-only/A-only不自动扩成完整AL或独立AS资格。 目录层条目；未预填并不代表没有考试/实践/校评。</x:v>
      </x:c>
      <x:c r="N72" s="70" t="str">
        <x:v>V3-CAIE-AL</x:v>
      </x:c>
    </x:row>
    <x:row r="73" ht="64" customHeight="1">
      <x:c r="A73" s="71" t="str">
        <x:v>C072</x:v>
      </x:c>
      <x:c r="B73" s="70" t="str">
        <x:v>S011</x:v>
      </x:c>
      <x:c r="C73" s="70" t="str">
        <x:v>Cambridge History AS / A Level</x:v>
      </x:c>
      <x:c r="D73" s="70" t="str">
        <x:v>Cambridge History AS / A Level</x:v>
      </x:c>
      <x:c r="E73" s="70" t="str">
        <x:v>Cambridge International</x:v>
      </x:c>
      <x:c r="F73" s="70" t="str">
        <x:v>International AS / A Level</x:v>
      </x:c>
      <x:c r="G73" s="70" t="str">
        <x:v>国际版</x:v>
      </x:c>
      <x:c r="H73" s="70" t="str">
        <x:v>整门课程</x:v>
      </x:c>
      <x:c r="I73" s="70" t="str">
        <x:v>按学科大纲；未展开考核明细</x:v>
      </x:c>
      <x:c r="J73" s="72" t="str">
        <x:v>9489</x:v>
      </x:c>
      <x:c r="K73" s="70" t="str">
        <x:v>2026-09-17目录快照；按开课/考试年份复核</x:v>
      </x:c>
      <x:c r="L73" s="73" t="n">
        <x:v>720</x:v>
      </x:c>
      <x:c r="M73" s="70" t="str">
        <x:v>资格层级按官方目录；AS-only/A-only不自动扩成完整AL或独立AS资格。 目录层条目；未预填并不代表没有考试/实践/校评。</x:v>
      </x:c>
      <x:c r="N73" s="70" t="str">
        <x:v>V3-CAIE-AL</x:v>
      </x:c>
    </x:row>
    <x:row r="74" ht="64" customHeight="1">
      <x:c r="A74" s="71" t="str">
        <x:v>C073</x:v>
      </x:c>
      <x:c r="B74" s="70" t="str">
        <x:v>S030</x:v>
      </x:c>
      <x:c r="C74" s="70" t="str">
        <x:v>Cambridge Islamic Studies AS / A Level</x:v>
      </x:c>
      <x:c r="D74" s="70" t="str">
        <x:v>Cambridge Islamic Studies AS / A Level</x:v>
      </x:c>
      <x:c r="E74" s="70" t="str">
        <x:v>Cambridge International</x:v>
      </x:c>
      <x:c r="F74" s="70" t="str">
        <x:v>International AS / A Level</x:v>
      </x:c>
      <x:c r="G74" s="70" t="str">
        <x:v>国际版</x:v>
      </x:c>
      <x:c r="H74" s="70" t="str">
        <x:v>整门课程</x:v>
      </x:c>
      <x:c r="I74" s="70" t="str">
        <x:v>按学科大纲；未展开考核明细</x:v>
      </x:c>
      <x:c r="J74" s="72" t="str">
        <x:v>9488</x:v>
      </x:c>
      <x:c r="K74" s="70" t="str">
        <x:v>2026-09-17目录快照；按开课/考试年份复核</x:v>
      </x:c>
      <x:c r="L74" s="73" t="n">
        <x:v>730</x:v>
      </x:c>
      <x:c r="M74" s="70" t="str">
        <x:v>资格层级按官方目录；AS-only/A-only不自动扩成完整AL或独立AS资格。 目录层条目；未预填并不代表没有考试/实践/校评。</x:v>
      </x:c>
      <x:c r="N74" s="70" t="str">
        <x:v>V3-CAIE-AL</x:v>
      </x:c>
    </x:row>
    <x:row r="75" ht="64" customHeight="1">
      <x:c r="A75" s="71" t="str">
        <x:v>C074</x:v>
      </x:c>
      <x:c r="B75" s="70" t="str">
        <x:v>S014</x:v>
      </x:c>
      <x:c r="C75" s="70" t="str">
        <x:v>Cambridge Law AS / A Level</x:v>
      </x:c>
      <x:c r="D75" s="70" t="str">
        <x:v>Cambridge Law AS / A Level</x:v>
      </x:c>
      <x:c r="E75" s="70" t="str">
        <x:v>Cambridge International</x:v>
      </x:c>
      <x:c r="F75" s="70" t="str">
        <x:v>International AS / A Level</x:v>
      </x:c>
      <x:c r="G75" s="70" t="str">
        <x:v>国际版</x:v>
      </x:c>
      <x:c r="H75" s="70" t="str">
        <x:v>整门课程</x:v>
      </x:c>
      <x:c r="I75" s="70" t="str">
        <x:v>按学科大纲；未展开考核明细</x:v>
      </x:c>
      <x:c r="J75" s="72" t="str">
        <x:v>9084</x:v>
      </x:c>
      <x:c r="K75" s="70" t="str">
        <x:v>2026-09-17目录快照；按开课/考试年份复核</x:v>
      </x:c>
      <x:c r="L75" s="73" t="n">
        <x:v>740</x:v>
      </x:c>
      <x:c r="M75" s="70" t="str">
        <x:v>资格层级按官方目录；AS-only/A-only不自动扩成完整AL或独立AS资格。 目录层条目；未预填并不代表没有考试/实践/校评。</x:v>
      </x:c>
      <x:c r="N75" s="70" t="str">
        <x:v>V3-CAIE-AL</x:v>
      </x:c>
    </x:row>
    <x:row r="76" ht="64" customHeight="1">
      <x:c r="A76" s="71" t="str">
        <x:v>C075</x:v>
      </x:c>
      <x:c r="B76" s="70" t="str">
        <x:v>S031</x:v>
      </x:c>
      <x:c r="C76" s="70" t="str">
        <x:v>Cambridge Marine Science AS / A Level</x:v>
      </x:c>
      <x:c r="D76" s="70" t="str">
        <x:v>Cambridge Marine Science AS / A Level</x:v>
      </x:c>
      <x:c r="E76" s="70" t="str">
        <x:v>Cambridge International</x:v>
      </x:c>
      <x:c r="F76" s="70" t="str">
        <x:v>International AS / A Level</x:v>
      </x:c>
      <x:c r="G76" s="70" t="str">
        <x:v>国际版</x:v>
      </x:c>
      <x:c r="H76" s="70" t="str">
        <x:v>整门课程</x:v>
      </x:c>
      <x:c r="I76" s="70" t="str">
        <x:v>按学科大纲；未展开考核明细</x:v>
      </x:c>
      <x:c r="J76" s="72" t="str">
        <x:v>9693</x:v>
      </x:c>
      <x:c r="K76" s="70" t="str">
        <x:v>2026-09-17目录快照；按开课/考试年份复核</x:v>
      </x:c>
      <x:c r="L76" s="73" t="n">
        <x:v>750</x:v>
      </x:c>
      <x:c r="M76" s="70" t="str">
        <x:v>资格层级按官方目录；AS-only/A-only不自动扩成完整AL或独立AS资格。 目录层条目；未预填并不代表没有考试/实践/校评。</x:v>
      </x:c>
      <x:c r="N76" s="70" t="str">
        <x:v>V3-CAIE-AL</x:v>
      </x:c>
    </x:row>
    <x:row r="77" ht="64" customHeight="1">
      <x:c r="A77" s="71" t="str">
        <x:v>C076</x:v>
      </x:c>
      <x:c r="B77" s="70" t="str">
        <x:v>S034</x:v>
      </x:c>
      <x:c r="C77" s="70" t="str">
        <x:v>Cambridge Media Studies AS / A Level</x:v>
      </x:c>
      <x:c r="D77" s="70" t="str">
        <x:v>Cambridge Media Studies AS / A Level</x:v>
      </x:c>
      <x:c r="E77" s="70" t="str">
        <x:v>Cambridge International</x:v>
      </x:c>
      <x:c r="F77" s="70" t="str">
        <x:v>International AS / A Level</x:v>
      </x:c>
      <x:c r="G77" s="70" t="str">
        <x:v>国际版</x:v>
      </x:c>
      <x:c r="H77" s="70" t="str">
        <x:v>整门课程</x:v>
      </x:c>
      <x:c r="I77" s="70" t="str">
        <x:v>按学科大纲；未展开考核明细</x:v>
      </x:c>
      <x:c r="J77" s="72" t="str">
        <x:v>9607</x:v>
      </x:c>
      <x:c r="K77" s="70" t="str">
        <x:v>2026-09-17目录快照；按开课/考试年份复核</x:v>
      </x:c>
      <x:c r="L77" s="73" t="n">
        <x:v>760</x:v>
      </x:c>
      <x:c r="M77" s="70" t="str">
        <x:v>资格层级按官方目录；AS-only/A-only不自动扩成完整AL或独立AS资格。 目录层条目；未预填并不代表没有考试/实践/校评。</x:v>
      </x:c>
      <x:c r="N77" s="70" t="str">
        <x:v>V3-CAIE-AL</x:v>
      </x:c>
    </x:row>
    <x:row r="78" ht="64" customHeight="1">
      <x:c r="A78" s="71" t="str">
        <x:v>C077</x:v>
      </x:c>
      <x:c r="B78" s="70" t="str">
        <x:v>S027</x:v>
      </x:c>
      <x:c r="C78" s="70" t="str">
        <x:v>Cambridge Music AS / A Level</x:v>
      </x:c>
      <x:c r="D78" s="70" t="str">
        <x:v>Cambridge Music AS / A Level</x:v>
      </x:c>
      <x:c r="E78" s="70" t="str">
        <x:v>Cambridge International</x:v>
      </x:c>
      <x:c r="F78" s="70" t="str">
        <x:v>International AS / A Level</x:v>
      </x:c>
      <x:c r="G78" s="70" t="str">
        <x:v>国际版</x:v>
      </x:c>
      <x:c r="H78" s="70" t="str">
        <x:v>整门课程</x:v>
      </x:c>
      <x:c r="I78" s="70" t="str">
        <x:v>按学科大纲；未展开考核明细</x:v>
      </x:c>
      <x:c r="J78" s="72" t="str">
        <x:v>9483</x:v>
      </x:c>
      <x:c r="K78" s="70" t="str">
        <x:v>2026-09-17目录快照；按开课/考试年份复核</x:v>
      </x:c>
      <x:c r="L78" s="73" t="n">
        <x:v>770</x:v>
      </x:c>
      <x:c r="M78" s="70" t="str">
        <x:v>资格层级按官方目录；AS-only/A-only不自动扩成完整AL或独立AS资格。 目录层条目；未预填并不代表没有考试/实践/校评。</x:v>
      </x:c>
      <x:c r="N78" s="70" t="str">
        <x:v>V3-CAIE-AL</x:v>
      </x:c>
    </x:row>
    <x:row r="79" ht="64" customHeight="1">
      <x:c r="A79" s="71" t="str">
        <x:v>C078</x:v>
      </x:c>
      <x:c r="B79" s="70" t="str">
        <x:v>S025</x:v>
      </x:c>
      <x:c r="C79" s="70" t="str">
        <x:v>Cambridge Portuguese Language AS only</x:v>
      </x:c>
      <x:c r="D79" s="70" t="str">
        <x:v>Cambridge Portuguese Language AS only</x:v>
      </x:c>
      <x:c r="E79" s="70" t="str">
        <x:v>Cambridge International</x:v>
      </x:c>
      <x:c r="F79" s="70" t="str">
        <x:v>International AS / A Level</x:v>
      </x:c>
      <x:c r="G79" s="70" t="str">
        <x:v>国际版</x:v>
      </x:c>
      <x:c r="H79" s="70" t="str">
        <x:v>整门课程</x:v>
      </x:c>
      <x:c r="I79" s="70" t="str">
        <x:v>按学科大纲；未展开考核明细</x:v>
      </x:c>
      <x:c r="J79" s="72" t="str">
        <x:v>8684</x:v>
      </x:c>
      <x:c r="K79" s="70" t="str">
        <x:v>2026-09-17目录快照；按开课/考试年份复核</x:v>
      </x:c>
      <x:c r="L79" s="73" t="n">
        <x:v>780</x:v>
      </x:c>
      <x:c r="M79" s="70" t="str">
        <x:v>资格层级按官方目录；AS-only/A-only不自动扩成完整AL或独立AS资格。 目录层条目；未预填并不代表没有考试/实践/校评。</x:v>
      </x:c>
      <x:c r="N79" s="70" t="str">
        <x:v>V3-CAIE-AL</x:v>
      </x:c>
    </x:row>
    <x:row r="80" ht="64" customHeight="1">
      <x:c r="A80" s="71" t="str">
        <x:v>C079</x:v>
      </x:c>
      <x:c r="B80" s="70" t="str">
        <x:v>S025</x:v>
      </x:c>
      <x:c r="C80" s="70" t="str">
        <x:v>Cambridge Portuguese A Level only</x:v>
      </x:c>
      <x:c r="D80" s="70" t="str">
        <x:v>Cambridge Portuguese A Level only</x:v>
      </x:c>
      <x:c r="E80" s="70" t="str">
        <x:v>Cambridge International</x:v>
      </x:c>
      <x:c r="F80" s="70" t="str">
        <x:v>International AS / A Level</x:v>
      </x:c>
      <x:c r="G80" s="70" t="str">
        <x:v>国际版</x:v>
      </x:c>
      <x:c r="H80" s="70" t="str">
        <x:v>整门课程</x:v>
      </x:c>
      <x:c r="I80" s="70" t="str">
        <x:v>按学科大纲；未展开考核明细</x:v>
      </x:c>
      <x:c r="J80" s="72" t="str">
        <x:v>9718</x:v>
      </x:c>
      <x:c r="K80" s="70" t="str">
        <x:v>2026-09-17目录快照；按开课/考试年份复核</x:v>
      </x:c>
      <x:c r="L80" s="73" t="n">
        <x:v>790</x:v>
      </x:c>
      <x:c r="M80" s="70" t="str">
        <x:v>资格层级按官方目录；AS-only/A-only不自动扩成完整AL或独立AS资格。 目录层条目；未预填并不代表没有考试/实践/校评。</x:v>
      </x:c>
      <x:c r="N80" s="70" t="str">
        <x:v>V3-CAIE-AL</x:v>
      </x:c>
    </x:row>
    <x:row r="81" ht="64" customHeight="1">
      <x:c r="A81" s="71" t="str">
        <x:v>C080</x:v>
      </x:c>
      <x:c r="B81" s="70" t="str">
        <x:v>S013</x:v>
      </x:c>
      <x:c r="C81" s="70" t="str">
        <x:v>Cambridge Psychology AS / A Level</x:v>
      </x:c>
      <x:c r="D81" s="70" t="str">
        <x:v>Cambridge Psychology AS / A Level</x:v>
      </x:c>
      <x:c r="E81" s="70" t="str">
        <x:v>Cambridge International</x:v>
      </x:c>
      <x:c r="F81" s="70" t="str">
        <x:v>International AS / A Level</x:v>
      </x:c>
      <x:c r="G81" s="70" t="str">
        <x:v>国际版</x:v>
      </x:c>
      <x:c r="H81" s="70" t="str">
        <x:v>整门课程</x:v>
      </x:c>
      <x:c r="I81" s="70" t="str">
        <x:v>按学科大纲；未展开考核明细</x:v>
      </x:c>
      <x:c r="J81" s="72" t="str">
        <x:v>9990</x:v>
      </x:c>
      <x:c r="K81" s="70" t="str">
        <x:v>2026-09-17目录快照；按开课/考试年份复核</x:v>
      </x:c>
      <x:c r="L81" s="73" t="n">
        <x:v>800</x:v>
      </x:c>
      <x:c r="M81" s="70" t="str">
        <x:v>资格层级按官方目录；AS-only/A-only不自动扩成完整AL或独立AS资格。 目录层条目；未预填并不代表没有考试/实践/校评。</x:v>
      </x:c>
      <x:c r="N81" s="70" t="str">
        <x:v>V3-CAIE-AL</x:v>
      </x:c>
    </x:row>
    <x:row r="82" ht="64" customHeight="1">
      <x:c r="A82" s="71" t="str">
        <x:v>C081</x:v>
      </x:c>
      <x:c r="B82" s="70" t="str">
        <x:v>S029</x:v>
      </x:c>
      <x:c r="C82" s="70" t="str">
        <x:v>Cambridge Sociology AS / A Level</x:v>
      </x:c>
      <x:c r="D82" s="70" t="str">
        <x:v>Cambridge Sociology AS / A Level</x:v>
      </x:c>
      <x:c r="E82" s="70" t="str">
        <x:v>Cambridge International</x:v>
      </x:c>
      <x:c r="F82" s="70" t="str">
        <x:v>International AS / A Level</x:v>
      </x:c>
      <x:c r="G82" s="70" t="str">
        <x:v>国际版</x:v>
      </x:c>
      <x:c r="H82" s="70" t="str">
        <x:v>整门课程</x:v>
      </x:c>
      <x:c r="I82" s="70" t="str">
        <x:v>按学科大纲；未展开考核明细</x:v>
      </x:c>
      <x:c r="J82" s="72" t="str">
        <x:v>9699</x:v>
      </x:c>
      <x:c r="K82" s="70" t="str">
        <x:v>2026-09-17目录快照；按开课/考试年份复核</x:v>
      </x:c>
      <x:c r="L82" s="73" t="n">
        <x:v>810</x:v>
      </x:c>
      <x:c r="M82" s="70" t="str">
        <x:v>资格层级按官方目录；AS-only/A-only不自动扩成完整AL或独立AS资格。 目录层条目；未预填并不代表没有考试/实践/校评。</x:v>
      </x:c>
      <x:c r="N82" s="70" t="str">
        <x:v>V3-CAIE-AL</x:v>
      </x:c>
    </x:row>
    <x:row r="83" ht="64" customHeight="1">
      <x:c r="A83" s="71" t="str">
        <x:v>C082</x:v>
      </x:c>
      <x:c r="B83" s="70" t="str">
        <x:v>S025</x:v>
      </x:c>
      <x:c r="C83" s="70" t="str">
        <x:v>Cambridge Tamil A Level only</x:v>
      </x:c>
      <x:c r="D83" s="70" t="str">
        <x:v>Cambridge Tamil A Level only</x:v>
      </x:c>
      <x:c r="E83" s="70" t="str">
        <x:v>Cambridge International</x:v>
      </x:c>
      <x:c r="F83" s="70" t="str">
        <x:v>International AS / A Level</x:v>
      </x:c>
      <x:c r="G83" s="70" t="str">
        <x:v>国际版</x:v>
      </x:c>
      <x:c r="H83" s="70" t="str">
        <x:v>整门课程</x:v>
      </x:c>
      <x:c r="I83" s="70" t="str">
        <x:v>按学科大纲；未展开考核明细</x:v>
      </x:c>
      <x:c r="J83" s="72" t="str">
        <x:v>9689</x:v>
      </x:c>
      <x:c r="K83" s="70" t="str">
        <x:v>2026-09-17目录快照；按开课/考试年份复核</x:v>
      </x:c>
      <x:c r="L83" s="73" t="n">
        <x:v>820</x:v>
      </x:c>
      <x:c r="M83" s="70" t="str">
        <x:v>资格层级按官方目录；AS-only/A-only不自动扩成完整AL或独立AS资格。 目录层条目；未预填并不代表没有考试/实践/校评。</x:v>
      </x:c>
      <x:c r="N83" s="70" t="str">
        <x:v>V3-CAIE-AL</x:v>
      </x:c>
    </x:row>
    <x:row r="84" ht="64" customHeight="1">
      <x:c r="A84" s="71" t="str">
        <x:v>C083</x:v>
      </x:c>
      <x:c r="B84" s="70" t="str">
        <x:v>S025</x:v>
      </x:c>
      <x:c r="C84" s="70" t="str">
        <x:v>Cambridge Tamil Language AS only</x:v>
      </x:c>
      <x:c r="D84" s="70" t="str">
        <x:v>Cambridge Tamil Language AS only</x:v>
      </x:c>
      <x:c r="E84" s="70" t="str">
        <x:v>Cambridge International</x:v>
      </x:c>
      <x:c r="F84" s="70" t="str">
        <x:v>International AS / A Level</x:v>
      </x:c>
      <x:c r="G84" s="70" t="str">
        <x:v>国际版</x:v>
      </x:c>
      <x:c r="H84" s="70" t="str">
        <x:v>整门课程</x:v>
      </x:c>
      <x:c r="I84" s="70" t="str">
        <x:v>按学科大纲；未展开考核明细</x:v>
      </x:c>
      <x:c r="J84" s="72" t="str">
        <x:v>8689</x:v>
      </x:c>
      <x:c r="K84" s="70" t="str">
        <x:v>2026-09-17目录快照；按开课/考试年份复核</x:v>
      </x:c>
      <x:c r="L84" s="73" t="n">
        <x:v>830</x:v>
      </x:c>
      <x:c r="M84" s="70" t="str">
        <x:v>资格层级按官方目录；AS-only/A-only不自动扩成完整AL或独立AS资格。 目录层条目；未预填并不代表没有考试/实践/校评。</x:v>
      </x:c>
      <x:c r="N84" s="70" t="str">
        <x:v>V3-CAIE-AL</x:v>
      </x:c>
    </x:row>
    <x:row r="85" ht="64" customHeight="1">
      <x:c r="A85" s="71" t="str">
        <x:v>C084</x:v>
      </x:c>
      <x:c r="B85" s="70" t="str">
        <x:v>S036</x:v>
      </x:c>
      <x:c r="C85" s="70" t="str">
        <x:v>Cambridge Thinking Skills AS / A Level</x:v>
      </x:c>
      <x:c r="D85" s="70" t="str">
        <x:v>Cambridge Thinking Skills AS / A Level</x:v>
      </x:c>
      <x:c r="E85" s="70" t="str">
        <x:v>Cambridge International</x:v>
      </x:c>
      <x:c r="F85" s="70" t="str">
        <x:v>International AS / A Level</x:v>
      </x:c>
      <x:c r="G85" s="70" t="str">
        <x:v>国际版</x:v>
      </x:c>
      <x:c r="H85" s="70" t="str">
        <x:v>整门课程</x:v>
      </x:c>
      <x:c r="I85" s="70" t="str">
        <x:v>按学科大纲；未展开考核明细</x:v>
      </x:c>
      <x:c r="J85" s="72" t="str">
        <x:v>9694</x:v>
      </x:c>
      <x:c r="K85" s="70" t="str">
        <x:v>2026-09-17目录快照；按开课/考试年份复核</x:v>
      </x:c>
      <x:c r="L85" s="73" t="n">
        <x:v>840</x:v>
      </x:c>
      <x:c r="M85" s="70" t="str">
        <x:v>资格层级按官方目录；AS-only/A-only不自动扩成完整AL或独立AS资格。 目录层条目；未预填并不代表没有考试/实践/校评。</x:v>
      </x:c>
      <x:c r="N85" s="70" t="str">
        <x:v>V3-CAIE-AL</x:v>
      </x:c>
    </x:row>
    <x:row r="86" ht="64" customHeight="1">
      <x:c r="A86" s="71" t="str">
        <x:v>C085</x:v>
      </x:c>
      <x:c r="B86" s="70" t="str">
        <x:v>S035</x:v>
      </x:c>
      <x:c r="C86" s="70" t="str">
        <x:v>Cambridge Travel &amp; Tourism AS / A Level</x:v>
      </x:c>
      <x:c r="D86" s="70" t="str">
        <x:v>Cambridge Travel &amp; Tourism AS / A Level</x:v>
      </x:c>
      <x:c r="E86" s="70" t="str">
        <x:v>Cambridge International</x:v>
      </x:c>
      <x:c r="F86" s="70" t="str">
        <x:v>International AS / A Level</x:v>
      </x:c>
      <x:c r="G86" s="70" t="str">
        <x:v>国际版</x:v>
      </x:c>
      <x:c r="H86" s="70" t="str">
        <x:v>整门课程</x:v>
      </x:c>
      <x:c r="I86" s="70" t="str">
        <x:v>按学科大纲；未展开考核明细</x:v>
      </x:c>
      <x:c r="J86" s="72" t="str">
        <x:v>9395</x:v>
      </x:c>
      <x:c r="K86" s="70" t="str">
        <x:v>2026-09-17目录快照；按开课/考试年份复核</x:v>
      </x:c>
      <x:c r="L86" s="73" t="n">
        <x:v>850</x:v>
      </x:c>
      <x:c r="M86" s="70" t="str">
        <x:v>资格层级按官方目录；AS-only/A-only不自动扩成完整AL或独立AS资格。 目录层条目；未预填并不代表没有考试/实践/校评。</x:v>
      </x:c>
      <x:c r="N86" s="70" t="str">
        <x:v>V3-CAIE-AL</x:v>
      </x:c>
    </x:row>
    <x:row r="87" ht="64" customHeight="1">
      <x:c r="A87" s="71" t="str">
        <x:v>C086</x:v>
      </x:c>
      <x:c r="B87" s="70" t="str">
        <x:v>S025</x:v>
      </x:c>
      <x:c r="C87" s="70" t="str">
        <x:v>Cambridge Urdu Language AS only</x:v>
      </x:c>
      <x:c r="D87" s="70" t="str">
        <x:v>Cambridge Urdu Language AS only</x:v>
      </x:c>
      <x:c r="E87" s="70" t="str">
        <x:v>Cambridge International</x:v>
      </x:c>
      <x:c r="F87" s="70" t="str">
        <x:v>International AS / A Level</x:v>
      </x:c>
      <x:c r="G87" s="70" t="str">
        <x:v>国际版</x:v>
      </x:c>
      <x:c r="H87" s="70" t="str">
        <x:v>整门课程</x:v>
      </x:c>
      <x:c r="I87" s="70" t="str">
        <x:v>按学科大纲；未展开考核明细</x:v>
      </x:c>
      <x:c r="J87" s="72" t="str">
        <x:v>8686</x:v>
      </x:c>
      <x:c r="K87" s="70" t="str">
        <x:v>2026-09-17目录快照；按开课/考试年份复核</x:v>
      </x:c>
      <x:c r="L87" s="73" t="n">
        <x:v>860</x:v>
      </x:c>
      <x:c r="M87" s="70" t="str">
        <x:v>资格层级按官方目录；AS-only/A-only不自动扩成完整AL或独立AS资格。 目录层条目；未预填并不代表没有考试/实践/校评。</x:v>
      </x:c>
      <x:c r="N87" s="70" t="str">
        <x:v>V3-CAIE-AL</x:v>
      </x:c>
    </x:row>
    <x:row r="88" ht="64" customHeight="1">
      <x:c r="A88" s="71" t="str">
        <x:v>C087</x:v>
      </x:c>
      <x:c r="B88" s="70" t="str">
        <x:v>S025</x:v>
      </x:c>
      <x:c r="C88" s="70" t="str">
        <x:v>Cambridge Urdu (Pakistan only) A Level only</x:v>
      </x:c>
      <x:c r="D88" s="70" t="str">
        <x:v>Cambridge Urdu (Pakistan only) A Level only</x:v>
      </x:c>
      <x:c r="E88" s="70" t="str">
        <x:v>Cambridge International</x:v>
      </x:c>
      <x:c r="F88" s="70" t="str">
        <x:v>International AS / A Level</x:v>
      </x:c>
      <x:c r="G88" s="70" t="str">
        <x:v>国际版</x:v>
      </x:c>
      <x:c r="H88" s="70" t="str">
        <x:v>整门课程</x:v>
      </x:c>
      <x:c r="I88" s="70" t="str">
        <x:v>按学科大纲；未展开考核明细</x:v>
      </x:c>
      <x:c r="J88" s="72" t="str">
        <x:v>9686</x:v>
      </x:c>
      <x:c r="K88" s="70" t="str">
        <x:v>2026-09-17目录快照；按开课/考试年份复核</x:v>
      </x:c>
      <x:c r="L88" s="73" t="n">
        <x:v>870</x:v>
      </x:c>
      <x:c r="M88" s="70" t="str">
        <x:v>资格层级按官方目录；AS-only/A-only不自动扩成完整AL或独立AS资格。 目录层条目；未预填并不代表没有考试/实践/校评。</x:v>
      </x:c>
      <x:c r="N88" s="70" t="str">
        <x:v>V3-CAIE-AL</x:v>
      </x:c>
    </x:row>
    <x:row r="89" ht="64" customHeight="1">
      <x:c r="A89" s="71" t="str">
        <x:v>C088</x:v>
      </x:c>
      <x:c r="B89" s="70" t="str">
        <x:v>S009</x:v>
      </x:c>
      <x:c r="C89" s="70" t="str">
        <x:v>OxfordAQA Accounting AS / A Level</x:v>
      </x:c>
      <x:c r="D89" s="70" t="str">
        <x:v>OxfordAQA Accounting AS / A Level</x:v>
      </x:c>
      <x:c r="E89" s="70" t="str">
        <x:v>OxfordAQA</x:v>
      </x:c>
      <x:c r="F89" s="70" t="str">
        <x:v>International AS / A Level</x:v>
      </x:c>
      <x:c r="G89" s="70" t="str">
        <x:v>国际版</x:v>
      </x:c>
      <x:c r="H89" s="70" t="str">
        <x:v>整门课程</x:v>
      </x:c>
      <x:c r="I89" s="70" t="str">
        <x:v>按学科大纲；未展开考核明细</x:v>
      </x:c>
      <x:c r="J89" s="72" t="str">
        <x:v>9615</x:v>
      </x:c>
      <x:c r="K89" s="70" t="str">
        <x:v>2026-09-17目录快照；按开课/考试年份复核</x:v>
      </x:c>
      <x:c r="L89" s="73" t="n">
        <x:v>880</x:v>
      </x:c>
      <x:c r="M89" s="70" t="str">
        <x:v>官网存在新旧版本并列的科目；新生采用版本及末考季须查科目页，不能仅按代码判断在用。 目录层条目；未预填并不代表没有考试/实践/校评。</x:v>
      </x:c>
      <x:c r="N89" s="70" t="str">
        <x:v>V3-OXFORD</x:v>
      </x:c>
    </x:row>
    <x:row r="90" ht="64" customHeight="1">
      <x:c r="A90" s="71" t="str">
        <x:v>C089</x:v>
      </x:c>
      <x:c r="B90" s="70" t="str">
        <x:v>S008</x:v>
      </x:c>
      <x:c r="C90" s="70" t="str">
        <x:v>OxfordAQA Business AS / A Level</x:v>
      </x:c>
      <x:c r="D90" s="70" t="str">
        <x:v>OxfordAQA Business AS / A Level</x:v>
      </x:c>
      <x:c r="E90" s="70" t="str">
        <x:v>OxfordAQA</x:v>
      </x:c>
      <x:c r="F90" s="70" t="str">
        <x:v>International AS / A Level</x:v>
      </x:c>
      <x:c r="G90" s="70" t="str">
        <x:v>国际版</x:v>
      </x:c>
      <x:c r="H90" s="70" t="str">
        <x:v>整门课程</x:v>
      </x:c>
      <x:c r="I90" s="70" t="str">
        <x:v>按学科大纲；未展开考核明细</x:v>
      </x:c>
      <x:c r="J90" s="72" t="str">
        <x:v>9625</x:v>
      </x:c>
      <x:c r="K90" s="70" t="str">
        <x:v>2026-09-17目录快照；按开课/考试年份复核</x:v>
      </x:c>
      <x:c r="L90" s="73" t="n">
        <x:v>890</x:v>
      </x:c>
      <x:c r="M90" s="70" t="str">
        <x:v>官网存在新旧版本并列的科目；新生采用版本及末考季须查科目页，不能仅按代码判断在用。 目录层条目；未预填并不代表没有考试/实践/校评。</x:v>
      </x:c>
      <x:c r="N90" s="70" t="str">
        <x:v>V3-OXFORD</x:v>
      </x:c>
    </x:row>
    <x:row r="91" ht="64" customHeight="1">
      <x:c r="A91" s="71" t="str">
        <x:v>C090</x:v>
      </x:c>
      <x:c r="B91" s="70" t="str">
        <x:v>S005</x:v>
      </x:c>
      <x:c r="C91" s="70" t="str">
        <x:v>OxfordAQA Computer Science AS / A Level</x:v>
      </x:c>
      <x:c r="D91" s="70" t="str">
        <x:v>OxfordAQA Computer Science AS / A Level</x:v>
      </x:c>
      <x:c r="E91" s="70" t="str">
        <x:v>OxfordAQA</x:v>
      </x:c>
      <x:c r="F91" s="70" t="str">
        <x:v>International AS / A Level</x:v>
      </x:c>
      <x:c r="G91" s="70" t="str">
        <x:v>国际版</x:v>
      </x:c>
      <x:c r="H91" s="70" t="str">
        <x:v>整门课程</x:v>
      </x:c>
      <x:c r="I91" s="70" t="str">
        <x:v>按学科大纲；未展开考核明细</x:v>
      </x:c>
      <x:c r="J91" s="72" t="str">
        <x:v>9645</x:v>
      </x:c>
      <x:c r="K91" s="70" t="str">
        <x:v>2026-09-17目录快照；按开课/考试年份复核</x:v>
      </x:c>
      <x:c r="L91" s="73" t="n">
        <x:v>900</x:v>
      </x:c>
      <x:c r="M91" s="70" t="str">
        <x:v>官网存在新旧版本并列的科目；新生采用版本及末考季须查科目页，不能仅按代码判断在用。 目录层条目；未预填并不代表没有考试/实践/校评。</x:v>
      </x:c>
      <x:c r="N91" s="70" t="str">
        <x:v>V3-OXFORD</x:v>
      </x:c>
    </x:row>
    <x:row r="92" ht="64" customHeight="1">
      <x:c r="A92" s="71" t="str">
        <x:v>C091</x:v>
      </x:c>
      <x:c r="B92" s="70" t="str">
        <x:v>S007</x:v>
      </x:c>
      <x:c r="C92" s="70" t="str">
        <x:v>OxfordAQA Economics AS / A Level</x:v>
      </x:c>
      <x:c r="D92" s="70" t="str">
        <x:v>OxfordAQA Economics AS / A Level</x:v>
      </x:c>
      <x:c r="E92" s="70" t="str">
        <x:v>OxfordAQA</x:v>
      </x:c>
      <x:c r="F92" s="70" t="str">
        <x:v>International AS / A Level</x:v>
      </x:c>
      <x:c r="G92" s="70" t="str">
        <x:v>国际版</x:v>
      </x:c>
      <x:c r="H92" s="70" t="str">
        <x:v>整门课程</x:v>
      </x:c>
      <x:c r="I92" s="70" t="str">
        <x:v>按学科大纲；未展开考核明细</x:v>
      </x:c>
      <x:c r="J92" s="72" t="str">
        <x:v>9640</x:v>
      </x:c>
      <x:c r="K92" s="70" t="str">
        <x:v>2026-09-17目录快照；按开课/考试年份复核</x:v>
      </x:c>
      <x:c r="L92" s="73" t="n">
        <x:v>910</x:v>
      </x:c>
      <x:c r="M92" s="70" t="str">
        <x:v>官网存在新旧版本并列的科目；新生采用版本及末考季须查科目页，不能仅按代码判断在用。 目录层条目；未预填并不代表没有考试/实践/校评。</x:v>
      </x:c>
      <x:c r="N92" s="70" t="str">
        <x:v>V3-OXFORD</x:v>
      </x:c>
    </x:row>
    <x:row r="93" ht="64" customHeight="1">
      <x:c r="A93" s="71" t="str">
        <x:v>C092</x:v>
      </x:c>
      <x:c r="B93" s="70" t="str">
        <x:v>S010</x:v>
      </x:c>
      <x:c r="C93" s="70" t="str">
        <x:v>OxfordAQA English Literature AS / A Level</x:v>
      </x:c>
      <x:c r="D93" s="70" t="str">
        <x:v>OxfordAQA English Literature AS / A Level</x:v>
      </x:c>
      <x:c r="E93" s="70" t="str">
        <x:v>OxfordAQA</x:v>
      </x:c>
      <x:c r="F93" s="70" t="str">
        <x:v>International AS / A Level</x:v>
      </x:c>
      <x:c r="G93" s="70" t="str">
        <x:v>国际版</x:v>
      </x:c>
      <x:c r="H93" s="70" t="str">
        <x:v>整门课程</x:v>
      </x:c>
      <x:c r="I93" s="70" t="str">
        <x:v>按学科大纲；未展开考核明细</x:v>
      </x:c>
      <x:c r="J93" s="72" t="str">
        <x:v>9675</x:v>
      </x:c>
      <x:c r="K93" s="70" t="str">
        <x:v>2026-09-17目录快照；按开课/考试年份复核</x:v>
      </x:c>
      <x:c r="L93" s="73" t="n">
        <x:v>920</x:v>
      </x:c>
      <x:c r="M93" s="70" t="str">
        <x:v>官网存在新旧版本并列的科目；新生采用版本及末考季须查科目页，不能仅按代码判断在用。 目录层条目；未预填并不代表没有考试/实践/校评。</x:v>
      </x:c>
      <x:c r="N93" s="70" t="str">
        <x:v>V3-OXFORD</x:v>
      </x:c>
    </x:row>
    <x:row r="94" ht="64" customHeight="1">
      <x:c r="A94" s="71" t="str">
        <x:v>C093</x:v>
      </x:c>
      <x:c r="B94" s="70" t="str">
        <x:v>S010</x:v>
      </x:c>
      <x:c r="C94" s="70" t="str">
        <x:v>OxfordAQA English Language AS / A Level</x:v>
      </x:c>
      <x:c r="D94" s="70" t="str">
        <x:v>OxfordAQA English Language AS / A Level</x:v>
      </x:c>
      <x:c r="E94" s="70" t="str">
        <x:v>OxfordAQA</x:v>
      </x:c>
      <x:c r="F94" s="70" t="str">
        <x:v>International AS / A Level</x:v>
      </x:c>
      <x:c r="G94" s="70" t="str">
        <x:v>国际版</x:v>
      </x:c>
      <x:c r="H94" s="70" t="str">
        <x:v>整门课程</x:v>
      </x:c>
      <x:c r="I94" s="70" t="str">
        <x:v>按学科大纲；未展开考核明细</x:v>
      </x:c>
      <x:c r="J94" s="72" t="str">
        <x:v>9670</x:v>
      </x:c>
      <x:c r="K94" s="70" t="str">
        <x:v>2026-09-17目录快照；按开课/考试年份复核</x:v>
      </x:c>
      <x:c r="L94" s="73" t="n">
        <x:v>930</x:v>
      </x:c>
      <x:c r="M94" s="70" t="str">
        <x:v>官网存在新旧版本并列的科目；新生采用版本及末考季须查科目页，不能仅按代码判断在用。 目录层条目；未预填并不代表没有考试/实践/校评。</x:v>
      </x:c>
      <x:c r="N94" s="70" t="str">
        <x:v>V3-OXFORD</x:v>
      </x:c>
    </x:row>
    <x:row r="95" ht="64" customHeight="1">
      <x:c r="A95" s="71" t="str">
        <x:v>C094</x:v>
      </x:c>
      <x:c r="B95" s="70" t="str">
        <x:v>S012</x:v>
      </x:c>
      <x:c r="C95" s="70" t="str">
        <x:v>OxfordAQA Geography AS / A Level</x:v>
      </x:c>
      <x:c r="D95" s="70" t="str">
        <x:v>OxfordAQA Geography AS / A Level</x:v>
      </x:c>
      <x:c r="E95" s="70" t="str">
        <x:v>OxfordAQA</x:v>
      </x:c>
      <x:c r="F95" s="70" t="str">
        <x:v>International AS / A Level</x:v>
      </x:c>
      <x:c r="G95" s="70" t="str">
        <x:v>国际版</x:v>
      </x:c>
      <x:c r="H95" s="70" t="str">
        <x:v>整门课程</x:v>
      </x:c>
      <x:c r="I95" s="70" t="str">
        <x:v>按学科大纲；未展开考核明细</x:v>
      </x:c>
      <x:c r="J95" s="72" t="str">
        <x:v>9635</x:v>
      </x:c>
      <x:c r="K95" s="70" t="str">
        <x:v>2026-09-17目录快照；按开课/考试年份复核</x:v>
      </x:c>
      <x:c r="L95" s="73" t="n">
        <x:v>940</x:v>
      </x:c>
      <x:c r="M95" s="70" t="str">
        <x:v>官网存在新旧版本并列的科目；新生采用版本及末考季须查科目页，不能仅按代码判断在用。 目录层条目；未预填并不代表没有考试/实践/校评。</x:v>
      </x:c>
      <x:c r="N95" s="70" t="str">
        <x:v>V3-OXFORD</x:v>
      </x:c>
    </x:row>
    <x:row r="96" ht="64" customHeight="1">
      <x:c r="A96" s="71" t="str">
        <x:v>C095</x:v>
      </x:c>
      <x:c r="B96" s="70" t="str">
        <x:v>S001</x:v>
      </x:c>
      <x:c r="C96" s="70" t="str">
        <x:v>OxfordAQA Further Mathematics AS / A Level</x:v>
      </x:c>
      <x:c r="D96" s="70" t="str">
        <x:v>OxfordAQA Further Mathematics AS / A Level</x:v>
      </x:c>
      <x:c r="E96" s="70" t="str">
        <x:v>OxfordAQA</x:v>
      </x:c>
      <x:c r="F96" s="70" t="str">
        <x:v>International AS / A Level</x:v>
      </x:c>
      <x:c r="G96" s="70" t="str">
        <x:v>国际版</x:v>
      </x:c>
      <x:c r="H96" s="70" t="str">
        <x:v>整门课程</x:v>
      </x:c>
      <x:c r="I96" s="70" t="str">
        <x:v>按学科大纲；未展开考核明细</x:v>
      </x:c>
      <x:c r="J96" s="72" t="str">
        <x:v>9665</x:v>
      </x:c>
      <x:c r="K96" s="70" t="str">
        <x:v>2026-09-17目录快照；按开课/考试年份复核</x:v>
      </x:c>
      <x:c r="L96" s="73" t="n">
        <x:v>950</x:v>
      </x:c>
      <x:c r="M96" s="70" t="str">
        <x:v>官网存在新旧版本并列的科目；新生采用版本及末考季须查科目页，不能仅按代码判断在用。 目录层条目；未预填并不代表没有考试/实践/校评。</x:v>
      </x:c>
      <x:c r="N96" s="70" t="str">
        <x:v>V3-OXFORD</x:v>
      </x:c>
    </x:row>
    <x:row r="97" ht="64" customHeight="1">
      <x:c r="A97" s="71" t="str">
        <x:v>C096</x:v>
      </x:c>
      <x:c r="B97" s="70" t="str">
        <x:v>S013</x:v>
      </x:c>
      <x:c r="C97" s="70" t="str">
        <x:v>OxfordAQA Psychology AS / A Level</x:v>
      </x:c>
      <x:c r="D97" s="70" t="str">
        <x:v>OxfordAQA Psychology AS / A Level</x:v>
      </x:c>
      <x:c r="E97" s="70" t="str">
        <x:v>OxfordAQA</x:v>
      </x:c>
      <x:c r="F97" s="70" t="str">
        <x:v>International AS / A Level</x:v>
      </x:c>
      <x:c r="G97" s="70" t="str">
        <x:v>国际版</x:v>
      </x:c>
      <x:c r="H97" s="70" t="str">
        <x:v>整门课程</x:v>
      </x:c>
      <x:c r="I97" s="70" t="str">
        <x:v>按学科大纲；未展开考核明细</x:v>
      </x:c>
      <x:c r="J97" s="72" t="str">
        <x:v>9685</x:v>
      </x:c>
      <x:c r="K97" s="70" t="str">
        <x:v>2026-09-17目录快照；按开课/考试年份复核</x:v>
      </x:c>
      <x:c r="L97" s="73" t="n">
        <x:v>960</x:v>
      </x:c>
      <x:c r="M97" s="70" t="str">
        <x:v>官网存在新旧版本并列的科目；新生采用版本及末考季须查科目页，不能仅按代码判断在用。 目录层条目；未预填并不代表没有考试/实践/校评。</x:v>
      </x:c>
      <x:c r="N97" s="70" t="str">
        <x:v>V3-OXFORD</x:v>
      </x:c>
    </x:row>
    <x:row r="98" ht="64" customHeight="1">
      <x:c r="A98" s="71" t="str">
        <x:v>C097</x:v>
      </x:c>
      <x:c r="B98" s="70" t="str">
        <x:v>S009</x:v>
      </x:c>
      <x:c r="C98" s="70" t="str">
        <x:v>IGCSE Accounting IGCSE</x:v>
      </x:c>
      <x:c r="D98" s="70" t="str">
        <x:v>IGCSE Accounting IGCSE</x:v>
      </x:c>
      <x:c r="E98" s="70" t="str">
        <x:v>Cambridge International</x:v>
      </x:c>
      <x:c r="F98" s="70" t="str">
        <x:v>IGCSE</x:v>
      </x:c>
      <x:c r="G98" s="70" t="str">
        <x:v>国际版</x:v>
      </x:c>
      <x:c r="H98" s="70" t="str">
        <x:v>整门课程</x:v>
      </x:c>
      <x:c r="I98" s="70" t="str">
        <x:v>按学科大纲；未展开考核明细</x:v>
      </x:c>
      <x:c r="J98" s="72" t="str">
        <x:v>0452</x:v>
      </x:c>
      <x:c r="K98" s="70" t="str">
        <x:v>2026-09-17目录快照；按开课/考试年份复核</x:v>
      </x:c>
      <x:c r="L98" s="73" t="n">
        <x:v>970</x:v>
      </x:c>
      <x:c r="M98" s="70" t="str">
        <x:v>大纲代码保留文本前导0；Cambridge IGCSE与其他机构International GCSE不合并。 目录层条目；未预填并不代表没有考试/实践/校评。</x:v>
      </x:c>
      <x:c r="N98" s="70" t="str">
        <x:v>V3-CAIE-IG</x:v>
      </x:c>
    </x:row>
    <x:row r="99" ht="64" customHeight="1">
      <x:c r="A99" s="71" t="str">
        <x:v>C098</x:v>
      </x:c>
      <x:c r="B99" s="70" t="str">
        <x:v>S026</x:v>
      </x:c>
      <x:c r="C99" s="70" t="str">
        <x:v>IGCSE Art &amp; Design IGCSE</x:v>
      </x:c>
      <x:c r="D99" s="70" t="str">
        <x:v>IGCSE Art &amp; Design IGCSE</x:v>
      </x:c>
      <x:c r="E99" s="70" t="str">
        <x:v>Cambridge International</x:v>
      </x:c>
      <x:c r="F99" s="70" t="str">
        <x:v>IGCSE</x:v>
      </x:c>
      <x:c r="G99" s="70" t="str">
        <x:v>国际版</x:v>
      </x:c>
      <x:c r="H99" s="70" t="str">
        <x:v>整门课程</x:v>
      </x:c>
      <x:c r="I99" s="70" t="str">
        <x:v>按学科大纲；未展开考核明细</x:v>
      </x:c>
      <x:c r="J99" s="72" t="str">
        <x:v>0400</x:v>
      </x:c>
      <x:c r="K99" s="70" t="str">
        <x:v>2026-09-17目录快照；按开课/考试年份复核</x:v>
      </x:c>
      <x:c r="L99" s="73" t="n">
        <x:v>980</x:v>
      </x:c>
      <x:c r="M99" s="70" t="str">
        <x:v>大纲代码保留文本前导0；Cambridge IGCSE与其他机构International GCSE不合并。 目录层条目；未预填并不代表没有考试/实践/校评。</x:v>
      </x:c>
      <x:c r="N99" s="70" t="str">
        <x:v>V3-CAIE-IG</x:v>
      </x:c>
    </x:row>
    <x:row r="100" ht="64" customHeight="1">
      <x:c r="A100" s="71" t="str">
        <x:v>C099</x:v>
      </x:c>
      <x:c r="B100" s="70" t="str">
        <x:v>S004</x:v>
      </x:c>
      <x:c r="C100" s="70" t="str">
        <x:v>IGCSE Biology IGCSE</x:v>
      </x:c>
      <x:c r="D100" s="70" t="str">
        <x:v>IGCSE Biology IGCSE</x:v>
      </x:c>
      <x:c r="E100" s="70" t="str">
        <x:v>Cambridge International</x:v>
      </x:c>
      <x:c r="F100" s="70" t="str">
        <x:v>IGCSE</x:v>
      </x:c>
      <x:c r="G100" s="70" t="str">
        <x:v>国际版</x:v>
      </x:c>
      <x:c r="H100" s="70" t="str">
        <x:v>整门课程</x:v>
      </x:c>
      <x:c r="I100" s="70" t="str">
        <x:v>按学科大纲；未展开考核明细</x:v>
      </x:c>
      <x:c r="J100" s="72" t="str">
        <x:v>0610</x:v>
      </x:c>
      <x:c r="K100" s="70" t="str">
        <x:v>2026-09-17目录快照；按开课/考试年份复核</x:v>
      </x:c>
      <x:c r="L100" s="73" t="n">
        <x:v>990</x:v>
      </x:c>
      <x:c r="M100" s="70" t="str">
        <x:v>大纲代码保留文本前导0；Cambridge IGCSE与其他机构International GCSE不合并。 目录层条目；未预填并不代表没有考试/实践/校评。</x:v>
      </x:c>
      <x:c r="N100" s="70" t="str">
        <x:v>V3-CAIE-IG</x:v>
      </x:c>
    </x:row>
    <x:row r="101" ht="64" customHeight="1">
      <x:c r="A101" s="71" t="str">
        <x:v>C100</x:v>
      </x:c>
      <x:c r="B101" s="70" t="str">
        <x:v>S008</x:v>
      </x:c>
      <x:c r="C101" s="70" t="str">
        <x:v>IGCSE Business Studies IGCSE</x:v>
      </x:c>
      <x:c r="D101" s="70" t="str">
        <x:v>IGCSE Business Studies IGCSE</x:v>
      </x:c>
      <x:c r="E101" s="70" t="str">
        <x:v>Cambridge International</x:v>
      </x:c>
      <x:c r="F101" s="70" t="str">
        <x:v>IGCSE</x:v>
      </x:c>
      <x:c r="G101" s="70" t="str">
        <x:v>国际版</x:v>
      </x:c>
      <x:c r="H101" s="70" t="str">
        <x:v>整门课程</x:v>
      </x:c>
      <x:c r="I101" s="70" t="str">
        <x:v>按学科大纲；未展开考核明细</x:v>
      </x:c>
      <x:c r="J101" s="72" t="str">
        <x:v>0450</x:v>
      </x:c>
      <x:c r="K101" s="70" t="str">
        <x:v>2026-09-17目录快照；按开课/考试年份复核</x:v>
      </x:c>
      <x:c r="L101" s="73" t="n">
        <x:v>1000</x:v>
      </x:c>
      <x:c r="M101" s="70" t="str">
        <x:v>大纲代码保留文本前导0；Cambridge IGCSE与其他机构International GCSE不合并。 官网同时列示新编号，具体切换考季须核；旧码不自动迁移。 目录层条目；未预填并不代表没有考试/实践/校评。</x:v>
      </x:c>
      <x:c r="N101" s="70" t="str">
        <x:v>V3-CAIE-IG</x:v>
      </x:c>
    </x:row>
    <x:row r="102" ht="64" customHeight="1">
      <x:c r="A102" s="71" t="str">
        <x:v>C101</x:v>
      </x:c>
      <x:c r="B102" s="70" t="str">
        <x:v>S003</x:v>
      </x:c>
      <x:c r="C102" s="70" t="str">
        <x:v>IGCSE Chemistry IGCSE</x:v>
      </x:c>
      <x:c r="D102" s="70" t="str">
        <x:v>IGCSE Chemistry IGCSE</x:v>
      </x:c>
      <x:c r="E102" s="70" t="str">
        <x:v>Cambridge International</x:v>
      </x:c>
      <x:c r="F102" s="70" t="str">
        <x:v>IGCSE</x:v>
      </x:c>
      <x:c r="G102" s="70" t="str">
        <x:v>国际版</x:v>
      </x:c>
      <x:c r="H102" s="70" t="str">
        <x:v>整门课程</x:v>
      </x:c>
      <x:c r="I102" s="70" t="str">
        <x:v>按学科大纲；未展开考核明细</x:v>
      </x:c>
      <x:c r="J102" s="72" t="str">
        <x:v>0620</x:v>
      </x:c>
      <x:c r="K102" s="70" t="str">
        <x:v>2026-09-17目录快照；按开课/考试年份复核</x:v>
      </x:c>
      <x:c r="L102" s="73" t="n">
        <x:v>1010</x:v>
      </x:c>
      <x:c r="M102" s="70" t="str">
        <x:v>大纲代码保留文本前导0；Cambridge IGCSE与其他机构International GCSE不合并。 目录层条目；未预填并不代表没有考试/实践/校评。</x:v>
      </x:c>
      <x:c r="N102" s="70" t="str">
        <x:v>V3-CAIE-IG</x:v>
      </x:c>
    </x:row>
    <x:row r="103" ht="64" customHeight="1">
      <x:c r="A103" s="71" t="str">
        <x:v>C102</x:v>
      </x:c>
      <x:c r="B103" s="70" t="str">
        <x:v>S020</x:v>
      </x:c>
      <x:c r="C103" s="70" t="str">
        <x:v>IGCSE Chinese First Language IGCSE</x:v>
      </x:c>
      <x:c r="D103" s="70" t="str">
        <x:v>IGCSE Chinese First Language IGCSE</x:v>
      </x:c>
      <x:c r="E103" s="70" t="str">
        <x:v>Cambridge International</x:v>
      </x:c>
      <x:c r="F103" s="70" t="str">
        <x:v>IGCSE</x:v>
      </x:c>
      <x:c r="G103" s="70" t="str">
        <x:v>国际版</x:v>
      </x:c>
      <x:c r="H103" s="70" t="str">
        <x:v>整门课程</x:v>
      </x:c>
      <x:c r="I103" s="70" t="str">
        <x:v>按学科大纲；未展开考核明细</x:v>
      </x:c>
      <x:c r="J103" s="72" t="str">
        <x:v>0509</x:v>
      </x:c>
      <x:c r="K103" s="70" t="str">
        <x:v>2026-09-17目录快照；按开课/考试年份复核</x:v>
      </x:c>
      <x:c r="L103" s="73" t="n">
        <x:v>1020</x:v>
      </x:c>
      <x:c r="M103" s="70" t="str">
        <x:v>大纲代码保留文本前导0；Cambridge IGCSE与其他机构International GCSE不合并。 目录层条目；未预填并不代表没有考试/实践/校评。</x:v>
      </x:c>
      <x:c r="N103" s="70" t="str">
        <x:v>V3-CAIE-IG</x:v>
      </x:c>
    </x:row>
    <x:row r="104" ht="64" customHeight="1">
      <x:c r="A104" s="71" t="str">
        <x:v>C103</x:v>
      </x:c>
      <x:c r="B104" s="70" t="str">
        <x:v>S020</x:v>
      </x:c>
      <x:c r="C104" s="70" t="str">
        <x:v>IGCSE Chinese Second Language IGCSE</x:v>
      </x:c>
      <x:c r="D104" s="70" t="str">
        <x:v>IGCSE Chinese Second Language IGCSE</x:v>
      </x:c>
      <x:c r="E104" s="70" t="str">
        <x:v>Cambridge International</x:v>
      </x:c>
      <x:c r="F104" s="70" t="str">
        <x:v>IGCSE</x:v>
      </x:c>
      <x:c r="G104" s="70" t="str">
        <x:v>国际版</x:v>
      </x:c>
      <x:c r="H104" s="70" t="str">
        <x:v>整门课程</x:v>
      </x:c>
      <x:c r="I104" s="70" t="str">
        <x:v>按学科大纲；未展开考核明细</x:v>
      </x:c>
      <x:c r="J104" s="72" t="str">
        <x:v>0523</x:v>
      </x:c>
      <x:c r="K104" s="70" t="str">
        <x:v>2026-09-17目录快照；按开课/考试年份复核</x:v>
      </x:c>
      <x:c r="L104" s="73" t="n">
        <x:v>1030</x:v>
      </x:c>
      <x:c r="M104" s="70" t="str">
        <x:v>大纲代码保留文本前导0；Cambridge IGCSE与其他机构International GCSE不合并。 目录层条目；未预填并不代表没有考试/实践/校评。</x:v>
      </x:c>
      <x:c r="N104" s="70" t="str">
        <x:v>V3-CAIE-IG</x:v>
      </x:c>
    </x:row>
    <x:row r="105" ht="64" customHeight="1">
      <x:c r="A105" s="71" t="str">
        <x:v>C104</x:v>
      </x:c>
      <x:c r="B105" s="70" t="str">
        <x:v>S020</x:v>
      </x:c>
      <x:c r="C105" s="70" t="str">
        <x:v>IGCSE Mandarin Chinese Foreign Language IGCSE</x:v>
      </x:c>
      <x:c r="D105" s="70" t="str">
        <x:v>IGCSE Mandarin Chinese Foreign Language IGCSE</x:v>
      </x:c>
      <x:c r="E105" s="70" t="str">
        <x:v>Cambridge International</x:v>
      </x:c>
      <x:c r="F105" s="70" t="str">
        <x:v>IGCSE</x:v>
      </x:c>
      <x:c r="G105" s="70" t="str">
        <x:v>国际版</x:v>
      </x:c>
      <x:c r="H105" s="70" t="str">
        <x:v>整门课程</x:v>
      </x:c>
      <x:c r="I105" s="70" t="str">
        <x:v>按学科大纲；未展开考核明细</x:v>
      </x:c>
      <x:c r="J105" s="72" t="str">
        <x:v>0547</x:v>
      </x:c>
      <x:c r="K105" s="70" t="str">
        <x:v>2026-09-17目录快照；按开课/考试年份复核</x:v>
      </x:c>
      <x:c r="L105" s="73" t="n">
        <x:v>1040</x:v>
      </x:c>
      <x:c r="M105" s="70" t="str">
        <x:v>大纲代码保留文本前导0；Cambridge IGCSE与其他机构International GCSE不合并。 目录层条目；未预填并不代表没有考试/实践/校评。</x:v>
      </x:c>
      <x:c r="N105" s="70" t="str">
        <x:v>V3-CAIE-IG</x:v>
      </x:c>
    </x:row>
    <x:row r="106" ht="64" customHeight="1">
      <x:c r="A106" s="71" t="str">
        <x:v>C105</x:v>
      </x:c>
      <x:c r="B106" s="70" t="str">
        <x:v>S005</x:v>
      </x:c>
      <x:c r="C106" s="70" t="str">
        <x:v>IGCSE Computer Science IGCSE</x:v>
      </x:c>
      <x:c r="D106" s="70" t="str">
        <x:v>IGCSE Computer Science IGCSE</x:v>
      </x:c>
      <x:c r="E106" s="70" t="str">
        <x:v>Cambridge International</x:v>
      </x:c>
      <x:c r="F106" s="70" t="str">
        <x:v>IGCSE</x:v>
      </x:c>
      <x:c r="G106" s="70" t="str">
        <x:v>国际版</x:v>
      </x:c>
      <x:c r="H106" s="70" t="str">
        <x:v>整门课程</x:v>
      </x:c>
      <x:c r="I106" s="70" t="str">
        <x:v>按学科大纲；未展开考核明细</x:v>
      </x:c>
      <x:c r="J106" s="72" t="str">
        <x:v>0478</x:v>
      </x:c>
      <x:c r="K106" s="70" t="str">
        <x:v>2026-09-17目录快照；按开课/考试年份复核</x:v>
      </x:c>
      <x:c r="L106" s="73" t="n">
        <x:v>1050</x:v>
      </x:c>
      <x:c r="M106" s="70" t="str">
        <x:v>大纲代码保留文本前导0；Cambridge IGCSE与其他机构International GCSE不合并。 官网同时列示新编号，具体切换考季须核；旧码不自动迁移。 目录层条目；未预填并不代表没有考试/实践/校评。</x:v>
      </x:c>
      <x:c r="N106" s="70" t="str">
        <x:v>V3-CAIE-IG</x:v>
      </x:c>
    </x:row>
    <x:row r="107" ht="64" customHeight="1">
      <x:c r="A107" s="71" t="str">
        <x:v>C106</x:v>
      </x:c>
      <x:c r="B107" s="70" t="str">
        <x:v>S033</x:v>
      </x:c>
      <x:c r="C107" s="70" t="str">
        <x:v>IGCSE Design &amp; Technology IGCSE</x:v>
      </x:c>
      <x:c r="D107" s="70" t="str">
        <x:v>IGCSE Design &amp; Technology IGCSE</x:v>
      </x:c>
      <x:c r="E107" s="70" t="str">
        <x:v>Cambridge International</x:v>
      </x:c>
      <x:c r="F107" s="70" t="str">
        <x:v>IGCSE</x:v>
      </x:c>
      <x:c r="G107" s="70" t="str">
        <x:v>国际版</x:v>
      </x:c>
      <x:c r="H107" s="70" t="str">
        <x:v>整门课程</x:v>
      </x:c>
      <x:c r="I107" s="70" t="str">
        <x:v>按学科大纲；未展开考核明细</x:v>
      </x:c>
      <x:c r="J107" s="72" t="str">
        <x:v>0445</x:v>
      </x:c>
      <x:c r="K107" s="70" t="str">
        <x:v>2026-09-17目录快照；按开课/考试年份复核</x:v>
      </x:c>
      <x:c r="L107" s="73" t="n">
        <x:v>1060</x:v>
      </x:c>
      <x:c r="M107" s="70" t="str">
        <x:v>大纲代码保留文本前导0；Cambridge IGCSE与其他机构International GCSE不合并。 目录层条目；未预填并不代表没有考试/实践/校评。</x:v>
      </x:c>
      <x:c r="N107" s="70" t="str">
        <x:v>V3-CAIE-IG</x:v>
      </x:c>
    </x:row>
    <x:row r="108" ht="64" customHeight="1">
      <x:c r="A108" s="71" t="str">
        <x:v>C107</x:v>
      </x:c>
      <x:c r="B108" s="70" t="str">
        <x:v>S028</x:v>
      </x:c>
      <x:c r="C108" s="70" t="str">
        <x:v>IGCSE Drama IGCSE</x:v>
      </x:c>
      <x:c r="D108" s="70" t="str">
        <x:v>IGCSE Drama IGCSE</x:v>
      </x:c>
      <x:c r="E108" s="70" t="str">
        <x:v>Cambridge International</x:v>
      </x:c>
      <x:c r="F108" s="70" t="str">
        <x:v>IGCSE</x:v>
      </x:c>
      <x:c r="G108" s="70" t="str">
        <x:v>国际版</x:v>
      </x:c>
      <x:c r="H108" s="70" t="str">
        <x:v>整门课程</x:v>
      </x:c>
      <x:c r="I108" s="70" t="str">
        <x:v>按学科大纲；未展开考核明细</x:v>
      </x:c>
      <x:c r="J108" s="72" t="str">
        <x:v>0411</x:v>
      </x:c>
      <x:c r="K108" s="70" t="str">
        <x:v>2026-09-17目录快照；按开课/考试年份复核</x:v>
      </x:c>
      <x:c r="L108" s="73" t="n">
        <x:v>1070</x:v>
      </x:c>
      <x:c r="M108" s="70" t="str">
        <x:v>大纲代码保留文本前导0；Cambridge IGCSE与其他机构International GCSE不合并。 目录层条目；未预填并不代表没有考试/实践/校评。</x:v>
      </x:c>
      <x:c r="N108" s="70" t="str">
        <x:v>V3-CAIE-IG</x:v>
      </x:c>
    </x:row>
    <x:row r="109" ht="64" customHeight="1">
      <x:c r="A109" s="71" t="str">
        <x:v>C108</x:v>
      </x:c>
      <x:c r="B109" s="70" t="str">
        <x:v>S007</x:v>
      </x:c>
      <x:c r="C109" s="70" t="str">
        <x:v>IGCSE Economics IGCSE</x:v>
      </x:c>
      <x:c r="D109" s="70" t="str">
        <x:v>IGCSE Economics IGCSE</x:v>
      </x:c>
      <x:c r="E109" s="70" t="str">
        <x:v>Cambridge International</x:v>
      </x:c>
      <x:c r="F109" s="70" t="str">
        <x:v>IGCSE</x:v>
      </x:c>
      <x:c r="G109" s="70" t="str">
        <x:v>国际版</x:v>
      </x:c>
      <x:c r="H109" s="70" t="str">
        <x:v>整门课程</x:v>
      </x:c>
      <x:c r="I109" s="70" t="str">
        <x:v>按学科大纲；未展开考核明细</x:v>
      </x:c>
      <x:c r="J109" s="72" t="str">
        <x:v>0455</x:v>
      </x:c>
      <x:c r="K109" s="70" t="str">
        <x:v>2026-09-17目录快照；按开课/考试年份复核</x:v>
      </x:c>
      <x:c r="L109" s="73" t="n">
        <x:v>1080</x:v>
      </x:c>
      <x:c r="M109" s="70" t="str">
        <x:v>大纲代码保留文本前导0；Cambridge IGCSE与其他机构International GCSE不合并。 目录层条目；未预填并不代表没有考试/实践/校评。</x:v>
      </x:c>
      <x:c r="N109" s="70" t="str">
        <x:v>V3-CAIE-IG</x:v>
      </x:c>
    </x:row>
    <x:row r="110" ht="64" customHeight="1">
      <x:c r="A110" s="71" t="str">
        <x:v>C109</x:v>
      </x:c>
      <x:c r="B110" s="70" t="str">
        <x:v>S010</x:v>
      </x:c>
      <x:c r="C110" s="70" t="str">
        <x:v>IGCSE First Language English IGCSE</x:v>
      </x:c>
      <x:c r="D110" s="70" t="str">
        <x:v>IGCSE First Language English IGCSE</x:v>
      </x:c>
      <x:c r="E110" s="70" t="str">
        <x:v>Cambridge International</x:v>
      </x:c>
      <x:c r="F110" s="70" t="str">
        <x:v>IGCSE</x:v>
      </x:c>
      <x:c r="G110" s="70" t="str">
        <x:v>国际版</x:v>
      </x:c>
      <x:c r="H110" s="70" t="str">
        <x:v>整门课程</x:v>
      </x:c>
      <x:c r="I110" s="70" t="str">
        <x:v>按学科大纲；未展开考核明细</x:v>
      </x:c>
      <x:c r="J110" s="72" t="str">
        <x:v>0500</x:v>
      </x:c>
      <x:c r="K110" s="70" t="str">
        <x:v>2026-09-17目录快照；按开课/考试年份复核</x:v>
      </x:c>
      <x:c r="L110" s="73" t="n">
        <x:v>1090</x:v>
      </x:c>
      <x:c r="M110" s="70" t="str">
        <x:v>大纲代码保留文本前导0；Cambridge IGCSE与其他机构International GCSE不合并。 目录层条目；未预填并不代表没有考试/实践/校评。</x:v>
      </x:c>
      <x:c r="N110" s="70" t="str">
        <x:v>V3-CAIE-IG</x:v>
      </x:c>
    </x:row>
    <x:row r="111" ht="64" customHeight="1">
      <x:c r="A111" s="71" t="str">
        <x:v>C110</x:v>
      </x:c>
      <x:c r="B111" s="70" t="str">
        <x:v>S010</x:v>
      </x:c>
      <x:c r="C111" s="70" t="str">
        <x:v>IGCSE Literature in English IGCSE</x:v>
      </x:c>
      <x:c r="D111" s="70" t="str">
        <x:v>IGCSE Literature in English IGCSE</x:v>
      </x:c>
      <x:c r="E111" s="70" t="str">
        <x:v>Cambridge International</x:v>
      </x:c>
      <x:c r="F111" s="70" t="str">
        <x:v>IGCSE</x:v>
      </x:c>
      <x:c r="G111" s="70" t="str">
        <x:v>国际版</x:v>
      </x:c>
      <x:c r="H111" s="70" t="str">
        <x:v>整门课程</x:v>
      </x:c>
      <x:c r="I111" s="70" t="str">
        <x:v>按学科大纲；未展开考核明细</x:v>
      </x:c>
      <x:c r="J111" s="72" t="str">
        <x:v>0475</x:v>
      </x:c>
      <x:c r="K111" s="70" t="str">
        <x:v>2026-09-17目录快照；按开课/考试年份复核</x:v>
      </x:c>
      <x:c r="L111" s="73" t="n">
        <x:v>1100</x:v>
      </x:c>
      <x:c r="M111" s="70" t="str">
        <x:v>大纲代码保留文本前导0；Cambridge IGCSE与其他机构International GCSE不合并。 目录层条目；未预填并不代表没有考试/实践/校评。</x:v>
      </x:c>
      <x:c r="N111" s="70" t="str">
        <x:v>V3-CAIE-IG</x:v>
      </x:c>
    </x:row>
    <x:row r="112" ht="64" customHeight="1">
      <x:c r="A112" s="71" t="str">
        <x:v>C111</x:v>
      </x:c>
      <x:c r="B112" s="70" t="str">
        <x:v>S010</x:v>
      </x:c>
      <x:c r="C112" s="70" t="str">
        <x:v>IGCSE English as a Second Language (Count-in Speaking) IGCSE</x:v>
      </x:c>
      <x:c r="D112" s="70" t="str">
        <x:v>IGCSE English as a Second Language (Count-in Speaking) IGCSE</x:v>
      </x:c>
      <x:c r="E112" s="70" t="str">
        <x:v>Cambridge International</x:v>
      </x:c>
      <x:c r="F112" s="70" t="str">
        <x:v>IGCSE</x:v>
      </x:c>
      <x:c r="G112" s="70" t="str">
        <x:v>国际版</x:v>
      </x:c>
      <x:c r="H112" s="70" t="str">
        <x:v>整门课程</x:v>
      </x:c>
      <x:c r="I112" s="70" t="str">
        <x:v>按学科大纲；未展开考核明细</x:v>
      </x:c>
      <x:c r="J112" s="72" t="str">
        <x:v>0511</x:v>
      </x:c>
      <x:c r="K112" s="70" t="str">
        <x:v>2026-09-17目录快照；按开课/考试年份复核</x:v>
      </x:c>
      <x:c r="L112" s="73" t="n">
        <x:v>1110</x:v>
      </x:c>
      <x:c r="M112" s="70" t="str">
        <x:v>大纲代码保留文本前导0；Cambridge IGCSE与其他机构International GCSE不合并。 目录层条目；未预填并不代表没有考试/实践/校评。</x:v>
      </x:c>
      <x:c r="N112" s="70" t="str">
        <x:v>V3-CAIE-IG</x:v>
      </x:c>
    </x:row>
    <x:row r="113" ht="64" customHeight="1">
      <x:c r="A113" s="71" t="str">
        <x:v>C112</x:v>
      </x:c>
      <x:c r="B113" s="70" t="str">
        <x:v>S010</x:v>
      </x:c>
      <x:c r="C113" s="70" t="str">
        <x:v>IGCSE English as a Second Language (Speaking Endorsement) IGCSE</x:v>
      </x:c>
      <x:c r="D113" s="70" t="str">
        <x:v>IGCSE English as a Second Language (Speaking Endorsement) IGCSE</x:v>
      </x:c>
      <x:c r="E113" s="70" t="str">
        <x:v>Cambridge International</x:v>
      </x:c>
      <x:c r="F113" s="70" t="str">
        <x:v>IGCSE</x:v>
      </x:c>
      <x:c r="G113" s="70" t="str">
        <x:v>国际版</x:v>
      </x:c>
      <x:c r="H113" s="70" t="str">
        <x:v>整门课程</x:v>
      </x:c>
      <x:c r="I113" s="70" t="str">
        <x:v>按学科大纲；未展开考核明细</x:v>
      </x:c>
      <x:c r="J113" s="72" t="str">
        <x:v>0510</x:v>
      </x:c>
      <x:c r="K113" s="70" t="str">
        <x:v>2026-09-17目录快照；按开课/考试年份复核</x:v>
      </x:c>
      <x:c r="L113" s="73" t="n">
        <x:v>1120</x:v>
      </x:c>
      <x:c r="M113" s="70" t="str">
        <x:v>大纲代码保留文本前导0；Cambridge IGCSE与其他机构International GCSE不合并。 目录层条目；未预填并不代表没有考试/实践/校评。</x:v>
      </x:c>
      <x:c r="N113" s="70" t="str">
        <x:v>V3-CAIE-IG</x:v>
      </x:c>
    </x:row>
    <x:row r="114" ht="64" customHeight="1">
      <x:c r="A114" s="71" t="str">
        <x:v>C113</x:v>
      </x:c>
      <x:c r="B114" s="70" t="str">
        <x:v>S008</x:v>
      </x:c>
      <x:c r="C114" s="70" t="str">
        <x:v>IGCSE Enterprise IGCSE</x:v>
      </x:c>
      <x:c r="D114" s="70" t="str">
        <x:v>IGCSE Enterprise IGCSE</x:v>
      </x:c>
      <x:c r="E114" s="70" t="str">
        <x:v>Cambridge International</x:v>
      </x:c>
      <x:c r="F114" s="70" t="str">
        <x:v>IGCSE</x:v>
      </x:c>
      <x:c r="G114" s="70" t="str">
        <x:v>国际版</x:v>
      </x:c>
      <x:c r="H114" s="70" t="str">
        <x:v>整门课程</x:v>
      </x:c>
      <x:c r="I114" s="70" t="str">
        <x:v>按学科大纲；未展开考核明细</x:v>
      </x:c>
      <x:c r="J114" s="72" t="str">
        <x:v>0454</x:v>
      </x:c>
      <x:c r="K114" s="70" t="str">
        <x:v>2026-09-17目录快照；按开课/考试年份复核</x:v>
      </x:c>
      <x:c r="L114" s="73" t="n">
        <x:v>1130</x:v>
      </x:c>
      <x:c r="M114" s="70" t="str">
        <x:v>大纲代码保留文本前导0；Cambridge IGCSE与其他机构International GCSE不合并。 目录层条目；未预填并不代表没有考试/实践/校评。</x:v>
      </x:c>
      <x:c r="N114" s="70" t="str">
        <x:v>V3-CAIE-IG</x:v>
      </x:c>
    </x:row>
    <x:row r="115" ht="64" customHeight="1">
      <x:c r="A115" s="71" t="str">
        <x:v>C114</x:v>
      </x:c>
      <x:c r="B115" s="70" t="str">
        <x:v>S031</x:v>
      </x:c>
      <x:c r="C115" s="70" t="str">
        <x:v>IGCSE Environmental Management IGCSE</x:v>
      </x:c>
      <x:c r="D115" s="70" t="str">
        <x:v>IGCSE Environmental Management IGCSE</x:v>
      </x:c>
      <x:c r="E115" s="70" t="str">
        <x:v>Cambridge International</x:v>
      </x:c>
      <x:c r="F115" s="70" t="str">
        <x:v>IGCSE</x:v>
      </x:c>
      <x:c r="G115" s="70" t="str">
        <x:v>国际版</x:v>
      </x:c>
      <x:c r="H115" s="70" t="str">
        <x:v>整门课程</x:v>
      </x:c>
      <x:c r="I115" s="70" t="str">
        <x:v>按学科大纲；未展开考核明细</x:v>
      </x:c>
      <x:c r="J115" s="72" t="str">
        <x:v>0680</x:v>
      </x:c>
      <x:c r="K115" s="70" t="str">
        <x:v>2026-09-17目录快照；按开课/考试年份复核</x:v>
      </x:c>
      <x:c r="L115" s="73" t="n">
        <x:v>1140</x:v>
      </x:c>
      <x:c r="M115" s="70" t="str">
        <x:v>大纲代码保留文本前导0；Cambridge IGCSE与其他机构International GCSE不合并。 目录层条目；未预填并不代表没有考试/实践/校评。</x:v>
      </x:c>
      <x:c r="N115" s="70" t="str">
        <x:v>V3-CAIE-IG</x:v>
      </x:c>
    </x:row>
    <x:row r="116" ht="64" customHeight="1">
      <x:c r="A116" s="71" t="str">
        <x:v>C115</x:v>
      </x:c>
      <x:c r="B116" s="70" t="str">
        <x:v>S039</x:v>
      </x:c>
      <x:c r="C116" s="70" t="str">
        <x:v>IGCSE Food &amp; Nutrition IGCSE</x:v>
      </x:c>
      <x:c r="D116" s="70" t="str">
        <x:v>IGCSE Food &amp; Nutrition IGCSE</x:v>
      </x:c>
      <x:c r="E116" s="70" t="str">
        <x:v>Cambridge International</x:v>
      </x:c>
      <x:c r="F116" s="70" t="str">
        <x:v>IGCSE</x:v>
      </x:c>
      <x:c r="G116" s="70" t="str">
        <x:v>国际版</x:v>
      </x:c>
      <x:c r="H116" s="70" t="str">
        <x:v>整门课程</x:v>
      </x:c>
      <x:c r="I116" s="70" t="str">
        <x:v>按学科大纲；未展开考核明细</x:v>
      </x:c>
      <x:c r="J116" s="72" t="str">
        <x:v>0648</x:v>
      </x:c>
      <x:c r="K116" s="70" t="str">
        <x:v>2026-09-17目录快照；按开课/考试年份复核</x:v>
      </x:c>
      <x:c r="L116" s="73" t="n">
        <x:v>1150</x:v>
      </x:c>
      <x:c r="M116" s="70" t="str">
        <x:v>大纲代码保留文本前导0；Cambridge IGCSE与其他机构International GCSE不合并。 目录层条目；未预填并不代表没有考试/实践/校评。</x:v>
      </x:c>
      <x:c r="N116" s="70" t="str">
        <x:v>V3-CAIE-IG</x:v>
      </x:c>
    </x:row>
    <x:row r="117" ht="64" customHeight="1">
      <x:c r="A117" s="71" t="str">
        <x:v>C116</x:v>
      </x:c>
      <x:c r="B117" s="70" t="str">
        <x:v>S016</x:v>
      </x:c>
      <x:c r="C117" s="70" t="str">
        <x:v>IGCSE French Foreign Language IGCSE</x:v>
      </x:c>
      <x:c r="D117" s="70" t="str">
        <x:v>IGCSE French Foreign Language IGCSE</x:v>
      </x:c>
      <x:c r="E117" s="70" t="str">
        <x:v>Cambridge International</x:v>
      </x:c>
      <x:c r="F117" s="70" t="str">
        <x:v>IGCSE</x:v>
      </x:c>
      <x:c r="G117" s="70" t="str">
        <x:v>国际版</x:v>
      </x:c>
      <x:c r="H117" s="70" t="str">
        <x:v>整门课程</x:v>
      </x:c>
      <x:c r="I117" s="70" t="str">
        <x:v>按学科大纲；未展开考核明细</x:v>
      </x:c>
      <x:c r="J117" s="72" t="str">
        <x:v>0520</x:v>
      </x:c>
      <x:c r="K117" s="70" t="str">
        <x:v>2026-09-17目录快照；按开课/考试年份复核</x:v>
      </x:c>
      <x:c r="L117" s="73" t="n">
        <x:v>1160</x:v>
      </x:c>
      <x:c r="M117" s="70" t="str">
        <x:v>大纲代码保留文本前导0；Cambridge IGCSE与其他机构International GCSE不合并。 目录层条目；未预填并不代表没有考试/实践/校评。</x:v>
      </x:c>
      <x:c r="N117" s="70" t="str">
        <x:v>V3-CAIE-IG</x:v>
      </x:c>
    </x:row>
    <x:row r="118" ht="64" customHeight="1">
      <x:c r="A118" s="71" t="str">
        <x:v>C117</x:v>
      </x:c>
      <x:c r="B118" s="70" t="str">
        <x:v>S012</x:v>
      </x:c>
      <x:c r="C118" s="70" t="str">
        <x:v>IGCSE Geography IGCSE</x:v>
      </x:c>
      <x:c r="D118" s="70" t="str">
        <x:v>IGCSE Geography IGCSE</x:v>
      </x:c>
      <x:c r="E118" s="70" t="str">
        <x:v>Cambridge International</x:v>
      </x:c>
      <x:c r="F118" s="70" t="str">
        <x:v>IGCSE</x:v>
      </x:c>
      <x:c r="G118" s="70" t="str">
        <x:v>国际版</x:v>
      </x:c>
      <x:c r="H118" s="70" t="str">
        <x:v>整门课程</x:v>
      </x:c>
      <x:c r="I118" s="70" t="str">
        <x:v>按学科大纲；未展开考核明细</x:v>
      </x:c>
      <x:c r="J118" s="72" t="str">
        <x:v>0460</x:v>
      </x:c>
      <x:c r="K118" s="70" t="str">
        <x:v>2026-09-17目录快照；按开课/考试年份复核</x:v>
      </x:c>
      <x:c r="L118" s="73" t="n">
        <x:v>1170</x:v>
      </x:c>
      <x:c r="M118" s="70" t="str">
        <x:v>大纲代码保留文本前导0；Cambridge IGCSE与其他机构International GCSE不合并。 目录层条目；未预填并不代表没有考试/实践/校评。</x:v>
      </x:c>
      <x:c r="N118" s="70" t="str">
        <x:v>V3-CAIE-IG</x:v>
      </x:c>
    </x:row>
    <x:row r="119" ht="64" customHeight="1">
      <x:c r="A119" s="71" t="str">
        <x:v>C118</x:v>
      </x:c>
      <x:c r="B119" s="70" t="str">
        <x:v>S017</x:v>
      </x:c>
      <x:c r="C119" s="70" t="str">
        <x:v>IGCSE German Foreign Language IGCSE</x:v>
      </x:c>
      <x:c r="D119" s="70" t="str">
        <x:v>IGCSE German Foreign Language IGCSE</x:v>
      </x:c>
      <x:c r="E119" s="70" t="str">
        <x:v>Cambridge International</x:v>
      </x:c>
      <x:c r="F119" s="70" t="str">
        <x:v>IGCSE</x:v>
      </x:c>
      <x:c r="G119" s="70" t="str">
        <x:v>国际版</x:v>
      </x:c>
      <x:c r="H119" s="70" t="str">
        <x:v>整门课程</x:v>
      </x:c>
      <x:c r="I119" s="70" t="str">
        <x:v>按学科大纲；未展开考核明细</x:v>
      </x:c>
      <x:c r="J119" s="72" t="str">
        <x:v>0525</x:v>
      </x:c>
      <x:c r="K119" s="70" t="str">
        <x:v>2026-09-17目录快照；按开课/考试年份复核</x:v>
      </x:c>
      <x:c r="L119" s="73" t="n">
        <x:v>1180</x:v>
      </x:c>
      <x:c r="M119" s="70" t="str">
        <x:v>大纲代码保留文本前导0；Cambridge IGCSE与其他机构International GCSE不合并。 目录层条目；未预填并不代表没有考试/实践/校评。</x:v>
      </x:c>
      <x:c r="N119" s="70" t="str">
        <x:v>V3-CAIE-IG</x:v>
      </x:c>
    </x:row>
    <x:row r="120" ht="64" customHeight="1">
      <x:c r="A120" s="71" t="str">
        <x:v>C119</x:v>
      </x:c>
      <x:c r="B120" s="70" t="str">
        <x:v>S036</x:v>
      </x:c>
      <x:c r="C120" s="70" t="str">
        <x:v>IGCSE Global Perspectives IGCSE</x:v>
      </x:c>
      <x:c r="D120" s="70" t="str">
        <x:v>IGCSE Global Perspectives IGCSE</x:v>
      </x:c>
      <x:c r="E120" s="70" t="str">
        <x:v>Cambridge International</x:v>
      </x:c>
      <x:c r="F120" s="70" t="str">
        <x:v>IGCSE</x:v>
      </x:c>
      <x:c r="G120" s="70" t="str">
        <x:v>国际版</x:v>
      </x:c>
      <x:c r="H120" s="70" t="str">
        <x:v>整门课程</x:v>
      </x:c>
      <x:c r="I120" s="70" t="str">
        <x:v>按学科大纲；未展开考核明细</x:v>
      </x:c>
      <x:c r="J120" s="72" t="str">
        <x:v>0457</x:v>
      </x:c>
      <x:c r="K120" s="70" t="str">
        <x:v>2026-09-17目录快照；按开课/考试年份复核</x:v>
      </x:c>
      <x:c r="L120" s="73" t="n">
        <x:v>1190</x:v>
      </x:c>
      <x:c r="M120" s="70" t="str">
        <x:v>大纲代码保留文本前导0；Cambridge IGCSE与其他机构International GCSE不合并。 目录层条目；未预填并不代表没有考试/实践/校评。</x:v>
      </x:c>
      <x:c r="N120" s="70" t="str">
        <x:v>V3-CAIE-IG</x:v>
      </x:c>
    </x:row>
    <x:row r="121" ht="64" customHeight="1">
      <x:c r="A121" s="71" t="str">
        <x:v>C120</x:v>
      </x:c>
      <x:c r="B121" s="70" t="str">
        <x:v>S011</x:v>
      </x:c>
      <x:c r="C121" s="70" t="str">
        <x:v>IGCSE History IGCSE</x:v>
      </x:c>
      <x:c r="D121" s="70" t="str">
        <x:v>IGCSE History IGCSE</x:v>
      </x:c>
      <x:c r="E121" s="70" t="str">
        <x:v>Cambridge International</x:v>
      </x:c>
      <x:c r="F121" s="70" t="str">
        <x:v>IGCSE</x:v>
      </x:c>
      <x:c r="G121" s="70" t="str">
        <x:v>国际版</x:v>
      </x:c>
      <x:c r="H121" s="70" t="str">
        <x:v>整门课程</x:v>
      </x:c>
      <x:c r="I121" s="70" t="str">
        <x:v>按学科大纲；未展开考核明细</x:v>
      </x:c>
      <x:c r="J121" s="72" t="str">
        <x:v>0470</x:v>
      </x:c>
      <x:c r="K121" s="70" t="str">
        <x:v>2026-09-17目录快照；按开课/考试年份复核</x:v>
      </x:c>
      <x:c r="L121" s="73" t="n">
        <x:v>1200</x:v>
      </x:c>
      <x:c r="M121" s="70" t="str">
        <x:v>大纲代码保留文本前导0；Cambridge IGCSE与其他机构International GCSE不合并。 目录层条目；未预填并不代表没有考试/实践/校评。</x:v>
      </x:c>
      <x:c r="N121" s="70" t="str">
        <x:v>V3-CAIE-IG</x:v>
      </x:c>
    </x:row>
    <x:row r="122" ht="64" customHeight="1">
      <x:c r="A122" s="71" t="str">
        <x:v>C121</x:v>
      </x:c>
      <x:c r="B122" s="70" t="str">
        <x:v>S006</x:v>
      </x:c>
      <x:c r="C122" s="70" t="str">
        <x:v>IGCSE Information &amp; Communication Technology IGCSE</x:v>
      </x:c>
      <x:c r="D122" s="70" t="str">
        <x:v>IGCSE Information &amp; Communication Technology IGCSE</x:v>
      </x:c>
      <x:c r="E122" s="70" t="str">
        <x:v>Cambridge International</x:v>
      </x:c>
      <x:c r="F122" s="70" t="str">
        <x:v>IGCSE</x:v>
      </x:c>
      <x:c r="G122" s="70" t="str">
        <x:v>国际版</x:v>
      </x:c>
      <x:c r="H122" s="70" t="str">
        <x:v>整门课程</x:v>
      </x:c>
      <x:c r="I122" s="70" t="str">
        <x:v>按学科大纲；未展开考核明细</x:v>
      </x:c>
      <x:c r="J122" s="72" t="str">
        <x:v>0417</x:v>
      </x:c>
      <x:c r="K122" s="70" t="str">
        <x:v>2026-09-17目录快照；按开课/考试年份复核</x:v>
      </x:c>
      <x:c r="L122" s="73" t="n">
        <x:v>1210</x:v>
      </x:c>
      <x:c r="M122" s="70" t="str">
        <x:v>大纲代码保留文本前导0；Cambridge IGCSE与其他机构International GCSE不合并。 目录层条目；未预填并不代表没有考试/实践/校评。</x:v>
      </x:c>
      <x:c r="N122" s="70" t="str">
        <x:v>V3-CAIE-IG</x:v>
      </x:c>
    </x:row>
    <x:row r="123" ht="64" customHeight="1">
      <x:c r="A123" s="71" t="str">
        <x:v>C122</x:v>
      </x:c>
      <x:c r="B123" s="70" t="str">
        <x:v>S024</x:v>
      </x:c>
      <x:c r="C123" s="70" t="str">
        <x:v>IGCSE Latin IGCSE</x:v>
      </x:c>
      <x:c r="D123" s="70" t="str">
        <x:v>IGCSE Latin IGCSE</x:v>
      </x:c>
      <x:c r="E123" s="70" t="str">
        <x:v>Cambridge International</x:v>
      </x:c>
      <x:c r="F123" s="70" t="str">
        <x:v>IGCSE</x:v>
      </x:c>
      <x:c r="G123" s="70" t="str">
        <x:v>国际版</x:v>
      </x:c>
      <x:c r="H123" s="70" t="str">
        <x:v>整门课程</x:v>
      </x:c>
      <x:c r="I123" s="70" t="str">
        <x:v>按学科大纲；未展开考核明细</x:v>
      </x:c>
      <x:c r="J123" s="72" t="str">
        <x:v>0480</x:v>
      </x:c>
      <x:c r="K123" s="70" t="str">
        <x:v>2026-09-17目录快照；按开课/考试年份复核</x:v>
      </x:c>
      <x:c r="L123" s="73" t="n">
        <x:v>1220</x:v>
      </x:c>
      <x:c r="M123" s="70" t="str">
        <x:v>大纲代码保留文本前导0；Cambridge IGCSE与其他机构International GCSE不合并。 目录层条目；未预填并不代表没有考试/实践/校评。</x:v>
      </x:c>
      <x:c r="N123" s="70" t="str">
        <x:v>V3-CAIE-IG</x:v>
      </x:c>
    </x:row>
    <x:row r="124" ht="64" customHeight="1">
      <x:c r="A124" s="71" t="str">
        <x:v>C123</x:v>
      </x:c>
      <x:c r="B124" s="70" t="str">
        <x:v>S001</x:v>
      </x:c>
      <x:c r="C124" s="70" t="str">
        <x:v>IGCSE Mathematics IGCSE</x:v>
      </x:c>
      <x:c r="D124" s="70" t="str">
        <x:v>IGCSE Mathematics IGCSE</x:v>
      </x:c>
      <x:c r="E124" s="70" t="str">
        <x:v>Cambridge International</x:v>
      </x:c>
      <x:c r="F124" s="70" t="str">
        <x:v>IGCSE</x:v>
      </x:c>
      <x:c r="G124" s="70" t="str">
        <x:v>国际版</x:v>
      </x:c>
      <x:c r="H124" s="70" t="str">
        <x:v>整门课程</x:v>
      </x:c>
      <x:c r="I124" s="70" t="str">
        <x:v>按学科大纲；未展开考核明细</x:v>
      </x:c>
      <x:c r="J124" s="72" t="str">
        <x:v>0580</x:v>
      </x:c>
      <x:c r="K124" s="70" t="str">
        <x:v>2026-09-17目录快照；按开课/考试年份复核</x:v>
      </x:c>
      <x:c r="L124" s="73" t="n">
        <x:v>1230</x:v>
      </x:c>
      <x:c r="M124" s="70" t="str">
        <x:v>大纲代码保留文本前导0；Cambridge IGCSE与其他机构International GCSE不合并。 目录层条目；未预填并不代表没有考试/实践/校评。</x:v>
      </x:c>
      <x:c r="N124" s="70" t="str">
        <x:v>V3-CAIE-IG</x:v>
      </x:c>
    </x:row>
    <x:row r="125" ht="64" customHeight="1">
      <x:c r="A125" s="71" t="str">
        <x:v>C124</x:v>
      </x:c>
      <x:c r="B125" s="70" t="str">
        <x:v>S001</x:v>
      </x:c>
      <x:c r="C125" s="70" t="str">
        <x:v>IGCSE Additional Mathematics IGCSE</x:v>
      </x:c>
      <x:c r="D125" s="70" t="str">
        <x:v>IGCSE Additional Mathematics IGCSE</x:v>
      </x:c>
      <x:c r="E125" s="70" t="str">
        <x:v>Cambridge International</x:v>
      </x:c>
      <x:c r="F125" s="70" t="str">
        <x:v>IGCSE</x:v>
      </x:c>
      <x:c r="G125" s="70" t="str">
        <x:v>国际版</x:v>
      </x:c>
      <x:c r="H125" s="70" t="str">
        <x:v>整门课程</x:v>
      </x:c>
      <x:c r="I125" s="70" t="str">
        <x:v>按学科大纲；未展开考核明细</x:v>
      </x:c>
      <x:c r="J125" s="72" t="str">
        <x:v>0606</x:v>
      </x:c>
      <x:c r="K125" s="70" t="str">
        <x:v>2026-09-17目录快照；按开课/考试年份复核</x:v>
      </x:c>
      <x:c r="L125" s="73" t="n">
        <x:v>1240</x:v>
      </x:c>
      <x:c r="M125" s="70" t="str">
        <x:v>大纲代码保留文本前导0；Cambridge IGCSE与其他机构International GCSE不合并。 目录层条目；未预填并不代表没有考试/实践/校评。</x:v>
      </x:c>
      <x:c r="N125" s="70" t="str">
        <x:v>V3-CAIE-IG</x:v>
      </x:c>
    </x:row>
    <x:row r="126" ht="64" customHeight="1">
      <x:c r="A126" s="71" t="str">
        <x:v>C125</x:v>
      </x:c>
      <x:c r="B126" s="70" t="str">
        <x:v>S001</x:v>
      </x:c>
      <x:c r="C126" s="70" t="str">
        <x:v>IGCSE International Mathematics IGCSE</x:v>
      </x:c>
      <x:c r="D126" s="70" t="str">
        <x:v>IGCSE International Mathematics IGCSE</x:v>
      </x:c>
      <x:c r="E126" s="70" t="str">
        <x:v>Cambridge International</x:v>
      </x:c>
      <x:c r="F126" s="70" t="str">
        <x:v>IGCSE</x:v>
      </x:c>
      <x:c r="G126" s="70" t="str">
        <x:v>国际版</x:v>
      </x:c>
      <x:c r="H126" s="70" t="str">
        <x:v>整门课程</x:v>
      </x:c>
      <x:c r="I126" s="70" t="str">
        <x:v>按学科大纲；未展开考核明细</x:v>
      </x:c>
      <x:c r="J126" s="72" t="str">
        <x:v>0607</x:v>
      </x:c>
      <x:c r="K126" s="70" t="str">
        <x:v>2026-09-17目录快照；按开课/考试年份复核</x:v>
      </x:c>
      <x:c r="L126" s="73" t="n">
        <x:v>1250</x:v>
      </x:c>
      <x:c r="M126" s="70" t="str">
        <x:v>大纲代码保留文本前导0；Cambridge IGCSE与其他机构International GCSE不合并。 目录层条目；未预填并不代表没有考试/实践/校评。</x:v>
      </x:c>
      <x:c r="N126" s="70" t="str">
        <x:v>V3-CAIE-IG</x:v>
      </x:c>
    </x:row>
    <x:row r="127" ht="64" customHeight="1">
      <x:c r="A127" s="71" t="str">
        <x:v>C126</x:v>
      </x:c>
      <x:c r="B127" s="70" t="str">
        <x:v>S027</x:v>
      </x:c>
      <x:c r="C127" s="70" t="str">
        <x:v>IGCSE Music IGCSE</x:v>
      </x:c>
      <x:c r="D127" s="70" t="str">
        <x:v>IGCSE Music IGCSE</x:v>
      </x:c>
      <x:c r="E127" s="70" t="str">
        <x:v>Cambridge International</x:v>
      </x:c>
      <x:c r="F127" s="70" t="str">
        <x:v>IGCSE</x:v>
      </x:c>
      <x:c r="G127" s="70" t="str">
        <x:v>国际版</x:v>
      </x:c>
      <x:c r="H127" s="70" t="str">
        <x:v>整门课程</x:v>
      </x:c>
      <x:c r="I127" s="70" t="str">
        <x:v>按学科大纲；未展开考核明细</x:v>
      </x:c>
      <x:c r="J127" s="72" t="str">
        <x:v>0410</x:v>
      </x:c>
      <x:c r="K127" s="70" t="str">
        <x:v>2026-09-17目录快照；按开课/考试年份复核</x:v>
      </x:c>
      <x:c r="L127" s="73" t="n">
        <x:v>1260</x:v>
      </x:c>
      <x:c r="M127" s="70" t="str">
        <x:v>大纲代码保留文本前导0；Cambridge IGCSE与其他机构International GCSE不合并。 目录层条目；未预填并不代表没有考试/实践/校评。</x:v>
      </x:c>
      <x:c r="N127" s="70" t="str">
        <x:v>V3-CAIE-IG</x:v>
      </x:c>
    </x:row>
    <x:row r="128" ht="64" customHeight="1">
      <x:c r="A128" s="71" t="str">
        <x:v>C127</x:v>
      </x:c>
      <x:c r="B128" s="70" t="str">
        <x:v>S032</x:v>
      </x:c>
      <x:c r="C128" s="70" t="str">
        <x:v>IGCSE Physical Education IGCSE</x:v>
      </x:c>
      <x:c r="D128" s="70" t="str">
        <x:v>IGCSE Physical Education IGCSE</x:v>
      </x:c>
      <x:c r="E128" s="70" t="str">
        <x:v>Cambridge International</x:v>
      </x:c>
      <x:c r="F128" s="70" t="str">
        <x:v>IGCSE</x:v>
      </x:c>
      <x:c r="G128" s="70" t="str">
        <x:v>国际版</x:v>
      </x:c>
      <x:c r="H128" s="70" t="str">
        <x:v>整门课程</x:v>
      </x:c>
      <x:c r="I128" s="70" t="str">
        <x:v>按学科大纲；未展开考核明细</x:v>
      </x:c>
      <x:c r="J128" s="72" t="str">
        <x:v>0413</x:v>
      </x:c>
      <x:c r="K128" s="70" t="str">
        <x:v>2026-09-17目录快照；按开课/考试年份复核</x:v>
      </x:c>
      <x:c r="L128" s="73" t="n">
        <x:v>1270</x:v>
      </x:c>
      <x:c r="M128" s="70" t="str">
        <x:v>大纲代码保留文本前导0；Cambridge IGCSE与其他机构International GCSE不合并。 目录层条目；未预填并不代表没有考试/实践/校评。</x:v>
      </x:c>
      <x:c r="N128" s="70" t="str">
        <x:v>V3-CAIE-IG</x:v>
      </x:c>
    </x:row>
    <x:row r="129" ht="64" customHeight="1">
      <x:c r="A129" s="71" t="str">
        <x:v>C128</x:v>
      </x:c>
      <x:c r="B129" s="70" t="str">
        <x:v>S002</x:v>
      </x:c>
      <x:c r="C129" s="70" t="str">
        <x:v>IGCSE Physics IGCSE</x:v>
      </x:c>
      <x:c r="D129" s="70" t="str">
        <x:v>IGCSE Physics IGCSE</x:v>
      </x:c>
      <x:c r="E129" s="70" t="str">
        <x:v>Cambridge International</x:v>
      </x:c>
      <x:c r="F129" s="70" t="str">
        <x:v>IGCSE</x:v>
      </x:c>
      <x:c r="G129" s="70" t="str">
        <x:v>国际版</x:v>
      </x:c>
      <x:c r="H129" s="70" t="str">
        <x:v>整门课程</x:v>
      </x:c>
      <x:c r="I129" s="70" t="str">
        <x:v>按学科大纲；未展开考核明细</x:v>
      </x:c>
      <x:c r="J129" s="72" t="str">
        <x:v>0625</x:v>
      </x:c>
      <x:c r="K129" s="70" t="str">
        <x:v>2026-09-17目录快照；按开课/考试年份复核</x:v>
      </x:c>
      <x:c r="L129" s="73" t="n">
        <x:v>1280</x:v>
      </x:c>
      <x:c r="M129" s="70" t="str">
        <x:v>大纲代码保留文本前导0；Cambridge IGCSE与其他机构International GCSE不合并。 目录层条目；未预填并不代表没有考试/实践/校评。</x:v>
      </x:c>
      <x:c r="N129" s="70" t="str">
        <x:v>V3-CAIE-IG</x:v>
      </x:c>
    </x:row>
    <x:row r="130" ht="64" customHeight="1">
      <x:c r="A130" s="71" t="str">
        <x:v>C129</x:v>
      </x:c>
      <x:c r="B130" s="70" t="str">
        <x:v>S031</x:v>
      </x:c>
      <x:c r="C130" s="70" t="str">
        <x:v>IGCSE Combined Science IGCSE</x:v>
      </x:c>
      <x:c r="D130" s="70" t="str">
        <x:v>IGCSE Combined Science IGCSE</x:v>
      </x:c>
      <x:c r="E130" s="70" t="str">
        <x:v>Cambridge International</x:v>
      </x:c>
      <x:c r="F130" s="70" t="str">
        <x:v>IGCSE</x:v>
      </x:c>
      <x:c r="G130" s="70" t="str">
        <x:v>国际版</x:v>
      </x:c>
      <x:c r="H130" s="70" t="str">
        <x:v>整门课程</x:v>
      </x:c>
      <x:c r="I130" s="70" t="str">
        <x:v>按学科大纲；未展开考核明细</x:v>
      </x:c>
      <x:c r="J130" s="72" t="str">
        <x:v>0653</x:v>
      </x:c>
      <x:c r="K130" s="70" t="str">
        <x:v>2026-09-17目录快照；按开课/考试年份复核</x:v>
      </x:c>
      <x:c r="L130" s="73" t="n">
        <x:v>1290</x:v>
      </x:c>
      <x:c r="M130" s="70" t="str">
        <x:v>大纲代码保留文本前导0；Cambridge IGCSE与其他机构International GCSE不合并。 目录层条目；未预填并不代表没有考试/实践/校评。</x:v>
      </x:c>
      <x:c r="N130" s="70" t="str">
        <x:v>V3-CAIE-IG</x:v>
      </x:c>
    </x:row>
    <x:row r="131" ht="64" customHeight="1">
      <x:c r="A131" s="71" t="str">
        <x:v>C130</x:v>
      </x:c>
      <x:c r="B131" s="70" t="str">
        <x:v>S031</x:v>
      </x:c>
      <x:c r="C131" s="70" t="str">
        <x:v>IGCSE Co-ordinated Sciences (Double Award) IGCSE</x:v>
      </x:c>
      <x:c r="D131" s="70" t="str">
        <x:v>IGCSE Co-ordinated Sciences (Double Award) IGCSE</x:v>
      </x:c>
      <x:c r="E131" s="70" t="str">
        <x:v>Cambridge International</x:v>
      </x:c>
      <x:c r="F131" s="70" t="str">
        <x:v>IGCSE</x:v>
      </x:c>
      <x:c r="G131" s="70" t="str">
        <x:v>国际版</x:v>
      </x:c>
      <x:c r="H131" s="70" t="str">
        <x:v>整门课程</x:v>
      </x:c>
      <x:c r="I131" s="70" t="str">
        <x:v>按学科大纲；未展开考核明细</x:v>
      </x:c>
      <x:c r="J131" s="72" t="str">
        <x:v>0654</x:v>
      </x:c>
      <x:c r="K131" s="70" t="str">
        <x:v>2026-09-17目录快照；按开课/考试年份复核</x:v>
      </x:c>
      <x:c r="L131" s="73" t="n">
        <x:v>1300</x:v>
      </x:c>
      <x:c r="M131" s="70" t="str">
        <x:v>大纲代码保留文本前导0；Cambridge IGCSE与其他机构International GCSE不合并。 目录层条目；未预填并不代表没有考试/实践/校评。</x:v>
      </x:c>
      <x:c r="N131" s="70" t="str">
        <x:v>V3-CAIE-IG</x:v>
      </x:c>
    </x:row>
    <x:row r="132" ht="64" customHeight="1">
      <x:c r="A132" s="71" t="str">
        <x:v>C131</x:v>
      </x:c>
      <x:c r="B132" s="70" t="str">
        <x:v>S029</x:v>
      </x:c>
      <x:c r="C132" s="70" t="str">
        <x:v>IGCSE Sociology IGCSE</x:v>
      </x:c>
      <x:c r="D132" s="70" t="str">
        <x:v>IGCSE Sociology IGCSE</x:v>
      </x:c>
      <x:c r="E132" s="70" t="str">
        <x:v>Cambridge International</x:v>
      </x:c>
      <x:c r="F132" s="70" t="str">
        <x:v>IGCSE</x:v>
      </x:c>
      <x:c r="G132" s="70" t="str">
        <x:v>国际版</x:v>
      </x:c>
      <x:c r="H132" s="70" t="str">
        <x:v>整门课程</x:v>
      </x:c>
      <x:c r="I132" s="70" t="str">
        <x:v>按学科大纲；未展开考核明细</x:v>
      </x:c>
      <x:c r="J132" s="72" t="str">
        <x:v>0495</x:v>
      </x:c>
      <x:c r="K132" s="70" t="str">
        <x:v>2026-09-17目录快照；按开课/考试年份复核</x:v>
      </x:c>
      <x:c r="L132" s="73" t="n">
        <x:v>1310</x:v>
      </x:c>
      <x:c r="M132" s="70" t="str">
        <x:v>大纲代码保留文本前导0；Cambridge IGCSE与其他机构International GCSE不合并。 目录层条目；未预填并不代表没有考试/实践/校评。</x:v>
      </x:c>
      <x:c r="N132" s="70" t="str">
        <x:v>V3-CAIE-IG</x:v>
      </x:c>
    </x:row>
    <x:row r="133" ht="64" customHeight="1">
      <x:c r="A133" s="71" t="str">
        <x:v>C132</x:v>
      </x:c>
      <x:c r="B133" s="70" t="str">
        <x:v>S018</x:v>
      </x:c>
      <x:c r="C133" s="70" t="str">
        <x:v>IGCSE Spanish Foreign Language IGCSE</x:v>
      </x:c>
      <x:c r="D133" s="70" t="str">
        <x:v>IGCSE Spanish Foreign Language IGCSE</x:v>
      </x:c>
      <x:c r="E133" s="70" t="str">
        <x:v>Cambridge International</x:v>
      </x:c>
      <x:c r="F133" s="70" t="str">
        <x:v>IGCSE</x:v>
      </x:c>
      <x:c r="G133" s="70" t="str">
        <x:v>国际版</x:v>
      </x:c>
      <x:c r="H133" s="70" t="str">
        <x:v>整门课程</x:v>
      </x:c>
      <x:c r="I133" s="70" t="str">
        <x:v>按学科大纲；未展开考核明细</x:v>
      </x:c>
      <x:c r="J133" s="72" t="str">
        <x:v>0530</x:v>
      </x:c>
      <x:c r="K133" s="70" t="str">
        <x:v>2026-09-17目录快照；按开课/考试年份复核</x:v>
      </x:c>
      <x:c r="L133" s="73" t="n">
        <x:v>1320</x:v>
      </x:c>
      <x:c r="M133" s="70" t="str">
        <x:v>大纲代码保留文本前导0；Cambridge IGCSE与其他机构International GCSE不合并。 目录层条目；未预填并不代表没有考试/实践/校评。</x:v>
      </x:c>
      <x:c r="N133" s="70" t="str">
        <x:v>V3-CAIE-IG</x:v>
      </x:c>
    </x:row>
    <x:row r="134" ht="64" customHeight="1">
      <x:c r="A134" s="71" t="str">
        <x:v>C133</x:v>
      </x:c>
      <x:c r="B134" s="70" t="str">
        <x:v>S035</x:v>
      </x:c>
      <x:c r="C134" s="70" t="str">
        <x:v>IGCSE Travel &amp; Tourism IGCSE</x:v>
      </x:c>
      <x:c r="D134" s="70" t="str">
        <x:v>IGCSE Travel &amp; Tourism IGCSE</x:v>
      </x:c>
      <x:c r="E134" s="70" t="str">
        <x:v>Cambridge International</x:v>
      </x:c>
      <x:c r="F134" s="70" t="str">
        <x:v>IGCSE</x:v>
      </x:c>
      <x:c r="G134" s="70" t="str">
        <x:v>国际版</x:v>
      </x:c>
      <x:c r="H134" s="70" t="str">
        <x:v>整门课程</x:v>
      </x:c>
      <x:c r="I134" s="70" t="str">
        <x:v>按学科大纲；未展开考核明细</x:v>
      </x:c>
      <x:c r="J134" s="72" t="str">
        <x:v>0471</x:v>
      </x:c>
      <x:c r="K134" s="70" t="str">
        <x:v>2026-09-17目录快照；按开课/考试年份复核</x:v>
      </x:c>
      <x:c r="L134" s="73" t="n">
        <x:v>1330</x:v>
      </x:c>
      <x:c r="M134" s="70" t="str">
        <x:v>大纲代码保留文本前导0；Cambridge IGCSE与其他机构International GCSE不合并。 目录层条目；未预填并不代表没有考试/实践/校评。</x:v>
      </x:c>
      <x:c r="N134" s="70" t="str">
        <x:v>V3-CAIE-IG</x:v>
      </x:c>
    </x:row>
    <x:row r="135" ht="64" customHeight="1">
      <x:c r="A135" s="71" t="str">
        <x:v>C134</x:v>
      </x:c>
      <x:c r="B135" s="70" t="str">
        <x:v>S026</x:v>
      </x:c>
      <x:c r="C135" s="70" t="str">
        <x:v>AP 2-D Art and Design AP</x:v>
      </x:c>
      <x:c r="D135" s="70" t="str">
        <x:v>AP 2-D Art and Design AP</x:v>
      </x:c>
      <x:c r="E135" s="70" t="str">
        <x:v>College Board</x:v>
      </x:c>
      <x:c r="F135" s="70" t="str">
        <x:v>Advanced Placement</x:v>
      </x:c>
      <x:c r="G135" s="70" t="str">
        <x:v>美国／国际</x:v>
      </x:c>
      <x:c r="H135" s="70" t="str">
        <x:v>整门课程</x:v>
      </x:c>
      <x:c r="I135" s="70" t="str">
        <x:v>考试／项目／作品集依学科而异</x:v>
      </x:c>
      <x:c r="J135" s="72"/>
      <x:c r="K135" s="70" t="str">
        <x:v>2026–27课程目录</x:v>
      </x:c>
      <x:c r="L135" s="73" t="n">
        <x:v>1340</x:v>
      </x:c>
      <x:c r="M135" s="70" t="str">
        <x:v>AP课程成绩、AP外部评分和完整高中毕业资格分别管理；不预填虚构的统一课程代码。 目录层条目；未预填并不代表没有考试/实践/校评。</x:v>
      </x:c>
      <x:c r="N135" s="70" t="str">
        <x:v>V3-AP</x:v>
      </x:c>
    </x:row>
    <x:row r="136" ht="64" customHeight="1">
      <x:c r="A136" s="71" t="str">
        <x:v>C135</x:v>
      </x:c>
      <x:c r="B136" s="70" t="str">
        <x:v>S026</x:v>
      </x:c>
      <x:c r="C136" s="70" t="str">
        <x:v>AP 3-D Art and Design AP</x:v>
      </x:c>
      <x:c r="D136" s="70" t="str">
        <x:v>AP 3-D Art and Design AP</x:v>
      </x:c>
      <x:c r="E136" s="70" t="str">
        <x:v>College Board</x:v>
      </x:c>
      <x:c r="F136" s="70" t="str">
        <x:v>Advanced Placement</x:v>
      </x:c>
      <x:c r="G136" s="70" t="str">
        <x:v>美国／国际</x:v>
      </x:c>
      <x:c r="H136" s="70" t="str">
        <x:v>整门课程</x:v>
      </x:c>
      <x:c r="I136" s="70" t="str">
        <x:v>考试／项目／作品集依学科而异</x:v>
      </x:c>
      <x:c r="J136" s="72"/>
      <x:c r="K136" s="70" t="str">
        <x:v>2026–27课程目录</x:v>
      </x:c>
      <x:c r="L136" s="73" t="n">
        <x:v>1350</x:v>
      </x:c>
      <x:c r="M136" s="70" t="str">
        <x:v>AP课程成绩、AP外部评分和完整高中毕业资格分别管理；不预填虚构的统一课程代码。 目录层条目；未预填并不代表没有考试/实践/校评。</x:v>
      </x:c>
      <x:c r="N136" s="70" t="str">
        <x:v>V3-AP</x:v>
      </x:c>
    </x:row>
    <x:row r="137" ht="64" customHeight="1">
      <x:c r="A137" s="71" t="str">
        <x:v>C136</x:v>
      </x:c>
      <x:c r="B137" s="70" t="str">
        <x:v>S026</x:v>
      </x:c>
      <x:c r="C137" s="70" t="str">
        <x:v>AP Drawing AP</x:v>
      </x:c>
      <x:c r="D137" s="70" t="str">
        <x:v>AP Drawing AP</x:v>
      </x:c>
      <x:c r="E137" s="70" t="str">
        <x:v>College Board</x:v>
      </x:c>
      <x:c r="F137" s="70" t="str">
        <x:v>Advanced Placement</x:v>
      </x:c>
      <x:c r="G137" s="70" t="str">
        <x:v>美国／国际</x:v>
      </x:c>
      <x:c r="H137" s="70" t="str">
        <x:v>整门课程</x:v>
      </x:c>
      <x:c r="I137" s="70" t="str">
        <x:v>考试／项目／作品集依学科而异</x:v>
      </x:c>
      <x:c r="J137" s="72"/>
      <x:c r="K137" s="70" t="str">
        <x:v>2026–27课程目录</x:v>
      </x:c>
      <x:c r="L137" s="73" t="n">
        <x:v>1360</x:v>
      </x:c>
      <x:c r="M137" s="70" t="str">
        <x:v>AP课程成绩、AP外部评分和完整高中毕业资格分别管理；不预填虚构的统一课程代码。 目录层条目；未预填并不代表没有考试/实践/校评。</x:v>
      </x:c>
      <x:c r="N137" s="70" t="str">
        <x:v>V3-AP</x:v>
      </x:c>
    </x:row>
    <x:row r="138" ht="64" customHeight="1">
      <x:c r="A138" s="71" t="str">
        <x:v>C137</x:v>
      </x:c>
      <x:c r="B138" s="70" t="str">
        <x:v>S026</x:v>
      </x:c>
      <x:c r="C138" s="70" t="str">
        <x:v>AP Art History AP</x:v>
      </x:c>
      <x:c r="D138" s="70" t="str">
        <x:v>AP Art History AP</x:v>
      </x:c>
      <x:c r="E138" s="70" t="str">
        <x:v>College Board</x:v>
      </x:c>
      <x:c r="F138" s="70" t="str">
        <x:v>Advanced Placement</x:v>
      </x:c>
      <x:c r="G138" s="70" t="str">
        <x:v>美国／国际</x:v>
      </x:c>
      <x:c r="H138" s="70" t="str">
        <x:v>整门课程</x:v>
      </x:c>
      <x:c r="I138" s="70" t="str">
        <x:v>考试／项目／作品集依学科而异</x:v>
      </x:c>
      <x:c r="J138" s="72"/>
      <x:c r="K138" s="70" t="str">
        <x:v>2026–27课程目录</x:v>
      </x:c>
      <x:c r="L138" s="73" t="n">
        <x:v>1370</x:v>
      </x:c>
      <x:c r="M138" s="70" t="str">
        <x:v>AP课程成绩、AP外部评分和完整高中毕业资格分别管理；不预填虚构的统一课程代码。 目录层条目；未预填并不代表没有考试/实践/校评。</x:v>
      </x:c>
      <x:c r="N138" s="70" t="str">
        <x:v>V3-AP</x:v>
      </x:c>
    </x:row>
    <x:row r="139" ht="64" customHeight="1">
      <x:c r="A139" s="71" t="str">
        <x:v>C138</x:v>
      </x:c>
      <x:c r="B139" s="70" t="str">
        <x:v>S027</x:v>
      </x:c>
      <x:c r="C139" s="70" t="str">
        <x:v>AP Music Theory AP</x:v>
      </x:c>
      <x:c r="D139" s="70" t="str">
        <x:v>AP Music Theory AP</x:v>
      </x:c>
      <x:c r="E139" s="70" t="str">
        <x:v>College Board</x:v>
      </x:c>
      <x:c r="F139" s="70" t="str">
        <x:v>Advanced Placement</x:v>
      </x:c>
      <x:c r="G139" s="70" t="str">
        <x:v>美国／国际</x:v>
      </x:c>
      <x:c r="H139" s="70" t="str">
        <x:v>整门课程</x:v>
      </x:c>
      <x:c r="I139" s="70" t="str">
        <x:v>考试／项目／作品集依学科而异</x:v>
      </x:c>
      <x:c r="J139" s="72"/>
      <x:c r="K139" s="70" t="str">
        <x:v>2026–27课程目录</x:v>
      </x:c>
      <x:c r="L139" s="73" t="n">
        <x:v>1380</x:v>
      </x:c>
      <x:c r="M139" s="70" t="str">
        <x:v>AP课程成绩、AP外部评分和完整高中毕业资格分别管理；不预填虚构的统一课程代码。 目录层条目；未预填并不代表没有考试/实践/校评。</x:v>
      </x:c>
      <x:c r="N139" s="70" t="str">
        <x:v>V3-AP</x:v>
      </x:c>
    </x:row>
    <x:row r="140" ht="64" customHeight="1">
      <x:c r="A140" s="71" t="str">
        <x:v>C139</x:v>
      </x:c>
      <x:c r="B140" s="70" t="str">
        <x:v>S010</x:v>
      </x:c>
      <x:c r="C140" s="70" t="str">
        <x:v>AP English Language and Composition AP</x:v>
      </x:c>
      <x:c r="D140" s="70" t="str">
        <x:v>AP English Language and Composition AP</x:v>
      </x:c>
      <x:c r="E140" s="70" t="str">
        <x:v>College Board</x:v>
      </x:c>
      <x:c r="F140" s="70" t="str">
        <x:v>Advanced Placement</x:v>
      </x:c>
      <x:c r="G140" s="70" t="str">
        <x:v>美国／国际</x:v>
      </x:c>
      <x:c r="H140" s="70" t="str">
        <x:v>整门课程</x:v>
      </x:c>
      <x:c r="I140" s="70" t="str">
        <x:v>考试／项目／作品集依学科而异</x:v>
      </x:c>
      <x:c r="J140" s="72"/>
      <x:c r="K140" s="70" t="str">
        <x:v>2026–27课程目录</x:v>
      </x:c>
      <x:c r="L140" s="73" t="n">
        <x:v>1390</x:v>
      </x:c>
      <x:c r="M140" s="70" t="str">
        <x:v>AP课程成绩、AP外部评分和完整高中毕业资格分别管理；不预填虚构的统一课程代码。 目录层条目；未预填并不代表没有考试/实践/校评。</x:v>
      </x:c>
      <x:c r="N140" s="70" t="str">
        <x:v>V3-AP</x:v>
      </x:c>
    </x:row>
    <x:row r="141" ht="64" customHeight="1">
      <x:c r="A141" s="71" t="str">
        <x:v>C140</x:v>
      </x:c>
      <x:c r="B141" s="70" t="str">
        <x:v>S010</x:v>
      </x:c>
      <x:c r="C141" s="70" t="str">
        <x:v>AP English Literature and Composition AP</x:v>
      </x:c>
      <x:c r="D141" s="70" t="str">
        <x:v>AP English Literature and Composition AP</x:v>
      </x:c>
      <x:c r="E141" s="70" t="str">
        <x:v>College Board</x:v>
      </x:c>
      <x:c r="F141" s="70" t="str">
        <x:v>Advanced Placement</x:v>
      </x:c>
      <x:c r="G141" s="70" t="str">
        <x:v>美国／国际</x:v>
      </x:c>
      <x:c r="H141" s="70" t="str">
        <x:v>整门课程</x:v>
      </x:c>
      <x:c r="I141" s="70" t="str">
        <x:v>考试／项目／作品集依学科而异</x:v>
      </x:c>
      <x:c r="J141" s="72"/>
      <x:c r="K141" s="70" t="str">
        <x:v>2026–27课程目录</x:v>
      </x:c>
      <x:c r="L141" s="73" t="n">
        <x:v>1400</x:v>
      </x:c>
      <x:c r="M141" s="70" t="str">
        <x:v>AP课程成绩、AP外部评分和完整高中毕业资格分别管理；不预填虚构的统一课程代码。 目录层条目；未预填并不代表没有考试/实践/校评。</x:v>
      </x:c>
      <x:c r="N141" s="70" t="str">
        <x:v>V3-AP</x:v>
      </x:c>
    </x:row>
    <x:row r="142" ht="64" customHeight="1">
      <x:c r="A142" s="71" t="str">
        <x:v>C141</x:v>
      </x:c>
      <x:c r="B142" s="70" t="str">
        <x:v>S029</x:v>
      </x:c>
      <x:c r="C142" s="70" t="str">
        <x:v>AP African American Studies AP</x:v>
      </x:c>
      <x:c r="D142" s="70" t="str">
        <x:v>AP African American Studies AP</x:v>
      </x:c>
      <x:c r="E142" s="70" t="str">
        <x:v>College Board</x:v>
      </x:c>
      <x:c r="F142" s="70" t="str">
        <x:v>Advanced Placement</x:v>
      </x:c>
      <x:c r="G142" s="70" t="str">
        <x:v>美国／国际</x:v>
      </x:c>
      <x:c r="H142" s="70" t="str">
        <x:v>整门课程</x:v>
      </x:c>
      <x:c r="I142" s="70" t="str">
        <x:v>考试／项目／作品集依学科而异</x:v>
      </x:c>
      <x:c r="J142" s="72"/>
      <x:c r="K142" s="70" t="str">
        <x:v>2026–27课程目录</x:v>
      </x:c>
      <x:c r="L142" s="73" t="n">
        <x:v>1410</x:v>
      </x:c>
      <x:c r="M142" s="70" t="str">
        <x:v>AP课程成绩、AP外部评分和完整高中毕业资格分别管理；不预填虚构的统一课程代码。 目录层条目；未预填并不代表没有考试/实践/校评。</x:v>
      </x:c>
      <x:c r="N142" s="70" t="str">
        <x:v>V3-AP</x:v>
      </x:c>
    </x:row>
    <x:row r="143" ht="64" customHeight="1">
      <x:c r="A143" s="71" t="str">
        <x:v>C142</x:v>
      </x:c>
      <x:c r="B143" s="70" t="str">
        <x:v>S029</x:v>
      </x:c>
      <x:c r="C143" s="70" t="str">
        <x:v>AP Comparative Government and Politics AP</x:v>
      </x:c>
      <x:c r="D143" s="70" t="str">
        <x:v>AP Comparative Government and Politics AP</x:v>
      </x:c>
      <x:c r="E143" s="70" t="str">
        <x:v>College Board</x:v>
      </x:c>
      <x:c r="F143" s="70" t="str">
        <x:v>Advanced Placement</x:v>
      </x:c>
      <x:c r="G143" s="70" t="str">
        <x:v>美国／国际</x:v>
      </x:c>
      <x:c r="H143" s="70" t="str">
        <x:v>整门课程</x:v>
      </x:c>
      <x:c r="I143" s="70" t="str">
        <x:v>考试／项目／作品集依学科而异</x:v>
      </x:c>
      <x:c r="J143" s="72"/>
      <x:c r="K143" s="70" t="str">
        <x:v>2026–27课程目录</x:v>
      </x:c>
      <x:c r="L143" s="73" t="n">
        <x:v>1420</x:v>
      </x:c>
      <x:c r="M143" s="70" t="str">
        <x:v>AP课程成绩、AP外部评分和完整高中毕业资格分别管理；不预填虚构的统一课程代码。 目录层条目；未预填并不代表没有考试/实践/校评。</x:v>
      </x:c>
      <x:c r="N143" s="70" t="str">
        <x:v>V3-AP</x:v>
      </x:c>
    </x:row>
    <x:row r="144" ht="64" customHeight="1">
      <x:c r="A144" s="71" t="str">
        <x:v>C143</x:v>
      </x:c>
      <x:c r="B144" s="70" t="str">
        <x:v>S011</x:v>
      </x:c>
      <x:c r="C144" s="70" t="str">
        <x:v>AP European History AP</x:v>
      </x:c>
      <x:c r="D144" s="70" t="str">
        <x:v>AP European History AP</x:v>
      </x:c>
      <x:c r="E144" s="70" t="str">
        <x:v>College Board</x:v>
      </x:c>
      <x:c r="F144" s="70" t="str">
        <x:v>Advanced Placement</x:v>
      </x:c>
      <x:c r="G144" s="70" t="str">
        <x:v>美国／国际</x:v>
      </x:c>
      <x:c r="H144" s="70" t="str">
        <x:v>整门课程</x:v>
      </x:c>
      <x:c r="I144" s="70" t="str">
        <x:v>考试／项目／作品集依学科而异</x:v>
      </x:c>
      <x:c r="J144" s="72"/>
      <x:c r="K144" s="70" t="str">
        <x:v>2026–27课程目录</x:v>
      </x:c>
      <x:c r="L144" s="73" t="n">
        <x:v>1430</x:v>
      </x:c>
      <x:c r="M144" s="70" t="str">
        <x:v>AP课程成绩、AP外部评分和完整高中毕业资格分别管理；不预填虚构的统一课程代码。 目录层条目；未预填并不代表没有考试/实践/校评。</x:v>
      </x:c>
      <x:c r="N144" s="70" t="str">
        <x:v>V3-AP</x:v>
      </x:c>
    </x:row>
    <x:row r="145" ht="64" customHeight="1">
      <x:c r="A145" s="71" t="str">
        <x:v>C144</x:v>
      </x:c>
      <x:c r="B145" s="70" t="str">
        <x:v>S012</x:v>
      </x:c>
      <x:c r="C145" s="70" t="str">
        <x:v>AP Human Geography AP</x:v>
      </x:c>
      <x:c r="D145" s="70" t="str">
        <x:v>AP Human Geography AP</x:v>
      </x:c>
      <x:c r="E145" s="70" t="str">
        <x:v>College Board</x:v>
      </x:c>
      <x:c r="F145" s="70" t="str">
        <x:v>Advanced Placement</x:v>
      </x:c>
      <x:c r="G145" s="70" t="str">
        <x:v>美国／国际</x:v>
      </x:c>
      <x:c r="H145" s="70" t="str">
        <x:v>整门课程</x:v>
      </x:c>
      <x:c r="I145" s="70" t="str">
        <x:v>考试／项目／作品集依学科而异</x:v>
      </x:c>
      <x:c r="J145" s="72"/>
      <x:c r="K145" s="70" t="str">
        <x:v>2026–27课程目录</x:v>
      </x:c>
      <x:c r="L145" s="73" t="n">
        <x:v>1440</x:v>
      </x:c>
      <x:c r="M145" s="70" t="str">
        <x:v>AP课程成绩、AP外部评分和完整高中毕业资格分别管理；不预填虚构的统一课程代码。 目录层条目；未预填并不代表没有考试/实践/校评。</x:v>
      </x:c>
      <x:c r="N145" s="70" t="str">
        <x:v>V3-AP</x:v>
      </x:c>
    </x:row>
    <x:row r="146" ht="64" customHeight="1">
      <x:c r="A146" s="71" t="str">
        <x:v>C145</x:v>
      </x:c>
      <x:c r="B146" s="70" t="str">
        <x:v>S007</x:v>
      </x:c>
      <x:c r="C146" s="70" t="str">
        <x:v>AP Macroeconomics AP</x:v>
      </x:c>
      <x:c r="D146" s="70" t="str">
        <x:v>AP Macroeconomics AP</x:v>
      </x:c>
      <x:c r="E146" s="70" t="str">
        <x:v>College Board</x:v>
      </x:c>
      <x:c r="F146" s="70" t="str">
        <x:v>Advanced Placement</x:v>
      </x:c>
      <x:c r="G146" s="70" t="str">
        <x:v>美国／国际</x:v>
      </x:c>
      <x:c r="H146" s="70" t="str">
        <x:v>整门课程</x:v>
      </x:c>
      <x:c r="I146" s="70" t="str">
        <x:v>考试／项目／作品集依学科而异</x:v>
      </x:c>
      <x:c r="J146" s="72"/>
      <x:c r="K146" s="70" t="str">
        <x:v>2026–27课程目录</x:v>
      </x:c>
      <x:c r="L146" s="73" t="n">
        <x:v>1450</x:v>
      </x:c>
      <x:c r="M146" s="70" t="str">
        <x:v>AP课程成绩、AP外部评分和完整高中毕业资格分别管理；不预填虚构的统一课程代码。 目录层条目；未预填并不代表没有考试/实践/校评。</x:v>
      </x:c>
      <x:c r="N146" s="70" t="str">
        <x:v>V3-AP</x:v>
      </x:c>
    </x:row>
    <x:row r="147" ht="64" customHeight="1">
      <x:c r="A147" s="71" t="str">
        <x:v>C146</x:v>
      </x:c>
      <x:c r="B147" s="70" t="str">
        <x:v>S007</x:v>
      </x:c>
      <x:c r="C147" s="70" t="str">
        <x:v>AP Microeconomics AP</x:v>
      </x:c>
      <x:c r="D147" s="70" t="str">
        <x:v>AP Microeconomics AP</x:v>
      </x:c>
      <x:c r="E147" s="70" t="str">
        <x:v>College Board</x:v>
      </x:c>
      <x:c r="F147" s="70" t="str">
        <x:v>Advanced Placement</x:v>
      </x:c>
      <x:c r="G147" s="70" t="str">
        <x:v>美国／国际</x:v>
      </x:c>
      <x:c r="H147" s="70" t="str">
        <x:v>整门课程</x:v>
      </x:c>
      <x:c r="I147" s="70" t="str">
        <x:v>考试／项目／作品集依学科而异</x:v>
      </x:c>
      <x:c r="J147" s="72"/>
      <x:c r="K147" s="70" t="str">
        <x:v>2026–27课程目录</x:v>
      </x:c>
      <x:c r="L147" s="73" t="n">
        <x:v>1460</x:v>
      </x:c>
      <x:c r="M147" s="70" t="str">
        <x:v>AP课程成绩、AP外部评分和完整高中毕业资格分别管理；不预填虚构的统一课程代码。 目录层条目；未预填并不代表没有考试/实践/校评。</x:v>
      </x:c>
      <x:c r="N147" s="70" t="str">
        <x:v>V3-AP</x:v>
      </x:c>
    </x:row>
    <x:row r="148" ht="64" customHeight="1">
      <x:c r="A148" s="71" t="str">
        <x:v>C147</x:v>
      </x:c>
      <x:c r="B148" s="70" t="str">
        <x:v>S013</x:v>
      </x:c>
      <x:c r="C148" s="70" t="str">
        <x:v>AP Psychology AP</x:v>
      </x:c>
      <x:c r="D148" s="70" t="str">
        <x:v>AP Psychology AP</x:v>
      </x:c>
      <x:c r="E148" s="70" t="str">
        <x:v>College Board</x:v>
      </x:c>
      <x:c r="F148" s="70" t="str">
        <x:v>Advanced Placement</x:v>
      </x:c>
      <x:c r="G148" s="70" t="str">
        <x:v>美国／国际</x:v>
      </x:c>
      <x:c r="H148" s="70" t="str">
        <x:v>整门课程</x:v>
      </x:c>
      <x:c r="I148" s="70" t="str">
        <x:v>考试／项目／作品集依学科而异</x:v>
      </x:c>
      <x:c r="J148" s="72"/>
      <x:c r="K148" s="70" t="str">
        <x:v>2026–27课程目录</x:v>
      </x:c>
      <x:c r="L148" s="73" t="n">
        <x:v>1470</x:v>
      </x:c>
      <x:c r="M148" s="70" t="str">
        <x:v>AP课程成绩、AP外部评分和完整高中毕业资格分别管理；不预填虚构的统一课程代码。 目录层条目；未预填并不代表没有考试/实践/校评。</x:v>
      </x:c>
      <x:c r="N148" s="70" t="str">
        <x:v>V3-AP</x:v>
      </x:c>
    </x:row>
    <x:row r="149" ht="64" customHeight="1">
      <x:c r="A149" s="71" t="str">
        <x:v>C148</x:v>
      </x:c>
      <x:c r="B149" s="70" t="str">
        <x:v>S029</x:v>
      </x:c>
      <x:c r="C149" s="70" t="str">
        <x:v>AP United States Government and Politics AP</x:v>
      </x:c>
      <x:c r="D149" s="70" t="str">
        <x:v>AP United States Government and Politics AP</x:v>
      </x:c>
      <x:c r="E149" s="70" t="str">
        <x:v>College Board</x:v>
      </x:c>
      <x:c r="F149" s="70" t="str">
        <x:v>Advanced Placement</x:v>
      </x:c>
      <x:c r="G149" s="70" t="str">
        <x:v>美国／国际</x:v>
      </x:c>
      <x:c r="H149" s="70" t="str">
        <x:v>整门课程</x:v>
      </x:c>
      <x:c r="I149" s="70" t="str">
        <x:v>考试／项目／作品集依学科而异</x:v>
      </x:c>
      <x:c r="J149" s="72"/>
      <x:c r="K149" s="70" t="str">
        <x:v>2026–27课程目录</x:v>
      </x:c>
      <x:c r="L149" s="73" t="n">
        <x:v>1480</x:v>
      </x:c>
      <x:c r="M149" s="70" t="str">
        <x:v>AP课程成绩、AP外部评分和完整高中毕业资格分别管理；不预填虚构的统一课程代码。 目录层条目；未预填并不代表没有考试/实践/校评。</x:v>
      </x:c>
      <x:c r="N149" s="70" t="str">
        <x:v>V3-AP</x:v>
      </x:c>
    </x:row>
    <x:row r="150" ht="64" customHeight="1">
      <x:c r="A150" s="71" t="str">
        <x:v>C149</x:v>
      </x:c>
      <x:c r="B150" s="70" t="str">
        <x:v>S011</x:v>
      </x:c>
      <x:c r="C150" s="70" t="str">
        <x:v>AP United States History AP</x:v>
      </x:c>
      <x:c r="D150" s="70" t="str">
        <x:v>AP United States History AP</x:v>
      </x:c>
      <x:c r="E150" s="70" t="str">
        <x:v>College Board</x:v>
      </x:c>
      <x:c r="F150" s="70" t="str">
        <x:v>Advanced Placement</x:v>
      </x:c>
      <x:c r="G150" s="70" t="str">
        <x:v>美国／国际</x:v>
      </x:c>
      <x:c r="H150" s="70" t="str">
        <x:v>整门课程</x:v>
      </x:c>
      <x:c r="I150" s="70" t="str">
        <x:v>考试／项目／作品集依学科而异</x:v>
      </x:c>
      <x:c r="J150" s="72"/>
      <x:c r="K150" s="70" t="str">
        <x:v>2026–27课程目录</x:v>
      </x:c>
      <x:c r="L150" s="73" t="n">
        <x:v>1490</x:v>
      </x:c>
      <x:c r="M150" s="70" t="str">
        <x:v>AP课程成绩、AP外部评分和完整高中毕业资格分别管理；不预填虚构的统一课程代码。 目录层条目；未预填并不代表没有考试/实践/校评。</x:v>
      </x:c>
      <x:c r="N150" s="70" t="str">
        <x:v>V3-AP</x:v>
      </x:c>
    </x:row>
    <x:row r="151" ht="64" customHeight="1">
      <x:c r="A151" s="71" t="str">
        <x:v>C150</x:v>
      </x:c>
      <x:c r="B151" s="70" t="str">
        <x:v>S011</x:v>
      </x:c>
      <x:c r="C151" s="70" t="str">
        <x:v>AP World History: Modern AP</x:v>
      </x:c>
      <x:c r="D151" s="70" t="str">
        <x:v>AP World History: Modern AP</x:v>
      </x:c>
      <x:c r="E151" s="70" t="str">
        <x:v>College Board</x:v>
      </x:c>
      <x:c r="F151" s="70" t="str">
        <x:v>Advanced Placement</x:v>
      </x:c>
      <x:c r="G151" s="70" t="str">
        <x:v>美国／国际</x:v>
      </x:c>
      <x:c r="H151" s="70" t="str">
        <x:v>整门课程</x:v>
      </x:c>
      <x:c r="I151" s="70" t="str">
        <x:v>考试／项目／作品集依学科而异</x:v>
      </x:c>
      <x:c r="J151" s="72"/>
      <x:c r="K151" s="70" t="str">
        <x:v>2026–27课程目录</x:v>
      </x:c>
      <x:c r="L151" s="73" t="n">
        <x:v>1500</x:v>
      </x:c>
      <x:c r="M151" s="70" t="str">
        <x:v>AP课程成绩、AP外部评分和完整高中毕业资格分别管理；不预填虚构的统一课程代码。 目录层条目；未预填并不代表没有考试/实践/校评。</x:v>
      </x:c>
      <x:c r="N151" s="70" t="str">
        <x:v>V3-AP</x:v>
      </x:c>
    </x:row>
    <x:row r="152" ht="64" customHeight="1">
      <x:c r="A152" s="71" t="str">
        <x:v>C151</x:v>
      </x:c>
      <x:c r="B152" s="70" t="str">
        <x:v>S001</x:v>
      </x:c>
      <x:c r="C152" s="70" t="str">
        <x:v>AP Calculus AB AP</x:v>
      </x:c>
      <x:c r="D152" s="70" t="str">
        <x:v>AP Calculus AB AP</x:v>
      </x:c>
      <x:c r="E152" s="70" t="str">
        <x:v>College Board</x:v>
      </x:c>
      <x:c r="F152" s="70" t="str">
        <x:v>Advanced Placement</x:v>
      </x:c>
      <x:c r="G152" s="70" t="str">
        <x:v>美国／国际</x:v>
      </x:c>
      <x:c r="H152" s="70" t="str">
        <x:v>整门课程</x:v>
      </x:c>
      <x:c r="I152" s="70" t="str">
        <x:v>考试／项目／作品集依学科而异</x:v>
      </x:c>
      <x:c r="J152" s="72"/>
      <x:c r="K152" s="70" t="str">
        <x:v>2026–27课程目录</x:v>
      </x:c>
      <x:c r="L152" s="73" t="n">
        <x:v>1510</x:v>
      </x:c>
      <x:c r="M152" s="70" t="str">
        <x:v>AP课程成绩、AP外部评分和完整高中毕业资格分别管理；不预填虚构的统一课程代码。 目录层条目；未预填并不代表没有考试/实践/校评。</x:v>
      </x:c>
      <x:c r="N152" s="70" t="str">
        <x:v>V3-AP</x:v>
      </x:c>
    </x:row>
    <x:row r="153" ht="64" customHeight="1">
      <x:c r="A153" s="71" t="str">
        <x:v>C152</x:v>
      </x:c>
      <x:c r="B153" s="70" t="str">
        <x:v>S001</x:v>
      </x:c>
      <x:c r="C153" s="70" t="str">
        <x:v>AP Calculus BC AP</x:v>
      </x:c>
      <x:c r="D153" s="70" t="str">
        <x:v>AP Calculus BC AP</x:v>
      </x:c>
      <x:c r="E153" s="70" t="str">
        <x:v>College Board</x:v>
      </x:c>
      <x:c r="F153" s="70" t="str">
        <x:v>Advanced Placement</x:v>
      </x:c>
      <x:c r="G153" s="70" t="str">
        <x:v>美国／国际</x:v>
      </x:c>
      <x:c r="H153" s="70" t="str">
        <x:v>整门课程</x:v>
      </x:c>
      <x:c r="I153" s="70" t="str">
        <x:v>考试／项目／作品集依学科而异</x:v>
      </x:c>
      <x:c r="J153" s="72"/>
      <x:c r="K153" s="70" t="str">
        <x:v>2026–27课程目录</x:v>
      </x:c>
      <x:c r="L153" s="73" t="n">
        <x:v>1520</x:v>
      </x:c>
      <x:c r="M153" s="70" t="str">
        <x:v>AP课程成绩、AP外部评分和完整高中毕业资格分别管理；不预填虚构的统一课程代码。 目录层条目；未预填并不代表没有考试/实践/校评。</x:v>
      </x:c>
      <x:c r="N153" s="70" t="str">
        <x:v>V3-AP</x:v>
      </x:c>
    </x:row>
    <x:row r="154" ht="64" customHeight="1">
      <x:c r="A154" s="71" t="str">
        <x:v>C153</x:v>
      </x:c>
      <x:c r="B154" s="70" t="str">
        <x:v>S005</x:v>
      </x:c>
      <x:c r="C154" s="70" t="str">
        <x:v>AP Computer Science A AP</x:v>
      </x:c>
      <x:c r="D154" s="70" t="str">
        <x:v>AP Computer Science A AP</x:v>
      </x:c>
      <x:c r="E154" s="70" t="str">
        <x:v>College Board</x:v>
      </x:c>
      <x:c r="F154" s="70" t="str">
        <x:v>Advanced Placement</x:v>
      </x:c>
      <x:c r="G154" s="70" t="str">
        <x:v>美国／国际</x:v>
      </x:c>
      <x:c r="H154" s="70" t="str">
        <x:v>整门课程</x:v>
      </x:c>
      <x:c r="I154" s="70" t="str">
        <x:v>考试／项目／作品集依学科而异</x:v>
      </x:c>
      <x:c r="J154" s="72"/>
      <x:c r="K154" s="70" t="str">
        <x:v>2026–27课程目录</x:v>
      </x:c>
      <x:c r="L154" s="73" t="n">
        <x:v>1530</x:v>
      </x:c>
      <x:c r="M154" s="70" t="str">
        <x:v>AP课程成绩、AP外部评分和完整高中毕业资格分别管理；不预填虚构的统一课程代码。 目录层条目；未预填并不代表没有考试/实践/校评。</x:v>
      </x:c>
      <x:c r="N154" s="70" t="str">
        <x:v>V3-AP</x:v>
      </x:c>
    </x:row>
    <x:row r="155" ht="64" customHeight="1">
      <x:c r="A155" s="71" t="str">
        <x:v>C154</x:v>
      </x:c>
      <x:c r="B155" s="70" t="str">
        <x:v>S005</x:v>
      </x:c>
      <x:c r="C155" s="70" t="str">
        <x:v>AP Computer Science Principles AP</x:v>
      </x:c>
      <x:c r="D155" s="70" t="str">
        <x:v>AP Computer Science Principles AP</x:v>
      </x:c>
      <x:c r="E155" s="70" t="str">
        <x:v>College Board</x:v>
      </x:c>
      <x:c r="F155" s="70" t="str">
        <x:v>Advanced Placement</x:v>
      </x:c>
      <x:c r="G155" s="70" t="str">
        <x:v>美国／国际</x:v>
      </x:c>
      <x:c r="H155" s="70" t="str">
        <x:v>整门课程</x:v>
      </x:c>
      <x:c r="I155" s="70" t="str">
        <x:v>考试／项目／作品集依学科而异</x:v>
      </x:c>
      <x:c r="J155" s="72"/>
      <x:c r="K155" s="70" t="str">
        <x:v>2026–27课程目录</x:v>
      </x:c>
      <x:c r="L155" s="73" t="n">
        <x:v>1540</x:v>
      </x:c>
      <x:c r="M155" s="70" t="str">
        <x:v>AP课程成绩、AP外部评分和完整高中毕业资格分别管理；不预填虚构的统一课程代码。 目录层条目；未预填并不代表没有考试/实践/校评。</x:v>
      </x:c>
      <x:c r="N155" s="70" t="str">
        <x:v>V3-AP</x:v>
      </x:c>
    </x:row>
    <x:row r="156" ht="64" customHeight="1">
      <x:c r="A156" s="71" t="str">
        <x:v>C155</x:v>
      </x:c>
      <x:c r="B156" s="70" t="str">
        <x:v>S001</x:v>
      </x:c>
      <x:c r="C156" s="70" t="str">
        <x:v>AP Precalculus AP</x:v>
      </x:c>
      <x:c r="D156" s="70" t="str">
        <x:v>AP Precalculus AP</x:v>
      </x:c>
      <x:c r="E156" s="70" t="str">
        <x:v>College Board</x:v>
      </x:c>
      <x:c r="F156" s="70" t="str">
        <x:v>Advanced Placement</x:v>
      </x:c>
      <x:c r="G156" s="70" t="str">
        <x:v>美国／国际</x:v>
      </x:c>
      <x:c r="H156" s="70" t="str">
        <x:v>整门课程</x:v>
      </x:c>
      <x:c r="I156" s="70" t="str">
        <x:v>考试／项目／作品集依学科而异</x:v>
      </x:c>
      <x:c r="J156" s="72"/>
      <x:c r="K156" s="70" t="str">
        <x:v>2026–27课程目录</x:v>
      </x:c>
      <x:c r="L156" s="73" t="n">
        <x:v>1550</x:v>
      </x:c>
      <x:c r="M156" s="70" t="str">
        <x:v>AP课程成绩、AP外部评分和完整高中毕业资格分别管理；不预填虚构的统一课程代码。 目录层条目；未预填并不代表没有考试/实践/校评。</x:v>
      </x:c>
      <x:c r="N156" s="70" t="str">
        <x:v>V3-AP</x:v>
      </x:c>
    </x:row>
    <x:row r="157" ht="64" customHeight="1">
      <x:c r="A157" s="71" t="str">
        <x:v>C156</x:v>
      </x:c>
      <x:c r="B157" s="70" t="str">
        <x:v>S001</x:v>
      </x:c>
      <x:c r="C157" s="70" t="str">
        <x:v>AP Statistics AP</x:v>
      </x:c>
      <x:c r="D157" s="70" t="str">
        <x:v>AP Statistics AP</x:v>
      </x:c>
      <x:c r="E157" s="70" t="str">
        <x:v>College Board</x:v>
      </x:c>
      <x:c r="F157" s="70" t="str">
        <x:v>Advanced Placement</x:v>
      </x:c>
      <x:c r="G157" s="70" t="str">
        <x:v>美国／国际</x:v>
      </x:c>
      <x:c r="H157" s="70" t="str">
        <x:v>整门课程</x:v>
      </x:c>
      <x:c r="I157" s="70" t="str">
        <x:v>考试／项目／作品集依学科而异</x:v>
      </x:c>
      <x:c r="J157" s="72"/>
      <x:c r="K157" s="70" t="str">
        <x:v>2026–27课程目录</x:v>
      </x:c>
      <x:c r="L157" s="73" t="n">
        <x:v>1560</x:v>
      </x:c>
      <x:c r="M157" s="70" t="str">
        <x:v>AP课程成绩、AP外部评分和完整高中毕业资格分别管理；不预填虚构的统一课程代码。 目录层条目；未预填并不代表没有考试/实践/校评。</x:v>
      </x:c>
      <x:c r="N157" s="70" t="str">
        <x:v>V3-AP</x:v>
      </x:c>
    </x:row>
    <x:row r="158" ht="64" customHeight="1">
      <x:c r="A158" s="71" t="str">
        <x:v>C157</x:v>
      </x:c>
      <x:c r="B158" s="70" t="str">
        <x:v>S004</x:v>
      </x:c>
      <x:c r="C158" s="70" t="str">
        <x:v>AP Biology AP</x:v>
      </x:c>
      <x:c r="D158" s="70" t="str">
        <x:v>AP Biology AP</x:v>
      </x:c>
      <x:c r="E158" s="70" t="str">
        <x:v>College Board</x:v>
      </x:c>
      <x:c r="F158" s="70" t="str">
        <x:v>Advanced Placement</x:v>
      </x:c>
      <x:c r="G158" s="70" t="str">
        <x:v>美国／国际</x:v>
      </x:c>
      <x:c r="H158" s="70" t="str">
        <x:v>整门课程</x:v>
      </x:c>
      <x:c r="I158" s="70" t="str">
        <x:v>考试／项目／作品集依学科而异</x:v>
      </x:c>
      <x:c r="J158" s="72"/>
      <x:c r="K158" s="70" t="str">
        <x:v>2026–27课程目录</x:v>
      </x:c>
      <x:c r="L158" s="73" t="n">
        <x:v>1570</x:v>
      </x:c>
      <x:c r="M158" s="70" t="str">
        <x:v>AP课程成绩、AP外部评分和完整高中毕业资格分别管理；不预填虚构的统一课程代码。 目录层条目；未预填并不代表没有考试/实践/校评。</x:v>
      </x:c>
      <x:c r="N158" s="70" t="str">
        <x:v>V3-AP</x:v>
      </x:c>
    </x:row>
    <x:row r="159" ht="64" customHeight="1">
      <x:c r="A159" s="71" t="str">
        <x:v>C158</x:v>
      </x:c>
      <x:c r="B159" s="70" t="str">
        <x:v>S003</x:v>
      </x:c>
      <x:c r="C159" s="70" t="str">
        <x:v>AP Chemistry AP</x:v>
      </x:c>
      <x:c r="D159" s="70" t="str">
        <x:v>AP Chemistry AP</x:v>
      </x:c>
      <x:c r="E159" s="70" t="str">
        <x:v>College Board</x:v>
      </x:c>
      <x:c r="F159" s="70" t="str">
        <x:v>Advanced Placement</x:v>
      </x:c>
      <x:c r="G159" s="70" t="str">
        <x:v>美国／国际</x:v>
      </x:c>
      <x:c r="H159" s="70" t="str">
        <x:v>整门课程</x:v>
      </x:c>
      <x:c r="I159" s="70" t="str">
        <x:v>考试／项目／作品集依学科而异</x:v>
      </x:c>
      <x:c r="J159" s="72"/>
      <x:c r="K159" s="70" t="str">
        <x:v>2026–27课程目录</x:v>
      </x:c>
      <x:c r="L159" s="73" t="n">
        <x:v>1580</x:v>
      </x:c>
      <x:c r="M159" s="70" t="str">
        <x:v>AP课程成绩、AP外部评分和完整高中毕业资格分别管理；不预填虚构的统一课程代码。 目录层条目；未预填并不代表没有考试/实践/校评。</x:v>
      </x:c>
      <x:c r="N159" s="70" t="str">
        <x:v>V3-AP</x:v>
      </x:c>
    </x:row>
    <x:row r="160" ht="64" customHeight="1">
      <x:c r="A160" s="71" t="str">
        <x:v>C159</x:v>
      </x:c>
      <x:c r="B160" s="70" t="str">
        <x:v>S031</x:v>
      </x:c>
      <x:c r="C160" s="70" t="str">
        <x:v>AP Environmental Science AP</x:v>
      </x:c>
      <x:c r="D160" s="70" t="str">
        <x:v>AP Environmental Science AP</x:v>
      </x:c>
      <x:c r="E160" s="70" t="str">
        <x:v>College Board</x:v>
      </x:c>
      <x:c r="F160" s="70" t="str">
        <x:v>Advanced Placement</x:v>
      </x:c>
      <x:c r="G160" s="70" t="str">
        <x:v>美国／国际</x:v>
      </x:c>
      <x:c r="H160" s="70" t="str">
        <x:v>整门课程</x:v>
      </x:c>
      <x:c r="I160" s="70" t="str">
        <x:v>考试／项目／作品集依学科而异</x:v>
      </x:c>
      <x:c r="J160" s="72"/>
      <x:c r="K160" s="70" t="str">
        <x:v>2026–27课程目录</x:v>
      </x:c>
      <x:c r="L160" s="73" t="n">
        <x:v>1590</x:v>
      </x:c>
      <x:c r="M160" s="70" t="str">
        <x:v>AP课程成绩、AP外部评分和完整高中毕业资格分别管理；不预填虚构的统一课程代码。 目录层条目；未预填并不代表没有考试/实践/校评。</x:v>
      </x:c>
      <x:c r="N160" s="70" t="str">
        <x:v>V3-AP</x:v>
      </x:c>
    </x:row>
    <x:row r="161" ht="64" customHeight="1">
      <x:c r="A161" s="71" t="str">
        <x:v>C160</x:v>
      </x:c>
      <x:c r="B161" s="70" t="str">
        <x:v>S002</x:v>
      </x:c>
      <x:c r="C161" s="70" t="str">
        <x:v>AP Physics 1: Algebra-Based AP</x:v>
      </x:c>
      <x:c r="D161" s="70" t="str">
        <x:v>AP Physics 1: Algebra-Based AP</x:v>
      </x:c>
      <x:c r="E161" s="70" t="str">
        <x:v>College Board</x:v>
      </x:c>
      <x:c r="F161" s="70" t="str">
        <x:v>Advanced Placement</x:v>
      </x:c>
      <x:c r="G161" s="70" t="str">
        <x:v>美国／国际</x:v>
      </x:c>
      <x:c r="H161" s="70" t="str">
        <x:v>整门课程</x:v>
      </x:c>
      <x:c r="I161" s="70" t="str">
        <x:v>考试／项目／作品集依学科而异</x:v>
      </x:c>
      <x:c r="J161" s="72"/>
      <x:c r="K161" s="70" t="str">
        <x:v>2026–27课程目录</x:v>
      </x:c>
      <x:c r="L161" s="73" t="n">
        <x:v>1600</x:v>
      </x:c>
      <x:c r="M161" s="70" t="str">
        <x:v>AP课程成绩、AP外部评分和完整高中毕业资格分别管理；不预填虚构的统一课程代码。 目录层条目；未预填并不代表没有考试/实践/校评。</x:v>
      </x:c>
      <x:c r="N161" s="70" t="str">
        <x:v>V3-AP</x:v>
      </x:c>
    </x:row>
    <x:row r="162" ht="64" customHeight="1">
      <x:c r="A162" s="71" t="str">
        <x:v>C161</x:v>
      </x:c>
      <x:c r="B162" s="70" t="str">
        <x:v>S002</x:v>
      </x:c>
      <x:c r="C162" s="70" t="str">
        <x:v>AP Physics 2: Algebra-Based AP</x:v>
      </x:c>
      <x:c r="D162" s="70" t="str">
        <x:v>AP Physics 2: Algebra-Based AP</x:v>
      </x:c>
      <x:c r="E162" s="70" t="str">
        <x:v>College Board</x:v>
      </x:c>
      <x:c r="F162" s="70" t="str">
        <x:v>Advanced Placement</x:v>
      </x:c>
      <x:c r="G162" s="70" t="str">
        <x:v>美国／国际</x:v>
      </x:c>
      <x:c r="H162" s="70" t="str">
        <x:v>整门课程</x:v>
      </x:c>
      <x:c r="I162" s="70" t="str">
        <x:v>考试／项目／作品集依学科而异</x:v>
      </x:c>
      <x:c r="J162" s="72"/>
      <x:c r="K162" s="70" t="str">
        <x:v>2026–27课程目录</x:v>
      </x:c>
      <x:c r="L162" s="73" t="n">
        <x:v>1610</x:v>
      </x:c>
      <x:c r="M162" s="70" t="str">
        <x:v>AP课程成绩、AP外部评分和完整高中毕业资格分别管理；不预填虚构的统一课程代码。 目录层条目；未预填并不代表没有考试/实践/校评。</x:v>
      </x:c>
      <x:c r="N162" s="70" t="str">
        <x:v>V3-AP</x:v>
      </x:c>
    </x:row>
    <x:row r="163" ht="64" customHeight="1">
      <x:c r="A163" s="71" t="str">
        <x:v>C162</x:v>
      </x:c>
      <x:c r="B163" s="70" t="str">
        <x:v>S002</x:v>
      </x:c>
      <x:c r="C163" s="70" t="str">
        <x:v>AP Physics C: Electricity and Magnetism AP</x:v>
      </x:c>
      <x:c r="D163" s="70" t="str">
        <x:v>AP Physics C: Electricity and Magnetism AP</x:v>
      </x:c>
      <x:c r="E163" s="70" t="str">
        <x:v>College Board</x:v>
      </x:c>
      <x:c r="F163" s="70" t="str">
        <x:v>Advanced Placement</x:v>
      </x:c>
      <x:c r="G163" s="70" t="str">
        <x:v>美国／国际</x:v>
      </x:c>
      <x:c r="H163" s="70" t="str">
        <x:v>整门课程</x:v>
      </x:c>
      <x:c r="I163" s="70" t="str">
        <x:v>考试／项目／作品集依学科而异</x:v>
      </x:c>
      <x:c r="J163" s="72"/>
      <x:c r="K163" s="70" t="str">
        <x:v>2026–27课程目录</x:v>
      </x:c>
      <x:c r="L163" s="73" t="n">
        <x:v>1620</x:v>
      </x:c>
      <x:c r="M163" s="70" t="str">
        <x:v>AP课程成绩、AP外部评分和完整高中毕业资格分别管理；不预填虚构的统一课程代码。 目录层条目；未预填并不代表没有考试/实践/校评。</x:v>
      </x:c>
      <x:c r="N163" s="70" t="str">
        <x:v>V3-AP</x:v>
      </x:c>
    </x:row>
    <x:row r="164" ht="64" customHeight="1">
      <x:c r="A164" s="71" t="str">
        <x:v>C163</x:v>
      </x:c>
      <x:c r="B164" s="70" t="str">
        <x:v>S002</x:v>
      </x:c>
      <x:c r="C164" s="70" t="str">
        <x:v>AP Physics C: Mechanics AP</x:v>
      </x:c>
      <x:c r="D164" s="70" t="str">
        <x:v>AP Physics C: Mechanics AP</x:v>
      </x:c>
      <x:c r="E164" s="70" t="str">
        <x:v>College Board</x:v>
      </x:c>
      <x:c r="F164" s="70" t="str">
        <x:v>Advanced Placement</x:v>
      </x:c>
      <x:c r="G164" s="70" t="str">
        <x:v>美国／国际</x:v>
      </x:c>
      <x:c r="H164" s="70" t="str">
        <x:v>整门课程</x:v>
      </x:c>
      <x:c r="I164" s="70" t="str">
        <x:v>考试／项目／作品集依学科而异</x:v>
      </x:c>
      <x:c r="J164" s="72"/>
      <x:c r="K164" s="70" t="str">
        <x:v>2026–27课程目录</x:v>
      </x:c>
      <x:c r="L164" s="73" t="n">
        <x:v>1630</x:v>
      </x:c>
      <x:c r="M164" s="70" t="str">
        <x:v>AP课程成绩、AP外部评分和完整高中毕业资格分别管理；不预填虚构的统一课程代码。 目录层条目；未预填并不代表没有考试/实践/校评。</x:v>
      </x:c>
      <x:c r="N164" s="70" t="str">
        <x:v>V3-AP</x:v>
      </x:c>
    </x:row>
    <x:row r="165" ht="64" customHeight="1">
      <x:c r="A165" s="71" t="str">
        <x:v>C164</x:v>
      </x:c>
      <x:c r="B165" s="70" t="str">
        <x:v>S020</x:v>
      </x:c>
      <x:c r="C165" s="70" t="str">
        <x:v>AP Chinese Language and Culture AP</x:v>
      </x:c>
      <x:c r="D165" s="70" t="str">
        <x:v>AP Chinese Language and Culture AP</x:v>
      </x:c>
      <x:c r="E165" s="70" t="str">
        <x:v>College Board</x:v>
      </x:c>
      <x:c r="F165" s="70" t="str">
        <x:v>Advanced Placement</x:v>
      </x:c>
      <x:c r="G165" s="70" t="str">
        <x:v>美国／国际</x:v>
      </x:c>
      <x:c r="H165" s="70" t="str">
        <x:v>整门课程</x:v>
      </x:c>
      <x:c r="I165" s="70" t="str">
        <x:v>考试／项目／作品集依学科而异</x:v>
      </x:c>
      <x:c r="J165" s="72"/>
      <x:c r="K165" s="70" t="str">
        <x:v>2026–27课程目录</x:v>
      </x:c>
      <x:c r="L165" s="73" t="n">
        <x:v>1640</x:v>
      </x:c>
      <x:c r="M165" s="70" t="str">
        <x:v>AP课程成绩、AP外部评分和完整高中毕业资格分别管理；不预填虚构的统一课程代码。 目录层条目；未预填并不代表没有考试/实践/校评。</x:v>
      </x:c>
      <x:c r="N165" s="70" t="str">
        <x:v>V3-AP</x:v>
      </x:c>
    </x:row>
    <x:row r="166" ht="64" customHeight="1">
      <x:c r="A166" s="71" t="str">
        <x:v>C165</x:v>
      </x:c>
      <x:c r="B166" s="70" t="str">
        <x:v>S016</x:v>
      </x:c>
      <x:c r="C166" s="70" t="str">
        <x:v>AP French Language and Culture AP</x:v>
      </x:c>
      <x:c r="D166" s="70" t="str">
        <x:v>AP French Language and Culture AP</x:v>
      </x:c>
      <x:c r="E166" s="70" t="str">
        <x:v>College Board</x:v>
      </x:c>
      <x:c r="F166" s="70" t="str">
        <x:v>Advanced Placement</x:v>
      </x:c>
      <x:c r="G166" s="70" t="str">
        <x:v>美国／国际</x:v>
      </x:c>
      <x:c r="H166" s="70" t="str">
        <x:v>整门课程</x:v>
      </x:c>
      <x:c r="I166" s="70" t="str">
        <x:v>考试／项目／作品集依学科而异</x:v>
      </x:c>
      <x:c r="J166" s="72"/>
      <x:c r="K166" s="70" t="str">
        <x:v>2026–27课程目录</x:v>
      </x:c>
      <x:c r="L166" s="73" t="n">
        <x:v>1650</x:v>
      </x:c>
      <x:c r="M166" s="70" t="str">
        <x:v>AP课程成绩、AP外部评分和完整高中毕业资格分别管理；不预填虚构的统一课程代码。 目录层条目；未预填并不代表没有考试/实践/校评。</x:v>
      </x:c>
      <x:c r="N166" s="70" t="str">
        <x:v>V3-AP</x:v>
      </x:c>
    </x:row>
    <x:row r="167" ht="64" customHeight="1">
      <x:c r="A167" s="71" t="str">
        <x:v>C166</x:v>
      </x:c>
      <x:c r="B167" s="70" t="str">
        <x:v>S017</x:v>
      </x:c>
      <x:c r="C167" s="70" t="str">
        <x:v>AP German Language and Culture AP</x:v>
      </x:c>
      <x:c r="D167" s="70" t="str">
        <x:v>AP German Language and Culture AP</x:v>
      </x:c>
      <x:c r="E167" s="70" t="str">
        <x:v>College Board</x:v>
      </x:c>
      <x:c r="F167" s="70" t="str">
        <x:v>Advanced Placement</x:v>
      </x:c>
      <x:c r="G167" s="70" t="str">
        <x:v>美国／国际</x:v>
      </x:c>
      <x:c r="H167" s="70" t="str">
        <x:v>整门课程</x:v>
      </x:c>
      <x:c r="I167" s="70" t="str">
        <x:v>考试／项目／作品集依学科而异</x:v>
      </x:c>
      <x:c r="J167" s="72"/>
      <x:c r="K167" s="70" t="str">
        <x:v>2026–27课程目录</x:v>
      </x:c>
      <x:c r="L167" s="73" t="n">
        <x:v>1660</x:v>
      </x:c>
      <x:c r="M167" s="70" t="str">
        <x:v>AP课程成绩、AP外部评分和完整高中毕业资格分别管理；不预填虚构的统一课程代码。 目录层条目；未预填并不代表没有考试/实践/校评。</x:v>
      </x:c>
      <x:c r="N167" s="70" t="str">
        <x:v>V3-AP</x:v>
      </x:c>
    </x:row>
    <x:row r="168" ht="64" customHeight="1">
      <x:c r="A168" s="71" t="str">
        <x:v>C167</x:v>
      </x:c>
      <x:c r="B168" s="70" t="str">
        <x:v>S023</x:v>
      </x:c>
      <x:c r="C168" s="70" t="str">
        <x:v>AP Italian Language and Culture AP</x:v>
      </x:c>
      <x:c r="D168" s="70" t="str">
        <x:v>AP Italian Language and Culture AP</x:v>
      </x:c>
      <x:c r="E168" s="70" t="str">
        <x:v>College Board</x:v>
      </x:c>
      <x:c r="F168" s="70" t="str">
        <x:v>Advanced Placement</x:v>
      </x:c>
      <x:c r="G168" s="70" t="str">
        <x:v>美国／国际</x:v>
      </x:c>
      <x:c r="H168" s="70" t="str">
        <x:v>整门课程</x:v>
      </x:c>
      <x:c r="I168" s="70" t="str">
        <x:v>考试／项目／作品集依学科而异</x:v>
      </x:c>
      <x:c r="J168" s="72"/>
      <x:c r="K168" s="70" t="str">
        <x:v>2026–27课程目录</x:v>
      </x:c>
      <x:c r="L168" s="73" t="n">
        <x:v>1670</x:v>
      </x:c>
      <x:c r="M168" s="70" t="str">
        <x:v>AP课程成绩、AP外部评分和完整高中毕业资格分别管理；不预填虚构的统一课程代码。 目录层条目；未预填并不代表没有考试/实践/校评。</x:v>
      </x:c>
      <x:c r="N168" s="70" t="str">
        <x:v>V3-AP</x:v>
      </x:c>
    </x:row>
    <x:row r="169" ht="64" customHeight="1">
      <x:c r="A169" s="71" t="str">
        <x:v>C168</x:v>
      </x:c>
      <x:c r="B169" s="70" t="str">
        <x:v>S021</x:v>
      </x:c>
      <x:c r="C169" s="70" t="str">
        <x:v>AP Japanese Language and Culture AP</x:v>
      </x:c>
      <x:c r="D169" s="70" t="str">
        <x:v>AP Japanese Language and Culture AP</x:v>
      </x:c>
      <x:c r="E169" s="70" t="str">
        <x:v>College Board</x:v>
      </x:c>
      <x:c r="F169" s="70" t="str">
        <x:v>Advanced Placement</x:v>
      </x:c>
      <x:c r="G169" s="70" t="str">
        <x:v>美国／国际</x:v>
      </x:c>
      <x:c r="H169" s="70" t="str">
        <x:v>整门课程</x:v>
      </x:c>
      <x:c r="I169" s="70" t="str">
        <x:v>考试／项目／作品集依学科而异</x:v>
      </x:c>
      <x:c r="J169" s="72"/>
      <x:c r="K169" s="70" t="str">
        <x:v>2026–27课程目录</x:v>
      </x:c>
      <x:c r="L169" s="73" t="n">
        <x:v>1680</x:v>
      </x:c>
      <x:c r="M169" s="70" t="str">
        <x:v>AP课程成绩、AP外部评分和完整高中毕业资格分别管理；不预填虚构的统一课程代码。 目录层条目；未预填并不代表没有考试/实践/校评。</x:v>
      </x:c>
      <x:c r="N169" s="70" t="str">
        <x:v>V3-AP</x:v>
      </x:c>
    </x:row>
    <x:row r="170" ht="64" customHeight="1">
      <x:c r="A170" s="71" t="str">
        <x:v>C169</x:v>
      </x:c>
      <x:c r="B170" s="70" t="str">
        <x:v>S024</x:v>
      </x:c>
      <x:c r="C170" s="70" t="str">
        <x:v>AP Latin AP</x:v>
      </x:c>
      <x:c r="D170" s="70" t="str">
        <x:v>AP Latin AP</x:v>
      </x:c>
      <x:c r="E170" s="70" t="str">
        <x:v>College Board</x:v>
      </x:c>
      <x:c r="F170" s="70" t="str">
        <x:v>Advanced Placement</x:v>
      </x:c>
      <x:c r="G170" s="70" t="str">
        <x:v>美国／国际</x:v>
      </x:c>
      <x:c r="H170" s="70" t="str">
        <x:v>整门课程</x:v>
      </x:c>
      <x:c r="I170" s="70" t="str">
        <x:v>考试／项目／作品集依学科而异</x:v>
      </x:c>
      <x:c r="J170" s="72"/>
      <x:c r="K170" s="70" t="str">
        <x:v>2026–27课程目录</x:v>
      </x:c>
      <x:c r="L170" s="73" t="n">
        <x:v>1690</x:v>
      </x:c>
      <x:c r="M170" s="70" t="str">
        <x:v>AP课程成绩、AP外部评分和完整高中毕业资格分别管理；不预填虚构的统一课程代码。 目录层条目；未预填并不代表没有考试/实践/校评。</x:v>
      </x:c>
      <x:c r="N170" s="70" t="str">
        <x:v>V3-AP</x:v>
      </x:c>
    </x:row>
    <x:row r="171" ht="64" customHeight="1">
      <x:c r="A171" s="71" t="str">
        <x:v>C170</x:v>
      </x:c>
      <x:c r="B171" s="70" t="str">
        <x:v>S018</x:v>
      </x:c>
      <x:c r="C171" s="70" t="str">
        <x:v>AP Spanish Language and Culture AP</x:v>
      </x:c>
      <x:c r="D171" s="70" t="str">
        <x:v>AP Spanish Language and Culture AP</x:v>
      </x:c>
      <x:c r="E171" s="70" t="str">
        <x:v>College Board</x:v>
      </x:c>
      <x:c r="F171" s="70" t="str">
        <x:v>Advanced Placement</x:v>
      </x:c>
      <x:c r="G171" s="70" t="str">
        <x:v>美国／国际</x:v>
      </x:c>
      <x:c r="H171" s="70" t="str">
        <x:v>整门课程</x:v>
      </x:c>
      <x:c r="I171" s="70" t="str">
        <x:v>考试／项目／作品集依学科而异</x:v>
      </x:c>
      <x:c r="J171" s="72"/>
      <x:c r="K171" s="70" t="str">
        <x:v>2026–27课程目录</x:v>
      </x:c>
      <x:c r="L171" s="73" t="n">
        <x:v>1700</x:v>
      </x:c>
      <x:c r="M171" s="70" t="str">
        <x:v>AP课程成绩、AP外部评分和完整高中毕业资格分别管理；不预填虚构的统一课程代码。 目录层条目；未预填并不代表没有考试/实践/校评。</x:v>
      </x:c>
      <x:c r="N171" s="70" t="str">
        <x:v>V3-AP</x:v>
      </x:c>
    </x:row>
    <x:row r="172" ht="64" customHeight="1">
      <x:c r="A172" s="71" t="str">
        <x:v>C171</x:v>
      </x:c>
      <x:c r="B172" s="70" t="str">
        <x:v>S018</x:v>
      </x:c>
      <x:c r="C172" s="70" t="str">
        <x:v>AP Spanish Literature and Culture AP</x:v>
      </x:c>
      <x:c r="D172" s="70" t="str">
        <x:v>AP Spanish Literature and Culture AP</x:v>
      </x:c>
      <x:c r="E172" s="70" t="str">
        <x:v>College Board</x:v>
      </x:c>
      <x:c r="F172" s="70" t="str">
        <x:v>Advanced Placement</x:v>
      </x:c>
      <x:c r="G172" s="70" t="str">
        <x:v>美国／国际</x:v>
      </x:c>
      <x:c r="H172" s="70" t="str">
        <x:v>整门课程</x:v>
      </x:c>
      <x:c r="I172" s="70" t="str">
        <x:v>考试／项目／作品集依学科而异</x:v>
      </x:c>
      <x:c r="J172" s="72"/>
      <x:c r="K172" s="70" t="str">
        <x:v>2026–27课程目录</x:v>
      </x:c>
      <x:c r="L172" s="73" t="n">
        <x:v>1710</x:v>
      </x:c>
      <x:c r="M172" s="70" t="str">
        <x:v>AP课程成绩、AP外部评分和完整高中毕业资格分别管理；不预填虚构的统一课程代码。 目录层条目；未预填并不代表没有考试/实践/校评。</x:v>
      </x:c>
      <x:c r="N172" s="70" t="str">
        <x:v>V3-AP</x:v>
      </x:c>
    </x:row>
    <x:row r="173" ht="64" customHeight="1">
      <x:c r="A173" s="71" t="str">
        <x:v>C172</x:v>
      </x:c>
      <x:c r="B173" s="70" t="str">
        <x:v>S036</x:v>
      </x:c>
      <x:c r="C173" s="70" t="str">
        <x:v>AP Research AP</x:v>
      </x:c>
      <x:c r="D173" s="70" t="str">
        <x:v>AP Research AP</x:v>
      </x:c>
      <x:c r="E173" s="70" t="str">
        <x:v>College Board</x:v>
      </x:c>
      <x:c r="F173" s="70" t="str">
        <x:v>Advanced Placement</x:v>
      </x:c>
      <x:c r="G173" s="70" t="str">
        <x:v>美国／国际</x:v>
      </x:c>
      <x:c r="H173" s="70" t="str">
        <x:v>整门课程</x:v>
      </x:c>
      <x:c r="I173" s="70" t="str">
        <x:v>考试／项目／作品集依学科而异</x:v>
      </x:c>
      <x:c r="J173" s="72"/>
      <x:c r="K173" s="70" t="str">
        <x:v>2026–27课程目录</x:v>
      </x:c>
      <x:c r="L173" s="73" t="n">
        <x:v>1720</x:v>
      </x:c>
      <x:c r="M173" s="70" t="str">
        <x:v>AP课程成绩、AP外部评分和完整高中毕业资格分别管理；不预填虚构的统一课程代码。 目录层条目；未预填并不代表没有考试/实践/校评。</x:v>
      </x:c>
      <x:c r="N173" s="70" t="str">
        <x:v>V3-AP</x:v>
      </x:c>
    </x:row>
    <x:row r="174" ht="64" customHeight="1">
      <x:c r="A174" s="71" t="str">
        <x:v>C173</x:v>
      </x:c>
      <x:c r="B174" s="70" t="str">
        <x:v>S036</x:v>
      </x:c>
      <x:c r="C174" s="70" t="str">
        <x:v>AP Seminar AP</x:v>
      </x:c>
      <x:c r="D174" s="70" t="str">
        <x:v>AP Seminar AP</x:v>
      </x:c>
      <x:c r="E174" s="70" t="str">
        <x:v>College Board</x:v>
      </x:c>
      <x:c r="F174" s="70" t="str">
        <x:v>Advanced Placement</x:v>
      </x:c>
      <x:c r="G174" s="70" t="str">
        <x:v>美国／国际</x:v>
      </x:c>
      <x:c r="H174" s="70" t="str">
        <x:v>整门课程</x:v>
      </x:c>
      <x:c r="I174" s="70" t="str">
        <x:v>考试／项目／作品集依学科而异</x:v>
      </x:c>
      <x:c r="J174" s="72"/>
      <x:c r="K174" s="70" t="str">
        <x:v>2026–27课程目录</x:v>
      </x:c>
      <x:c r="L174" s="73" t="n">
        <x:v>1730</x:v>
      </x:c>
      <x:c r="M174" s="70" t="str">
        <x:v>AP课程成绩、AP外部评分和完整高中毕业资格分别管理；不预填虚构的统一课程代码。 目录层条目；未预填并不代表没有考试/实践/校评。</x:v>
      </x:c>
      <x:c r="N174" s="70" t="str">
        <x:v>V3-AP</x:v>
      </x:c>
    </x:row>
    <x:row r="175" ht="64" customHeight="1">
      <x:c r="A175" s="71" t="str">
        <x:v>C174</x:v>
      </x:c>
      <x:c r="B175" s="70" t="str">
        <x:v>S008</x:v>
      </x:c>
      <x:c r="C175" s="70" t="str">
        <x:v>AP Business with Personal Finance AP</x:v>
      </x:c>
      <x:c r="D175" s="70" t="str">
        <x:v>AP Business with Personal Finance AP</x:v>
      </x:c>
      <x:c r="E175" s="70" t="str">
        <x:v>College Board</x:v>
      </x:c>
      <x:c r="F175" s="70" t="str">
        <x:v>Advanced Placement</x:v>
      </x:c>
      <x:c r="G175" s="70" t="str">
        <x:v>美国／国际</x:v>
      </x:c>
      <x:c r="H175" s="70" t="str">
        <x:v>整门课程</x:v>
      </x:c>
      <x:c r="I175" s="70" t="str">
        <x:v>考试／项目／作品集依学科而异</x:v>
      </x:c>
      <x:c r="J175" s="72"/>
      <x:c r="K175" s="70" t="str">
        <x:v>2026–27课程目录</x:v>
      </x:c>
      <x:c r="L175" s="73" t="n">
        <x:v>1740</x:v>
      </x:c>
      <x:c r="M175" s="70" t="str">
        <x:v>AP课程成绩、AP外部评分和完整高中毕业资格分别管理；不预填虚构的统一课程代码。 2026–27新增教学课程；不得假定已有2026正式考试成绩。 目录层条目；未预填并不代表没有考试/实践/校评。</x:v>
      </x:c>
      <x:c r="N175" s="70" t="str">
        <x:v>V3-AP-BUS</x:v>
      </x:c>
    </x:row>
    <x:row r="176" ht="64" customHeight="1">
      <x:c r="A176" s="71" t="str">
        <x:v>C175</x:v>
      </x:c>
      <x:c r="B176" s="70" t="str">
        <x:v>S005</x:v>
      </x:c>
      <x:c r="C176" s="70" t="str">
        <x:v>AP Cybersecurity AP</x:v>
      </x:c>
      <x:c r="D176" s="70" t="str">
        <x:v>AP Cybersecurity AP</x:v>
      </x:c>
      <x:c r="E176" s="70" t="str">
        <x:v>College Board</x:v>
      </x:c>
      <x:c r="F176" s="70" t="str">
        <x:v>Advanced Placement</x:v>
      </x:c>
      <x:c r="G176" s="70" t="str">
        <x:v>美国／国际</x:v>
      </x:c>
      <x:c r="H176" s="70" t="str">
        <x:v>整门课程</x:v>
      </x:c>
      <x:c r="I176" s="70" t="str">
        <x:v>考试／项目／作品集依学科而异</x:v>
      </x:c>
      <x:c r="J176" s="72"/>
      <x:c r="K176" s="70" t="str">
        <x:v>2026–27课程目录</x:v>
      </x:c>
      <x:c r="L176" s="73" t="n">
        <x:v>1750</x:v>
      </x:c>
      <x:c r="M176" s="70" t="str">
        <x:v>AP课程成绩、AP外部评分和完整高中毕业资格分别管理；不预填虚构的统一课程代码。 2026–27新增教学课程；不得假定已有2026正式考试成绩。 目录层条目；未预填并不代表没有考试/实践/校评。</x:v>
      </x:c>
      <x:c r="N176" s="70" t="str">
        <x:v>V3-AP</x:v>
      </x:c>
    </x:row>
    <x:row r="177" ht="64" customHeight="1">
      <x:c r="A177" s="71" t="str">
        <x:v>C176</x:v>
      </x:c>
      <x:c r="B177" s="70" t="str">
        <x:v>S010</x:v>
      </x:c>
      <x:c r="C177" s="70" t="str">
        <x:v>IB DP English A: Language and Literature SL</x:v>
      </x:c>
      <x:c r="D177" s="70" t="str">
        <x:v>IB DP English A: Language and Literature SL</x:v>
      </x:c>
      <x:c r="E177" s="70" t="str">
        <x:v>International Baccalaureate</x:v>
      </x:c>
      <x:c r="F177" s="70" t="str">
        <x:v>IB Diploma Programme</x:v>
      </x:c>
      <x:c r="G177" s="70" t="str">
        <x:v>国际</x:v>
      </x:c>
      <x:c r="H177" s="70" t="str">
        <x:v>整门课程</x:v>
      </x:c>
      <x:c r="I177" s="70" t="str">
        <x:v>外部考核＋内部评估依学科及guide版本而异</x:v>
      </x:c>
      <x:c r="J177" s="72" t="str">
        <x:v>112733</x:v>
      </x:c>
      <x:c r="K177" s="70" t="str">
        <x:v>IB官方2026科目表；具体guide/首末考季另核</x:v>
      </x:c>
      <x:c r="L177" s="73" t="n">
        <x:v>1760</x:v>
      </x:c>
      <x:c r="M177" s="70" t="str">
        <x:v>SL与HL为不同课程层级；同subject code不能静默合并；语言A/B/ab initio及历史HL地区选项分别记录。 目录层条目；未预填并不代表没有考试/实践/校评。</x:v>
      </x:c>
      <x:c r="N177" s="70" t="str">
        <x:v>V3-IBDP</x:v>
      </x:c>
    </x:row>
    <x:row r="178" ht="64" customHeight="1">
      <x:c r="A178" s="71" t="str">
        <x:v>C177</x:v>
      </x:c>
      <x:c r="B178" s="70" t="str">
        <x:v>S010</x:v>
      </x:c>
      <x:c r="C178" s="70" t="str">
        <x:v>IB DP English A: Language and Literature HL</x:v>
      </x:c>
      <x:c r="D178" s="70" t="str">
        <x:v>IB DP English A: Language and Literature HL</x:v>
      </x:c>
      <x:c r="E178" s="70" t="str">
        <x:v>International Baccalaureate</x:v>
      </x:c>
      <x:c r="F178" s="70" t="str">
        <x:v>IB Diploma Programme</x:v>
      </x:c>
      <x:c r="G178" s="70" t="str">
        <x:v>国际</x:v>
      </x:c>
      <x:c r="H178" s="70" t="str">
        <x:v>整门课程</x:v>
      </x:c>
      <x:c r="I178" s="70" t="str">
        <x:v>外部考核＋内部评估依学科及guide版本而异</x:v>
      </x:c>
      <x:c r="J178" s="72" t="str">
        <x:v>112733</x:v>
      </x:c>
      <x:c r="K178" s="70" t="str">
        <x:v>IB官方2026科目表；具体guide/首末考季另核</x:v>
      </x:c>
      <x:c r="L178" s="73" t="n">
        <x:v>1770</x:v>
      </x:c>
      <x:c r="M178" s="70" t="str">
        <x:v>SL与HL为不同课程层级；同subject code不能静默合并；语言A/B/ab initio及历史HL地区选项分别记录。 目录层条目；未预填并不代表没有考试/实践/校评。</x:v>
      </x:c>
      <x:c r="N178" s="70" t="str">
        <x:v>V3-IBDP</x:v>
      </x:c>
    </x:row>
    <x:row r="179" ht="64" customHeight="1">
      <x:c r="A179" s="71" t="str">
        <x:v>C178</x:v>
      </x:c>
      <x:c r="B179" s="70" t="str">
        <x:v>S010</x:v>
      </x:c>
      <x:c r="C179" s="70" t="str">
        <x:v>IB DP English A: Literature SL</x:v>
      </x:c>
      <x:c r="D179" s="70" t="str">
        <x:v>IB DP English A: Literature SL</x:v>
      </x:c>
      <x:c r="E179" s="70" t="str">
        <x:v>International Baccalaureate</x:v>
      </x:c>
      <x:c r="F179" s="70" t="str">
        <x:v>IB Diploma Programme</x:v>
      </x:c>
      <x:c r="G179" s="70" t="str">
        <x:v>国际</x:v>
      </x:c>
      <x:c r="H179" s="70" t="str">
        <x:v>整门课程</x:v>
      </x:c>
      <x:c r="I179" s="70" t="str">
        <x:v>外部考核＋内部评估依学科及guide版本而异</x:v>
      </x:c>
      <x:c r="J179" s="72" t="str">
        <x:v>112711</x:v>
      </x:c>
      <x:c r="K179" s="70" t="str">
        <x:v>IB官方2026科目表；具体guide/首末考季另核</x:v>
      </x:c>
      <x:c r="L179" s="73" t="n">
        <x:v>1780</x:v>
      </x:c>
      <x:c r="M179" s="70" t="str">
        <x:v>SL与HL为不同课程层级；同subject code不能静默合并；语言A/B/ab initio及历史HL地区选项分别记录。 目录层条目；未预填并不代表没有考试/实践/校评。</x:v>
      </x:c>
      <x:c r="N179" s="70" t="str">
        <x:v>V3-IBDP</x:v>
      </x:c>
    </x:row>
    <x:row r="180" ht="64" customHeight="1">
      <x:c r="A180" s="71" t="str">
        <x:v>C179</x:v>
      </x:c>
      <x:c r="B180" s="70" t="str">
        <x:v>S010</x:v>
      </x:c>
      <x:c r="C180" s="70" t="str">
        <x:v>IB DP English A: Literature HL</x:v>
      </x:c>
      <x:c r="D180" s="70" t="str">
        <x:v>IB DP English A: Literature HL</x:v>
      </x:c>
      <x:c r="E180" s="70" t="str">
        <x:v>International Baccalaureate</x:v>
      </x:c>
      <x:c r="F180" s="70" t="str">
        <x:v>IB Diploma Programme</x:v>
      </x:c>
      <x:c r="G180" s="70" t="str">
        <x:v>国际</x:v>
      </x:c>
      <x:c r="H180" s="70" t="str">
        <x:v>整门课程</x:v>
      </x:c>
      <x:c r="I180" s="70" t="str">
        <x:v>外部考核＋内部评估依学科及guide版本而异</x:v>
      </x:c>
      <x:c r="J180" s="72" t="str">
        <x:v>112711</x:v>
      </x:c>
      <x:c r="K180" s="70" t="str">
        <x:v>IB官方2026科目表；具体guide/首末考季另核</x:v>
      </x:c>
      <x:c r="L180" s="73" t="n">
        <x:v>1790</x:v>
      </x:c>
      <x:c r="M180" s="70" t="str">
        <x:v>SL与HL为不同课程层级；同subject code不能静默合并；语言A/B/ab initio及历史HL地区选项分别记录。 目录层条目；未预填并不代表没有考试/实践/校评。</x:v>
      </x:c>
      <x:c r="N180" s="70" t="str">
        <x:v>V3-IBDP</x:v>
      </x:c>
    </x:row>
    <x:row r="181" ht="64" customHeight="1">
      <x:c r="A181" s="71" t="str">
        <x:v>C180</x:v>
      </x:c>
      <x:c r="B181" s="70" t="str">
        <x:v>S020</x:v>
      </x:c>
      <x:c r="C181" s="70" t="str">
        <x:v>IB DP Chinese A: Language and Literature SL</x:v>
      </x:c>
      <x:c r="D181" s="70" t="str">
        <x:v>IB DP Chinese A: Language and Literature SL</x:v>
      </x:c>
      <x:c r="E181" s="70" t="str">
        <x:v>International Baccalaureate</x:v>
      </x:c>
      <x:c r="F181" s="70" t="str">
        <x:v>IB Diploma Programme</x:v>
      </x:c>
      <x:c r="G181" s="70" t="str">
        <x:v>国际</x:v>
      </x:c>
      <x:c r="H181" s="70" t="str">
        <x:v>整门课程</x:v>
      </x:c>
      <x:c r="I181" s="70" t="str">
        <x:v>外部考核＋内部评估依学科及guide版本而异</x:v>
      </x:c>
      <x:c r="J181" s="72" t="str">
        <x:v>112740</x:v>
      </x:c>
      <x:c r="K181" s="70" t="str">
        <x:v>IB官方2026科目表；具体guide/首末考季另核</x:v>
      </x:c>
      <x:c r="L181" s="73" t="n">
        <x:v>1800</x:v>
      </x:c>
      <x:c r="M181" s="70" t="str">
        <x:v>SL与HL为不同课程层级；同subject code不能静默合并；语言A/B/ab initio及历史HL地区选项分别记录。 目录层条目；未预填并不代表没有考试/实践/校评。</x:v>
      </x:c>
      <x:c r="N181" s="70" t="str">
        <x:v>V3-IBDP</x:v>
      </x:c>
    </x:row>
    <x:row r="182" ht="64" customHeight="1">
      <x:c r="A182" s="71" t="str">
        <x:v>C181</x:v>
      </x:c>
      <x:c r="B182" s="70" t="str">
        <x:v>S020</x:v>
      </x:c>
      <x:c r="C182" s="70" t="str">
        <x:v>IB DP Chinese A: Language and Literature HL</x:v>
      </x:c>
      <x:c r="D182" s="70" t="str">
        <x:v>IB DP Chinese A: Language and Literature HL</x:v>
      </x:c>
      <x:c r="E182" s="70" t="str">
        <x:v>International Baccalaureate</x:v>
      </x:c>
      <x:c r="F182" s="70" t="str">
        <x:v>IB Diploma Programme</x:v>
      </x:c>
      <x:c r="G182" s="70" t="str">
        <x:v>国际</x:v>
      </x:c>
      <x:c r="H182" s="70" t="str">
        <x:v>整门课程</x:v>
      </x:c>
      <x:c r="I182" s="70" t="str">
        <x:v>外部考核＋内部评估依学科及guide版本而异</x:v>
      </x:c>
      <x:c r="J182" s="72" t="str">
        <x:v>112740</x:v>
      </x:c>
      <x:c r="K182" s="70" t="str">
        <x:v>IB官方2026科目表；具体guide/首末考季另核</x:v>
      </x:c>
      <x:c r="L182" s="73" t="n">
        <x:v>1810</x:v>
      </x:c>
      <x:c r="M182" s="70" t="str">
        <x:v>SL与HL为不同课程层级；同subject code不能静默合并；语言A/B/ab initio及历史HL地区选项分别记录。 目录层条目；未预填并不代表没有考试/实践/校评。</x:v>
      </x:c>
      <x:c r="N182" s="70" t="str">
        <x:v>V3-IBDP</x:v>
      </x:c>
    </x:row>
    <x:row r="183" ht="64" customHeight="1">
      <x:c r="A183" s="71" t="str">
        <x:v>C182</x:v>
      </x:c>
      <x:c r="B183" s="70" t="str">
        <x:v>S020</x:v>
      </x:c>
      <x:c r="C183" s="70" t="str">
        <x:v>IB DP Chinese A: Literature SL</x:v>
      </x:c>
      <x:c r="D183" s="70" t="str">
        <x:v>IB DP Chinese A: Literature SL</x:v>
      </x:c>
      <x:c r="E183" s="70" t="str">
        <x:v>International Baccalaureate</x:v>
      </x:c>
      <x:c r="F183" s="70" t="str">
        <x:v>IB Diploma Programme</x:v>
      </x:c>
      <x:c r="G183" s="70" t="str">
        <x:v>国际</x:v>
      </x:c>
      <x:c r="H183" s="70" t="str">
        <x:v>整门课程</x:v>
      </x:c>
      <x:c r="I183" s="70" t="str">
        <x:v>外部考核＋内部评估依学科及guide版本而异</x:v>
      </x:c>
      <x:c r="J183" s="72" t="str">
        <x:v>112724</x:v>
      </x:c>
      <x:c r="K183" s="70" t="str">
        <x:v>IB官方2026科目表；具体guide/首末考季另核</x:v>
      </x:c>
      <x:c r="L183" s="73" t="n">
        <x:v>1820</x:v>
      </x:c>
      <x:c r="M183" s="70" t="str">
        <x:v>SL与HL为不同课程层级；同subject code不能静默合并；语言A/B/ab initio及历史HL地区选项分别记录。 目录层条目；未预填并不代表没有考试/实践/校评。</x:v>
      </x:c>
      <x:c r="N183" s="70" t="str">
        <x:v>V3-IBDP</x:v>
      </x:c>
    </x:row>
    <x:row r="184" ht="64" customHeight="1">
      <x:c r="A184" s="71" t="str">
        <x:v>C183</x:v>
      </x:c>
      <x:c r="B184" s="70" t="str">
        <x:v>S020</x:v>
      </x:c>
      <x:c r="C184" s="70" t="str">
        <x:v>IB DP Chinese A: Literature HL</x:v>
      </x:c>
      <x:c r="D184" s="70" t="str">
        <x:v>IB DP Chinese A: Literature HL</x:v>
      </x:c>
      <x:c r="E184" s="70" t="str">
        <x:v>International Baccalaureate</x:v>
      </x:c>
      <x:c r="F184" s="70" t="str">
        <x:v>IB Diploma Programme</x:v>
      </x:c>
      <x:c r="G184" s="70" t="str">
        <x:v>国际</x:v>
      </x:c>
      <x:c r="H184" s="70" t="str">
        <x:v>整门课程</x:v>
      </x:c>
      <x:c r="I184" s="70" t="str">
        <x:v>外部考核＋内部评估依学科及guide版本而异</x:v>
      </x:c>
      <x:c r="J184" s="72" t="str">
        <x:v>112724</x:v>
      </x:c>
      <x:c r="K184" s="70" t="str">
        <x:v>IB官方2026科目表；具体guide/首末考季另核</x:v>
      </x:c>
      <x:c r="L184" s="73" t="n">
        <x:v>1830</x:v>
      </x:c>
      <x:c r="M184" s="70" t="str">
        <x:v>SL与HL为不同课程层级；同subject code不能静默合并；语言A/B/ab initio及历史HL地区选项分别记录。 目录层条目；未预填并不代表没有考试/实践/校评。</x:v>
      </x:c>
      <x:c r="N184" s="70" t="str">
        <x:v>V3-IBDP</x:v>
      </x:c>
    </x:row>
    <x:row r="185" ht="64" customHeight="1">
      <x:c r="A185" s="71" t="str">
        <x:v>C184</x:v>
      </x:c>
      <x:c r="B185" s="70" t="str">
        <x:v>S016</x:v>
      </x:c>
      <x:c r="C185" s="70" t="str">
        <x:v>IB DP French A: Language and Literature SL</x:v>
      </x:c>
      <x:c r="D185" s="70" t="str">
        <x:v>IB DP French A: Language and Literature SL</x:v>
      </x:c>
      <x:c r="E185" s="70" t="str">
        <x:v>International Baccalaureate</x:v>
      </x:c>
      <x:c r="F185" s="70" t="str">
        <x:v>IB Diploma Programme</x:v>
      </x:c>
      <x:c r="G185" s="70" t="str">
        <x:v>国际</x:v>
      </x:c>
      <x:c r="H185" s="70" t="str">
        <x:v>整门课程</x:v>
      </x:c>
      <x:c r="I185" s="70" t="str">
        <x:v>外部考核＋内部评估依学科及guide版本而异</x:v>
      </x:c>
      <x:c r="J185" s="72" t="str">
        <x:v>112734</x:v>
      </x:c>
      <x:c r="K185" s="70" t="str">
        <x:v>IB官方2026科目表；具体guide/首末考季另核</x:v>
      </x:c>
      <x:c r="L185" s="73" t="n">
        <x:v>1840</x:v>
      </x:c>
      <x:c r="M185" s="70" t="str">
        <x:v>SL与HL为不同课程层级；同subject code不能静默合并；语言A/B/ab initio及历史HL地区选项分别记录。 目录层条目；未预填并不代表没有考试/实践/校评。</x:v>
      </x:c>
      <x:c r="N185" s="70" t="str">
        <x:v>V3-IBDP</x:v>
      </x:c>
    </x:row>
    <x:row r="186" ht="64" customHeight="1">
      <x:c r="A186" s="71" t="str">
        <x:v>C185</x:v>
      </x:c>
      <x:c r="B186" s="70" t="str">
        <x:v>S016</x:v>
      </x:c>
      <x:c r="C186" s="70" t="str">
        <x:v>IB DP French A: Language and Literature HL</x:v>
      </x:c>
      <x:c r="D186" s="70" t="str">
        <x:v>IB DP French A: Language and Literature HL</x:v>
      </x:c>
      <x:c r="E186" s="70" t="str">
        <x:v>International Baccalaureate</x:v>
      </x:c>
      <x:c r="F186" s="70" t="str">
        <x:v>IB Diploma Programme</x:v>
      </x:c>
      <x:c r="G186" s="70" t="str">
        <x:v>国际</x:v>
      </x:c>
      <x:c r="H186" s="70" t="str">
        <x:v>整门课程</x:v>
      </x:c>
      <x:c r="I186" s="70" t="str">
        <x:v>外部考核＋内部评估依学科及guide版本而异</x:v>
      </x:c>
      <x:c r="J186" s="72" t="str">
        <x:v>112734</x:v>
      </x:c>
      <x:c r="K186" s="70" t="str">
        <x:v>IB官方2026科目表；具体guide/首末考季另核</x:v>
      </x:c>
      <x:c r="L186" s="73" t="n">
        <x:v>1850</x:v>
      </x:c>
      <x:c r="M186" s="70" t="str">
        <x:v>SL与HL为不同课程层级；同subject code不能静默合并；语言A/B/ab initio及历史HL地区选项分别记录。 目录层条目；未预填并不代表没有考试/实践/校评。</x:v>
      </x:c>
      <x:c r="N186" s="70" t="str">
        <x:v>V3-IBDP</x:v>
      </x:c>
    </x:row>
    <x:row r="187" ht="64" customHeight="1">
      <x:c r="A187" s="71" t="str">
        <x:v>C186</x:v>
      </x:c>
      <x:c r="B187" s="70" t="str">
        <x:v>S016</x:v>
      </x:c>
      <x:c r="C187" s="70" t="str">
        <x:v>IB DP French A: Literature SL</x:v>
      </x:c>
      <x:c r="D187" s="70" t="str">
        <x:v>IB DP French A: Literature SL</x:v>
      </x:c>
      <x:c r="E187" s="70" t="str">
        <x:v>International Baccalaureate</x:v>
      </x:c>
      <x:c r="F187" s="70" t="str">
        <x:v>IB Diploma Programme</x:v>
      </x:c>
      <x:c r="G187" s="70" t="str">
        <x:v>国际</x:v>
      </x:c>
      <x:c r="H187" s="70" t="str">
        <x:v>整门课程</x:v>
      </x:c>
      <x:c r="I187" s="70" t="str">
        <x:v>外部考核＋内部评估依学科及guide版本而异</x:v>
      </x:c>
      <x:c r="J187" s="72" t="str">
        <x:v>112750</x:v>
      </x:c>
      <x:c r="K187" s="70" t="str">
        <x:v>IB官方2026科目表；具体guide/首末考季另核</x:v>
      </x:c>
      <x:c r="L187" s="73" t="n">
        <x:v>1860</x:v>
      </x:c>
      <x:c r="M187" s="70" t="str">
        <x:v>SL与HL为不同课程层级；同subject code不能静默合并；语言A/B/ab initio及历史HL地区选项分别记录。 目录层条目；未预填并不代表没有考试/实践/校评。</x:v>
      </x:c>
      <x:c r="N187" s="70" t="str">
        <x:v>V3-IBDP</x:v>
      </x:c>
    </x:row>
    <x:row r="188" ht="64" customHeight="1">
      <x:c r="A188" s="71" t="str">
        <x:v>C187</x:v>
      </x:c>
      <x:c r="B188" s="70" t="str">
        <x:v>S016</x:v>
      </x:c>
      <x:c r="C188" s="70" t="str">
        <x:v>IB DP French A: Literature HL</x:v>
      </x:c>
      <x:c r="D188" s="70" t="str">
        <x:v>IB DP French A: Literature HL</x:v>
      </x:c>
      <x:c r="E188" s="70" t="str">
        <x:v>International Baccalaureate</x:v>
      </x:c>
      <x:c r="F188" s="70" t="str">
        <x:v>IB Diploma Programme</x:v>
      </x:c>
      <x:c r="G188" s="70" t="str">
        <x:v>国际</x:v>
      </x:c>
      <x:c r="H188" s="70" t="str">
        <x:v>整门课程</x:v>
      </x:c>
      <x:c r="I188" s="70" t="str">
        <x:v>外部考核＋内部评估依学科及guide版本而异</x:v>
      </x:c>
      <x:c r="J188" s="72" t="str">
        <x:v>112750</x:v>
      </x:c>
      <x:c r="K188" s="70" t="str">
        <x:v>IB官方2026科目表；具体guide/首末考季另核</x:v>
      </x:c>
      <x:c r="L188" s="73" t="n">
        <x:v>1870</x:v>
      </x:c>
      <x:c r="M188" s="70" t="str">
        <x:v>SL与HL为不同课程层级；同subject code不能静默合并；语言A/B/ab initio及历史HL地区选项分别记录。 目录层条目；未预填并不代表没有考试/实践/校评。</x:v>
      </x:c>
      <x:c r="N188" s="70" t="str">
        <x:v>V3-IBDP</x:v>
      </x:c>
    </x:row>
    <x:row r="189" ht="64" customHeight="1">
      <x:c r="A189" s="71" t="str">
        <x:v>C188</x:v>
      </x:c>
      <x:c r="B189" s="70" t="str">
        <x:v>S017</x:v>
      </x:c>
      <x:c r="C189" s="70" t="str">
        <x:v>IB DP German A: Language and Literature SL</x:v>
      </x:c>
      <x:c r="D189" s="70" t="str">
        <x:v>IB DP German A: Language and Literature SL</x:v>
      </x:c>
      <x:c r="E189" s="70" t="str">
        <x:v>International Baccalaureate</x:v>
      </x:c>
      <x:c r="F189" s="70" t="str">
        <x:v>IB Diploma Programme</x:v>
      </x:c>
      <x:c r="G189" s="70" t="str">
        <x:v>国际</x:v>
      </x:c>
      <x:c r="H189" s="70" t="str">
        <x:v>整门课程</x:v>
      </x:c>
      <x:c r="I189" s="70" t="str">
        <x:v>外部考核＋内部评估依学科及guide版本而异</x:v>
      </x:c>
      <x:c r="J189" s="72" t="str">
        <x:v>112735</x:v>
      </x:c>
      <x:c r="K189" s="70" t="str">
        <x:v>IB官方2026科目表；具体guide/首末考季另核</x:v>
      </x:c>
      <x:c r="L189" s="73" t="n">
        <x:v>1880</x:v>
      </x:c>
      <x:c r="M189" s="70" t="str">
        <x:v>SL与HL为不同课程层级；同subject code不能静默合并；语言A/B/ab initio及历史HL地区选项分别记录。 目录层条目；未预填并不代表没有考试/实践/校评。</x:v>
      </x:c>
      <x:c r="N189" s="70" t="str">
        <x:v>V3-IBDP</x:v>
      </x:c>
    </x:row>
    <x:row r="190" ht="64" customHeight="1">
      <x:c r="A190" s="71" t="str">
        <x:v>C189</x:v>
      </x:c>
      <x:c r="B190" s="70" t="str">
        <x:v>S017</x:v>
      </x:c>
      <x:c r="C190" s="70" t="str">
        <x:v>IB DP German A: Language and Literature HL</x:v>
      </x:c>
      <x:c r="D190" s="70" t="str">
        <x:v>IB DP German A: Language and Literature HL</x:v>
      </x:c>
      <x:c r="E190" s="70" t="str">
        <x:v>International Baccalaureate</x:v>
      </x:c>
      <x:c r="F190" s="70" t="str">
        <x:v>IB Diploma Programme</x:v>
      </x:c>
      <x:c r="G190" s="70" t="str">
        <x:v>国际</x:v>
      </x:c>
      <x:c r="H190" s="70" t="str">
        <x:v>整门课程</x:v>
      </x:c>
      <x:c r="I190" s="70" t="str">
        <x:v>外部考核＋内部评估依学科及guide版本而异</x:v>
      </x:c>
      <x:c r="J190" s="72" t="str">
        <x:v>112735</x:v>
      </x:c>
      <x:c r="K190" s="70" t="str">
        <x:v>IB官方2026科目表；具体guide/首末考季另核</x:v>
      </x:c>
      <x:c r="L190" s="73" t="n">
        <x:v>1890</x:v>
      </x:c>
      <x:c r="M190" s="70" t="str">
        <x:v>SL与HL为不同课程层级；同subject code不能静默合并；语言A/B/ab initio及历史HL地区选项分别记录。 目录层条目；未预填并不代表没有考试/实践/校评。</x:v>
      </x:c>
      <x:c r="N190" s="70" t="str">
        <x:v>V3-IBDP</x:v>
      </x:c>
    </x:row>
    <x:row r="191" ht="64" customHeight="1">
      <x:c r="A191" s="71" t="str">
        <x:v>C190</x:v>
      </x:c>
      <x:c r="B191" s="70" t="str">
        <x:v>S017</x:v>
      </x:c>
      <x:c r="C191" s="70" t="str">
        <x:v>IB DP German A: Literature SL</x:v>
      </x:c>
      <x:c r="D191" s="70" t="str">
        <x:v>IB DP German A: Literature SL</x:v>
      </x:c>
      <x:c r="E191" s="70" t="str">
        <x:v>International Baccalaureate</x:v>
      </x:c>
      <x:c r="F191" s="70" t="str">
        <x:v>IB Diploma Programme</x:v>
      </x:c>
      <x:c r="G191" s="70" t="str">
        <x:v>国际</x:v>
      </x:c>
      <x:c r="H191" s="70" t="str">
        <x:v>整门课程</x:v>
      </x:c>
      <x:c r="I191" s="70" t="str">
        <x:v>外部考核＋内部评估依学科及guide版本而异</x:v>
      </x:c>
      <x:c r="J191" s="72" t="str">
        <x:v>112751</x:v>
      </x:c>
      <x:c r="K191" s="70" t="str">
        <x:v>IB官方2026科目表；具体guide/首末考季另核</x:v>
      </x:c>
      <x:c r="L191" s="73" t="n">
        <x:v>1900</x:v>
      </x:c>
      <x:c r="M191" s="70" t="str">
        <x:v>SL与HL为不同课程层级；同subject code不能静默合并；语言A/B/ab initio及历史HL地区选项分别记录。 目录层条目；未预填并不代表没有考试/实践/校评。</x:v>
      </x:c>
      <x:c r="N191" s="70" t="str">
        <x:v>V3-IBDP</x:v>
      </x:c>
    </x:row>
    <x:row r="192" ht="64" customHeight="1">
      <x:c r="A192" s="71" t="str">
        <x:v>C191</x:v>
      </x:c>
      <x:c r="B192" s="70" t="str">
        <x:v>S017</x:v>
      </x:c>
      <x:c r="C192" s="70" t="str">
        <x:v>IB DP German A: Literature HL</x:v>
      </x:c>
      <x:c r="D192" s="70" t="str">
        <x:v>IB DP German A: Literature HL</x:v>
      </x:c>
      <x:c r="E192" s="70" t="str">
        <x:v>International Baccalaureate</x:v>
      </x:c>
      <x:c r="F192" s="70" t="str">
        <x:v>IB Diploma Programme</x:v>
      </x:c>
      <x:c r="G192" s="70" t="str">
        <x:v>国际</x:v>
      </x:c>
      <x:c r="H192" s="70" t="str">
        <x:v>整门课程</x:v>
      </x:c>
      <x:c r="I192" s="70" t="str">
        <x:v>外部考核＋内部评估依学科及guide版本而异</x:v>
      </x:c>
      <x:c r="J192" s="72" t="str">
        <x:v>112751</x:v>
      </x:c>
      <x:c r="K192" s="70" t="str">
        <x:v>IB官方2026科目表；具体guide/首末考季另核</x:v>
      </x:c>
      <x:c r="L192" s="73" t="n">
        <x:v>1910</x:v>
      </x:c>
      <x:c r="M192" s="70" t="str">
        <x:v>SL与HL为不同课程层级；同subject code不能静默合并；语言A/B/ab initio及历史HL地区选项分别记录。 目录层条目；未预填并不代表没有考试/实践/校评。</x:v>
      </x:c>
      <x:c r="N192" s="70" t="str">
        <x:v>V3-IBDP</x:v>
      </x:c>
    </x:row>
    <x:row r="193" ht="64" customHeight="1">
      <x:c r="A193" s="71" t="str">
        <x:v>C192</x:v>
      </x:c>
      <x:c r="B193" s="70" t="str">
        <x:v>S018</x:v>
      </x:c>
      <x:c r="C193" s="70" t="str">
        <x:v>IB DP Spanish A: Language and Literature SL</x:v>
      </x:c>
      <x:c r="D193" s="70" t="str">
        <x:v>IB DP Spanish A: Language and Literature SL</x:v>
      </x:c>
      <x:c r="E193" s="70" t="str">
        <x:v>International Baccalaureate</x:v>
      </x:c>
      <x:c r="F193" s="70" t="str">
        <x:v>IB Diploma Programme</x:v>
      </x:c>
      <x:c r="G193" s="70" t="str">
        <x:v>国际</x:v>
      </x:c>
      <x:c r="H193" s="70" t="str">
        <x:v>整门课程</x:v>
      </x:c>
      <x:c r="I193" s="70" t="str">
        <x:v>外部考核＋内部评估依学科及guide版本而异</x:v>
      </x:c>
      <x:c r="J193" s="72" t="str">
        <x:v>112736</x:v>
      </x:c>
      <x:c r="K193" s="70" t="str">
        <x:v>IB官方2026科目表；具体guide/首末考季另核</x:v>
      </x:c>
      <x:c r="L193" s="73" t="n">
        <x:v>1920</x:v>
      </x:c>
      <x:c r="M193" s="70" t="str">
        <x:v>SL与HL为不同课程层级；同subject code不能静默合并；语言A/B/ab initio及历史HL地区选项分别记录。 目录层条目；未预填并不代表没有考试/实践/校评。</x:v>
      </x:c>
      <x:c r="N193" s="70" t="str">
        <x:v>V3-IBDP</x:v>
      </x:c>
    </x:row>
    <x:row r="194" ht="64" customHeight="1">
      <x:c r="A194" s="71" t="str">
        <x:v>C193</x:v>
      </x:c>
      <x:c r="B194" s="70" t="str">
        <x:v>S018</x:v>
      </x:c>
      <x:c r="C194" s="70" t="str">
        <x:v>IB DP Spanish A: Language and Literature HL</x:v>
      </x:c>
      <x:c r="D194" s="70" t="str">
        <x:v>IB DP Spanish A: Language and Literature HL</x:v>
      </x:c>
      <x:c r="E194" s="70" t="str">
        <x:v>International Baccalaureate</x:v>
      </x:c>
      <x:c r="F194" s="70" t="str">
        <x:v>IB Diploma Programme</x:v>
      </x:c>
      <x:c r="G194" s="70" t="str">
        <x:v>国际</x:v>
      </x:c>
      <x:c r="H194" s="70" t="str">
        <x:v>整门课程</x:v>
      </x:c>
      <x:c r="I194" s="70" t="str">
        <x:v>外部考核＋内部评估依学科及guide版本而异</x:v>
      </x:c>
      <x:c r="J194" s="72" t="str">
        <x:v>112736</x:v>
      </x:c>
      <x:c r="K194" s="70" t="str">
        <x:v>IB官方2026科目表；具体guide/首末考季另核</x:v>
      </x:c>
      <x:c r="L194" s="73" t="n">
        <x:v>1930</x:v>
      </x:c>
      <x:c r="M194" s="70" t="str">
        <x:v>SL与HL为不同课程层级；同subject code不能静默合并；语言A/B/ab initio及历史HL地区选项分别记录。 目录层条目；未预填并不代表没有考试/实践/校评。</x:v>
      </x:c>
      <x:c r="N194" s="70" t="str">
        <x:v>V3-IBDP</x:v>
      </x:c>
    </x:row>
    <x:row r="195" ht="64" customHeight="1">
      <x:c r="A195" s="71" t="str">
        <x:v>C194</x:v>
      </x:c>
      <x:c r="B195" s="70" t="str">
        <x:v>S018</x:v>
      </x:c>
      <x:c r="C195" s="70" t="str">
        <x:v>IB DP Spanish A: Literature SL</x:v>
      </x:c>
      <x:c r="D195" s="70" t="str">
        <x:v>IB DP Spanish A: Literature SL</x:v>
      </x:c>
      <x:c r="E195" s="70" t="str">
        <x:v>International Baccalaureate</x:v>
      </x:c>
      <x:c r="F195" s="70" t="str">
        <x:v>IB Diploma Programme</x:v>
      </x:c>
      <x:c r="G195" s="70" t="str">
        <x:v>国际</x:v>
      </x:c>
      <x:c r="H195" s="70" t="str">
        <x:v>整门课程</x:v>
      </x:c>
      <x:c r="I195" s="70" t="str">
        <x:v>外部考核＋内部评估依学科及guide版本而异</x:v>
      </x:c>
      <x:c r="J195" s="72" t="str">
        <x:v>112752</x:v>
      </x:c>
      <x:c r="K195" s="70" t="str">
        <x:v>IB官方2026科目表；具体guide/首末考季另核</x:v>
      </x:c>
      <x:c r="L195" s="73" t="n">
        <x:v>1940</x:v>
      </x:c>
      <x:c r="M195" s="70" t="str">
        <x:v>SL与HL为不同课程层级；同subject code不能静默合并；语言A/B/ab initio及历史HL地区选项分别记录。 目录层条目；未预填并不代表没有考试/实践/校评。</x:v>
      </x:c>
      <x:c r="N195" s="70" t="str">
        <x:v>V3-IBDP</x:v>
      </x:c>
    </x:row>
    <x:row r="196" ht="64" customHeight="1">
      <x:c r="A196" s="71" t="str">
        <x:v>C195</x:v>
      </x:c>
      <x:c r="B196" s="70" t="str">
        <x:v>S018</x:v>
      </x:c>
      <x:c r="C196" s="70" t="str">
        <x:v>IB DP Spanish A: Literature HL</x:v>
      </x:c>
      <x:c r="D196" s="70" t="str">
        <x:v>IB DP Spanish A: Literature HL</x:v>
      </x:c>
      <x:c r="E196" s="70" t="str">
        <x:v>International Baccalaureate</x:v>
      </x:c>
      <x:c r="F196" s="70" t="str">
        <x:v>IB Diploma Programme</x:v>
      </x:c>
      <x:c r="G196" s="70" t="str">
        <x:v>国际</x:v>
      </x:c>
      <x:c r="H196" s="70" t="str">
        <x:v>整门课程</x:v>
      </x:c>
      <x:c r="I196" s="70" t="str">
        <x:v>外部考核＋内部评估依学科及guide版本而异</x:v>
      </x:c>
      <x:c r="J196" s="72" t="str">
        <x:v>112752</x:v>
      </x:c>
      <x:c r="K196" s="70" t="str">
        <x:v>IB官方2026科目表；具体guide/首末考季另核</x:v>
      </x:c>
      <x:c r="L196" s="73" t="n">
        <x:v>1950</x:v>
      </x:c>
      <x:c r="M196" s="70" t="str">
        <x:v>SL与HL为不同课程层级；同subject code不能静默合并；语言A/B/ab initio及历史HL地区选项分别记录。 目录层条目；未预填并不代表没有考试/实践/校评。</x:v>
      </x:c>
      <x:c r="N196" s="70" t="str">
        <x:v>V3-IBDP</x:v>
      </x:c>
    </x:row>
    <x:row r="197" ht="64" customHeight="1">
      <x:c r="A197" s="71" t="str">
        <x:v>C196</x:v>
      </x:c>
      <x:c r="B197" s="70" t="str">
        <x:v>S021</x:v>
      </x:c>
      <x:c r="C197" s="70" t="str">
        <x:v>IB DP Japanese A: Language and Literature SL</x:v>
      </x:c>
      <x:c r="D197" s="70" t="str">
        <x:v>IB DP Japanese A: Language and Literature SL</x:v>
      </x:c>
      <x:c r="E197" s="70" t="str">
        <x:v>International Baccalaureate</x:v>
      </x:c>
      <x:c r="F197" s="70" t="str">
        <x:v>IB Diploma Programme</x:v>
      </x:c>
      <x:c r="G197" s="70" t="str">
        <x:v>国际</x:v>
      </x:c>
      <x:c r="H197" s="70" t="str">
        <x:v>整门课程</x:v>
      </x:c>
      <x:c r="I197" s="70" t="str">
        <x:v>外部考核＋内部评估依学科及guide版本而异</x:v>
      </x:c>
      <x:c r="J197" s="72" t="str">
        <x:v>128711</x:v>
      </x:c>
      <x:c r="K197" s="70" t="str">
        <x:v>IB官方2026科目表；具体guide/首末考季另核</x:v>
      </x:c>
      <x:c r="L197" s="73" t="n">
        <x:v>1960</x:v>
      </x:c>
      <x:c r="M197" s="70" t="str">
        <x:v>SL与HL为不同课程层级；同subject code不能静默合并；语言A/B/ab initio及历史HL地区选项分别记录。 目录层条目；未预填并不代表没有考试/实践/校评。</x:v>
      </x:c>
      <x:c r="N197" s="70" t="str">
        <x:v>V3-IBDP</x:v>
      </x:c>
    </x:row>
    <x:row r="198" ht="64" customHeight="1">
      <x:c r="A198" s="71" t="str">
        <x:v>C197</x:v>
      </x:c>
      <x:c r="B198" s="70" t="str">
        <x:v>S021</x:v>
      </x:c>
      <x:c r="C198" s="70" t="str">
        <x:v>IB DP Japanese A: Language and Literature HL</x:v>
      </x:c>
      <x:c r="D198" s="70" t="str">
        <x:v>IB DP Japanese A: Language and Literature HL</x:v>
      </x:c>
      <x:c r="E198" s="70" t="str">
        <x:v>International Baccalaureate</x:v>
      </x:c>
      <x:c r="F198" s="70" t="str">
        <x:v>IB Diploma Programme</x:v>
      </x:c>
      <x:c r="G198" s="70" t="str">
        <x:v>国际</x:v>
      </x:c>
      <x:c r="H198" s="70" t="str">
        <x:v>整门课程</x:v>
      </x:c>
      <x:c r="I198" s="70" t="str">
        <x:v>外部考核＋内部评估依学科及guide版本而异</x:v>
      </x:c>
      <x:c r="J198" s="72" t="str">
        <x:v>128711</x:v>
      </x:c>
      <x:c r="K198" s="70" t="str">
        <x:v>IB官方2026科目表；具体guide/首末考季另核</x:v>
      </x:c>
      <x:c r="L198" s="73" t="n">
        <x:v>1970</x:v>
      </x:c>
      <x:c r="M198" s="70" t="str">
        <x:v>SL与HL为不同课程层级；同subject code不能静默合并；语言A/B/ab initio及历史HL地区选项分别记录。 目录层条目；未预填并不代表没有考试/实践/校评。</x:v>
      </x:c>
      <x:c r="N198" s="70" t="str">
        <x:v>V3-IBDP</x:v>
      </x:c>
    </x:row>
    <x:row r="199" ht="64" customHeight="1">
      <x:c r="A199" s="71" t="str">
        <x:v>C198</x:v>
      </x:c>
      <x:c r="B199" s="70" t="str">
        <x:v>S021</x:v>
      </x:c>
      <x:c r="C199" s="70" t="str">
        <x:v>IB DP Japanese A: Literature SL</x:v>
      </x:c>
      <x:c r="D199" s="70" t="str">
        <x:v>IB DP Japanese A: Literature SL</x:v>
      </x:c>
      <x:c r="E199" s="70" t="str">
        <x:v>International Baccalaureate</x:v>
      </x:c>
      <x:c r="F199" s="70" t="str">
        <x:v>IB Diploma Programme</x:v>
      </x:c>
      <x:c r="G199" s="70" t="str">
        <x:v>国际</x:v>
      </x:c>
      <x:c r="H199" s="70" t="str">
        <x:v>整门课程</x:v>
      </x:c>
      <x:c r="I199" s="70" t="str">
        <x:v>外部考核＋内部评估依学科及guide版本而异</x:v>
      </x:c>
      <x:c r="J199" s="72" t="str">
        <x:v>112743</x:v>
      </x:c>
      <x:c r="K199" s="70" t="str">
        <x:v>IB官方2026科目表；具体guide/首末考季另核</x:v>
      </x:c>
      <x:c r="L199" s="73" t="n">
        <x:v>1980</x:v>
      </x:c>
      <x:c r="M199" s="70" t="str">
        <x:v>SL与HL为不同课程层级；同subject code不能静默合并；语言A/B/ab initio及历史HL地区选项分别记录。 目录层条目；未预填并不代表没有考试/实践/校评。</x:v>
      </x:c>
      <x:c r="N199" s="70" t="str">
        <x:v>V3-IBDP</x:v>
      </x:c>
    </x:row>
    <x:row r="200" ht="64" customHeight="1">
      <x:c r="A200" s="71" t="str">
        <x:v>C199</x:v>
      </x:c>
      <x:c r="B200" s="70" t="str">
        <x:v>S021</x:v>
      </x:c>
      <x:c r="C200" s="70" t="str">
        <x:v>IB DP Japanese A: Literature HL</x:v>
      </x:c>
      <x:c r="D200" s="70" t="str">
        <x:v>IB DP Japanese A: Literature HL</x:v>
      </x:c>
      <x:c r="E200" s="70" t="str">
        <x:v>International Baccalaureate</x:v>
      </x:c>
      <x:c r="F200" s="70" t="str">
        <x:v>IB Diploma Programme</x:v>
      </x:c>
      <x:c r="G200" s="70" t="str">
        <x:v>国际</x:v>
      </x:c>
      <x:c r="H200" s="70" t="str">
        <x:v>整门课程</x:v>
      </x:c>
      <x:c r="I200" s="70" t="str">
        <x:v>外部考核＋内部评估依学科及guide版本而异</x:v>
      </x:c>
      <x:c r="J200" s="72" t="str">
        <x:v>112743</x:v>
      </x:c>
      <x:c r="K200" s="70" t="str">
        <x:v>IB官方2026科目表；具体guide/首末考季另核</x:v>
      </x:c>
      <x:c r="L200" s="73" t="n">
        <x:v>1990</x:v>
      </x:c>
      <x:c r="M200" s="70" t="str">
        <x:v>SL与HL为不同课程层级；同subject code不能静默合并；语言A/B/ab initio及历史HL地区选项分别记录。 目录层条目；未预填并不代表没有考试/实践/校评。</x:v>
      </x:c>
      <x:c r="N200" s="70" t="str">
        <x:v>V3-IBDP</x:v>
      </x:c>
    </x:row>
    <x:row r="201" ht="64" customHeight="1">
      <x:c r="A201" s="71" t="str">
        <x:v>C200</x:v>
      </x:c>
      <x:c r="B201" s="70" t="str">
        <x:v>S022</x:v>
      </x:c>
      <x:c r="C201" s="70" t="str">
        <x:v>IB DP Korean A: Language and Literature SL</x:v>
      </x:c>
      <x:c r="D201" s="70" t="str">
        <x:v>IB DP Korean A: Language and Literature SL</x:v>
      </x:c>
      <x:c r="E201" s="70" t="str">
        <x:v>International Baccalaureate</x:v>
      </x:c>
      <x:c r="F201" s="70" t="str">
        <x:v>IB Diploma Programme</x:v>
      </x:c>
      <x:c r="G201" s="70" t="str">
        <x:v>国际</x:v>
      </x:c>
      <x:c r="H201" s="70" t="str">
        <x:v>整门课程</x:v>
      </x:c>
      <x:c r="I201" s="70" t="str">
        <x:v>外部考核＋内部评估依学科及guide版本而异</x:v>
      </x:c>
      <x:c r="J201" s="72" t="str">
        <x:v>115715</x:v>
      </x:c>
      <x:c r="K201" s="70" t="str">
        <x:v>IB官方2026科目表；具体guide/首末考季另核</x:v>
      </x:c>
      <x:c r="L201" s="73" t="n">
        <x:v>2000</x:v>
      </x:c>
      <x:c r="M201" s="70" t="str">
        <x:v>SL与HL为不同课程层级；同subject code不能静默合并；语言A/B/ab initio及历史HL地区选项分别记录。 目录层条目；未预填并不代表没有考试/实践/校评。</x:v>
      </x:c>
      <x:c r="N201" s="70" t="str">
        <x:v>V3-IBDP</x:v>
      </x:c>
    </x:row>
    <x:row r="202" ht="64" customHeight="1">
      <x:c r="A202" s="71" t="str">
        <x:v>C201</x:v>
      </x:c>
      <x:c r="B202" s="70" t="str">
        <x:v>S022</x:v>
      </x:c>
      <x:c r="C202" s="70" t="str">
        <x:v>IB DP Korean A: Language and Literature HL</x:v>
      </x:c>
      <x:c r="D202" s="70" t="str">
        <x:v>IB DP Korean A: Language and Literature HL</x:v>
      </x:c>
      <x:c r="E202" s="70" t="str">
        <x:v>International Baccalaureate</x:v>
      </x:c>
      <x:c r="F202" s="70" t="str">
        <x:v>IB Diploma Programme</x:v>
      </x:c>
      <x:c r="G202" s="70" t="str">
        <x:v>国际</x:v>
      </x:c>
      <x:c r="H202" s="70" t="str">
        <x:v>整门课程</x:v>
      </x:c>
      <x:c r="I202" s="70" t="str">
        <x:v>外部考核＋内部评估依学科及guide版本而异</x:v>
      </x:c>
      <x:c r="J202" s="72" t="str">
        <x:v>115715</x:v>
      </x:c>
      <x:c r="K202" s="70" t="str">
        <x:v>IB官方2026科目表；具体guide/首末考季另核</x:v>
      </x:c>
      <x:c r="L202" s="73" t="n">
        <x:v>2010</x:v>
      </x:c>
      <x:c r="M202" s="70" t="str">
        <x:v>SL与HL为不同课程层级；同subject code不能静默合并；语言A/B/ab initio及历史HL地区选项分别记录。 目录层条目；未预填并不代表没有考试/实践/校评。</x:v>
      </x:c>
      <x:c r="N202" s="70" t="str">
        <x:v>V3-IBDP</x:v>
      </x:c>
    </x:row>
    <x:row r="203" ht="64" customHeight="1">
      <x:c r="A203" s="71" t="str">
        <x:v>C202</x:v>
      </x:c>
      <x:c r="B203" s="70" t="str">
        <x:v>S022</x:v>
      </x:c>
      <x:c r="C203" s="70" t="str">
        <x:v>IB DP Korean A: Literature SL</x:v>
      </x:c>
      <x:c r="D203" s="70" t="str">
        <x:v>IB DP Korean A: Literature SL</x:v>
      </x:c>
      <x:c r="E203" s="70" t="str">
        <x:v>International Baccalaureate</x:v>
      </x:c>
      <x:c r="F203" s="70" t="str">
        <x:v>IB Diploma Programme</x:v>
      </x:c>
      <x:c r="G203" s="70" t="str">
        <x:v>国际</x:v>
      </x:c>
      <x:c r="H203" s="70" t="str">
        <x:v>整门课程</x:v>
      </x:c>
      <x:c r="I203" s="70" t="str">
        <x:v>外部考核＋内部评估依学科及guide版本而异</x:v>
      </x:c>
      <x:c r="J203" s="72" t="str">
        <x:v>112744</x:v>
      </x:c>
      <x:c r="K203" s="70" t="str">
        <x:v>IB官方2026科目表；具体guide/首末考季另核</x:v>
      </x:c>
      <x:c r="L203" s="73" t="n">
        <x:v>2020</x:v>
      </x:c>
      <x:c r="M203" s="70" t="str">
        <x:v>SL与HL为不同课程层级；同subject code不能静默合并；语言A/B/ab initio及历史HL地区选项分别记录。 目录层条目；未预填并不代表没有考试/实践/校评。</x:v>
      </x:c>
      <x:c r="N203" s="70" t="str">
        <x:v>V3-IBDP</x:v>
      </x:c>
    </x:row>
    <x:row r="204" ht="64" customHeight="1">
      <x:c r="A204" s="71" t="str">
        <x:v>C203</x:v>
      </x:c>
      <x:c r="B204" s="70" t="str">
        <x:v>S022</x:v>
      </x:c>
      <x:c r="C204" s="70" t="str">
        <x:v>IB DP Korean A: Literature HL</x:v>
      </x:c>
      <x:c r="D204" s="70" t="str">
        <x:v>IB DP Korean A: Literature HL</x:v>
      </x:c>
      <x:c r="E204" s="70" t="str">
        <x:v>International Baccalaureate</x:v>
      </x:c>
      <x:c r="F204" s="70" t="str">
        <x:v>IB Diploma Programme</x:v>
      </x:c>
      <x:c r="G204" s="70" t="str">
        <x:v>国际</x:v>
      </x:c>
      <x:c r="H204" s="70" t="str">
        <x:v>整门课程</x:v>
      </x:c>
      <x:c r="I204" s="70" t="str">
        <x:v>外部考核＋内部评估依学科及guide版本而异</x:v>
      </x:c>
      <x:c r="J204" s="72" t="str">
        <x:v>112744</x:v>
      </x:c>
      <x:c r="K204" s="70" t="str">
        <x:v>IB官方2026科目表；具体guide/首末考季另核</x:v>
      </x:c>
      <x:c r="L204" s="73" t="n">
        <x:v>2030</x:v>
      </x:c>
      <x:c r="M204" s="70" t="str">
        <x:v>SL与HL为不同课程层级；同subject code不能静默合并；语言A/B/ab initio及历史HL地区选项分别记录。 目录层条目；未预填并不代表没有考试/实践/校评。</x:v>
      </x:c>
      <x:c r="N204" s="70" t="str">
        <x:v>V3-IBDP</x:v>
      </x:c>
    </x:row>
    <x:row r="205" ht="64" customHeight="1">
      <x:c r="A205" s="71" t="str">
        <x:v>C204</x:v>
      </x:c>
      <x:c r="B205" s="70" t="str">
        <x:v>S015</x:v>
      </x:c>
      <x:c r="C205" s="70" t="str">
        <x:v>IB DP Arabic A: Language and Literature SL</x:v>
      </x:c>
      <x:c r="D205" s="70" t="str">
        <x:v>IB DP Arabic A: Language and Literature SL</x:v>
      </x:c>
      <x:c r="E205" s="70" t="str">
        <x:v>International Baccalaureate</x:v>
      </x:c>
      <x:c r="F205" s="70" t="str">
        <x:v>IB Diploma Programme</x:v>
      </x:c>
      <x:c r="G205" s="70" t="str">
        <x:v>国际</x:v>
      </x:c>
      <x:c r="H205" s="70" t="str">
        <x:v>整门课程</x:v>
      </x:c>
      <x:c r="I205" s="70" t="str">
        <x:v>外部考核＋内部评估依学科及guide版本而异</x:v>
      </x:c>
      <x:c r="J205" s="72" t="str">
        <x:v>112739</x:v>
      </x:c>
      <x:c r="K205" s="70" t="str">
        <x:v>IB官方2026科目表；具体guide/首末考季另核</x:v>
      </x:c>
      <x:c r="L205" s="73" t="n">
        <x:v>2040</x:v>
      </x:c>
      <x:c r="M205" s="70" t="str">
        <x:v>SL与HL为不同课程层级；同subject code不能静默合并；语言A/B/ab initio及历史HL地区选项分别记录。 目录层条目；未预填并不代表没有考试/实践/校评。</x:v>
      </x:c>
      <x:c r="N205" s="70" t="str">
        <x:v>V3-IBDP</x:v>
      </x:c>
    </x:row>
    <x:row r="206" ht="64" customHeight="1">
      <x:c r="A206" s="71" t="str">
        <x:v>C205</x:v>
      </x:c>
      <x:c r="B206" s="70" t="str">
        <x:v>S015</x:v>
      </x:c>
      <x:c r="C206" s="70" t="str">
        <x:v>IB DP Arabic A: Language and Literature HL</x:v>
      </x:c>
      <x:c r="D206" s="70" t="str">
        <x:v>IB DP Arabic A: Language and Literature HL</x:v>
      </x:c>
      <x:c r="E206" s="70" t="str">
        <x:v>International Baccalaureate</x:v>
      </x:c>
      <x:c r="F206" s="70" t="str">
        <x:v>IB Diploma Programme</x:v>
      </x:c>
      <x:c r="G206" s="70" t="str">
        <x:v>国际</x:v>
      </x:c>
      <x:c r="H206" s="70" t="str">
        <x:v>整门课程</x:v>
      </x:c>
      <x:c r="I206" s="70" t="str">
        <x:v>外部考核＋内部评估依学科及guide版本而异</x:v>
      </x:c>
      <x:c r="J206" s="72" t="str">
        <x:v>112739</x:v>
      </x:c>
      <x:c r="K206" s="70" t="str">
        <x:v>IB官方2026科目表；具体guide/首末考季另核</x:v>
      </x:c>
      <x:c r="L206" s="73" t="n">
        <x:v>2050</x:v>
      </x:c>
      <x:c r="M206" s="70" t="str">
        <x:v>SL与HL为不同课程层级；同subject code不能静默合并；语言A/B/ab initio及历史HL地区选项分别记录。 目录层条目；未预填并不代表没有考试/实践/校评。</x:v>
      </x:c>
      <x:c r="N206" s="70" t="str">
        <x:v>V3-IBDP</x:v>
      </x:c>
    </x:row>
    <x:row r="207" ht="64" customHeight="1">
      <x:c r="A207" s="71" t="str">
        <x:v>C206</x:v>
      </x:c>
      <x:c r="B207" s="70" t="str">
        <x:v>S015</x:v>
      </x:c>
      <x:c r="C207" s="70" t="str">
        <x:v>IB DP Arabic A: Literature SL</x:v>
      </x:c>
      <x:c r="D207" s="70" t="str">
        <x:v>IB DP Arabic A: Literature SL</x:v>
      </x:c>
      <x:c r="E207" s="70" t="str">
        <x:v>International Baccalaureate</x:v>
      </x:c>
      <x:c r="F207" s="70" t="str">
        <x:v>IB Diploma Programme</x:v>
      </x:c>
      <x:c r="G207" s="70" t="str">
        <x:v>国际</x:v>
      </x:c>
      <x:c r="H207" s="70" t="str">
        <x:v>整门课程</x:v>
      </x:c>
      <x:c r="I207" s="70" t="str">
        <x:v>外部考核＋内部评估依学科及guide版本而异</x:v>
      </x:c>
      <x:c r="J207" s="72" t="str">
        <x:v>112721</x:v>
      </x:c>
      <x:c r="K207" s="70" t="str">
        <x:v>IB官方2026科目表；具体guide/首末考季另核</x:v>
      </x:c>
      <x:c r="L207" s="73" t="n">
        <x:v>2060</x:v>
      </x:c>
      <x:c r="M207" s="70" t="str">
        <x:v>SL与HL为不同课程层级；同subject code不能静默合并；语言A/B/ab initio及历史HL地区选项分别记录。 目录层条目；未预填并不代表没有考试/实践/校评。</x:v>
      </x:c>
      <x:c r="N207" s="70" t="str">
        <x:v>V3-IBDP</x:v>
      </x:c>
    </x:row>
    <x:row r="208" ht="64" customHeight="1">
      <x:c r="A208" s="71" t="str">
        <x:v>C207</x:v>
      </x:c>
      <x:c r="B208" s="70" t="str">
        <x:v>S015</x:v>
      </x:c>
      <x:c r="C208" s="70" t="str">
        <x:v>IB DP Arabic A: Literature HL</x:v>
      </x:c>
      <x:c r="D208" s="70" t="str">
        <x:v>IB DP Arabic A: Literature HL</x:v>
      </x:c>
      <x:c r="E208" s="70" t="str">
        <x:v>International Baccalaureate</x:v>
      </x:c>
      <x:c r="F208" s="70" t="str">
        <x:v>IB Diploma Programme</x:v>
      </x:c>
      <x:c r="G208" s="70" t="str">
        <x:v>国际</x:v>
      </x:c>
      <x:c r="H208" s="70" t="str">
        <x:v>整门课程</x:v>
      </x:c>
      <x:c r="I208" s="70" t="str">
        <x:v>外部考核＋内部评估依学科及guide版本而异</x:v>
      </x:c>
      <x:c r="J208" s="72" t="str">
        <x:v>112721</x:v>
      </x:c>
      <x:c r="K208" s="70" t="str">
        <x:v>IB官方2026科目表；具体guide/首末考季另核</x:v>
      </x:c>
      <x:c r="L208" s="73" t="n">
        <x:v>2070</x:v>
      </x:c>
      <x:c r="M208" s="70" t="str">
        <x:v>SL与HL为不同课程层级；同subject code不能静默合并；语言A/B/ab initio及历史HL地区选项分别记录。 目录层条目；未预填并不代表没有考试/实践/校评。</x:v>
      </x:c>
      <x:c r="N208" s="70" t="str">
        <x:v>V3-IBDP</x:v>
      </x:c>
    </x:row>
    <x:row r="209" ht="64" customHeight="1">
      <x:c r="A209" s="71" t="str">
        <x:v>C208</x:v>
      </x:c>
      <x:c r="B209" s="70" t="str">
        <x:v>S023</x:v>
      </x:c>
      <x:c r="C209" s="70" t="str">
        <x:v>IB DP Italian A: Language and Literature SL</x:v>
      </x:c>
      <x:c r="D209" s="70" t="str">
        <x:v>IB DP Italian A: Language and Literature SL</x:v>
      </x:c>
      <x:c r="E209" s="70" t="str">
        <x:v>International Baccalaureate</x:v>
      </x:c>
      <x:c r="F209" s="70" t="str">
        <x:v>IB Diploma Programme</x:v>
      </x:c>
      <x:c r="G209" s="70" t="str">
        <x:v>国际</x:v>
      </x:c>
      <x:c r="H209" s="70" t="str">
        <x:v>整门课程</x:v>
      </x:c>
      <x:c r="I209" s="70" t="str">
        <x:v>外部考核＋内部评估依学科及guide版本而异</x:v>
      </x:c>
      <x:c r="J209" s="72" t="str">
        <x:v>112838</x:v>
      </x:c>
      <x:c r="K209" s="70" t="str">
        <x:v>IB官方2026科目表；具体guide/首末考季另核</x:v>
      </x:c>
      <x:c r="L209" s="73" t="n">
        <x:v>2080</x:v>
      </x:c>
      <x:c r="M209" s="70" t="str">
        <x:v>SL与HL为不同课程层级；同subject code不能静默合并；语言A/B/ab initio及历史HL地区选项分别记录。 目录层条目；未预填并不代表没有考试/实践/校评。</x:v>
      </x:c>
      <x:c r="N209" s="70" t="str">
        <x:v>V3-IBDP</x:v>
      </x:c>
    </x:row>
    <x:row r="210" ht="64" customHeight="1">
      <x:c r="A210" s="71" t="str">
        <x:v>C209</x:v>
      </x:c>
      <x:c r="B210" s="70" t="str">
        <x:v>S023</x:v>
      </x:c>
      <x:c r="C210" s="70" t="str">
        <x:v>IB DP Italian A: Language and Literature HL</x:v>
      </x:c>
      <x:c r="D210" s="70" t="str">
        <x:v>IB DP Italian A: Language and Literature HL</x:v>
      </x:c>
      <x:c r="E210" s="70" t="str">
        <x:v>International Baccalaureate</x:v>
      </x:c>
      <x:c r="F210" s="70" t="str">
        <x:v>IB Diploma Programme</x:v>
      </x:c>
      <x:c r="G210" s="70" t="str">
        <x:v>国际</x:v>
      </x:c>
      <x:c r="H210" s="70" t="str">
        <x:v>整门课程</x:v>
      </x:c>
      <x:c r="I210" s="70" t="str">
        <x:v>外部考核＋内部评估依学科及guide版本而异</x:v>
      </x:c>
      <x:c r="J210" s="72" t="str">
        <x:v>112838</x:v>
      </x:c>
      <x:c r="K210" s="70" t="str">
        <x:v>IB官方2026科目表；具体guide/首末考季另核</x:v>
      </x:c>
      <x:c r="L210" s="73" t="n">
        <x:v>2090</x:v>
      </x:c>
      <x:c r="M210" s="70" t="str">
        <x:v>SL与HL为不同课程层级；同subject code不能静默合并；语言A/B/ab initio及历史HL地区选项分别记录。 目录层条目；未预填并不代表没有考试/实践/校评。</x:v>
      </x:c>
      <x:c r="N210" s="70" t="str">
        <x:v>V3-IBDP</x:v>
      </x:c>
    </x:row>
    <x:row r="211" ht="64" customHeight="1">
      <x:c r="A211" s="71" t="str">
        <x:v>C210</x:v>
      </x:c>
      <x:c r="B211" s="70" t="str">
        <x:v>S023</x:v>
      </x:c>
      <x:c r="C211" s="70" t="str">
        <x:v>IB DP Italian A: Literature SL</x:v>
      </x:c>
      <x:c r="D211" s="70" t="str">
        <x:v>IB DP Italian A: Literature SL</x:v>
      </x:c>
      <x:c r="E211" s="70" t="str">
        <x:v>International Baccalaureate</x:v>
      </x:c>
      <x:c r="F211" s="70" t="str">
        <x:v>IB Diploma Programme</x:v>
      </x:c>
      <x:c r="G211" s="70" t="str">
        <x:v>国际</x:v>
      </x:c>
      <x:c r="H211" s="70" t="str">
        <x:v>整门课程</x:v>
      </x:c>
      <x:c r="I211" s="70" t="str">
        <x:v>外部考核＋内部评估依学科及guide版本而异</x:v>
      </x:c>
      <x:c r="J211" s="72" t="str">
        <x:v>112753</x:v>
      </x:c>
      <x:c r="K211" s="70" t="str">
        <x:v>IB官方2026科目表；具体guide/首末考季另核</x:v>
      </x:c>
      <x:c r="L211" s="73" t="n">
        <x:v>2100</x:v>
      </x:c>
      <x:c r="M211" s="70" t="str">
        <x:v>SL与HL为不同课程层级；同subject code不能静默合并；语言A/B/ab initio及历史HL地区选项分别记录。 目录层条目；未预填并不代表没有考试/实践/校评。</x:v>
      </x:c>
      <x:c r="N211" s="70" t="str">
        <x:v>V3-IBDP</x:v>
      </x:c>
    </x:row>
    <x:row r="212" ht="64" customHeight="1">
      <x:c r="A212" s="71" t="str">
        <x:v>C211</x:v>
      </x:c>
      <x:c r="B212" s="70" t="str">
        <x:v>S023</x:v>
      </x:c>
      <x:c r="C212" s="70" t="str">
        <x:v>IB DP Italian A: Literature HL</x:v>
      </x:c>
      <x:c r="D212" s="70" t="str">
        <x:v>IB DP Italian A: Literature HL</x:v>
      </x:c>
      <x:c r="E212" s="70" t="str">
        <x:v>International Baccalaureate</x:v>
      </x:c>
      <x:c r="F212" s="70" t="str">
        <x:v>IB Diploma Programme</x:v>
      </x:c>
      <x:c r="G212" s="70" t="str">
        <x:v>国际</x:v>
      </x:c>
      <x:c r="H212" s="70" t="str">
        <x:v>整门课程</x:v>
      </x:c>
      <x:c r="I212" s="70" t="str">
        <x:v>外部考核＋内部评估依学科及guide版本而异</x:v>
      </x:c>
      <x:c r="J212" s="72" t="str">
        <x:v>112753</x:v>
      </x:c>
      <x:c r="K212" s="70" t="str">
        <x:v>IB官方2026科目表；具体guide/首末考季另核</x:v>
      </x:c>
      <x:c r="L212" s="73" t="n">
        <x:v>2110</x:v>
      </x:c>
      <x:c r="M212" s="70" t="str">
        <x:v>SL与HL为不同课程层级；同subject code不能静默合并；语言A/B/ab initio及历史HL地区选项分别记录。 目录层条目；未预填并不代表没有考试/实践/校评。</x:v>
      </x:c>
      <x:c r="N212" s="70" t="str">
        <x:v>V3-IBDP</x:v>
      </x:c>
    </x:row>
    <x:row r="213" ht="64" customHeight="1">
      <x:c r="A213" s="71" t="str">
        <x:v>C212</x:v>
      </x:c>
      <x:c r="B213" s="70" t="str">
        <x:v>S028</x:v>
      </x:c>
      <x:c r="C213" s="70" t="str">
        <x:v>IB DP Literature and Performance SL</x:v>
      </x:c>
      <x:c r="D213" s="70" t="str">
        <x:v>IB DP Literature and Performance SL</x:v>
      </x:c>
      <x:c r="E213" s="70" t="str">
        <x:v>International Baccalaureate</x:v>
      </x:c>
      <x:c r="F213" s="70" t="str">
        <x:v>IB Diploma Programme</x:v>
      </x:c>
      <x:c r="G213" s="70" t="str">
        <x:v>国际</x:v>
      </x:c>
      <x:c r="H213" s="70" t="str">
        <x:v>整门课程</x:v>
      </x:c>
      <x:c r="I213" s="70" t="str">
        <x:v>外部考核＋内部评估依学科及guide版本而异</x:v>
      </x:c>
      <x:c r="J213" s="72" t="str">
        <x:v>112845</x:v>
      </x:c>
      <x:c r="K213" s="70" t="str">
        <x:v>IB官方2026科目表；具体guide/首末考季另核</x:v>
      </x:c>
      <x:c r="L213" s="73" t="n">
        <x:v>2120</x:v>
      </x:c>
      <x:c r="M213" s="70" t="str">
        <x:v>SL与HL为不同课程层级；同subject code不能静默合并；语言A/B/ab initio及历史HL地区选项分别记录。 目录层条目；未预填并不代表没有考试/实践/校评。</x:v>
      </x:c>
      <x:c r="N213" s="70" t="str">
        <x:v>V3-IBDP</x:v>
      </x:c>
    </x:row>
    <x:row r="214" ht="64" customHeight="1">
      <x:c r="A214" s="71" t="str">
        <x:v>C213</x:v>
      </x:c>
      <x:c r="B214" s="70" t="str">
        <x:v>S010</x:v>
      </x:c>
      <x:c r="C214" s="70" t="str">
        <x:v>IB DP English B SL</x:v>
      </x:c>
      <x:c r="D214" s="70" t="str">
        <x:v>IB DP English B SL</x:v>
      </x:c>
      <x:c r="E214" s="70" t="str">
        <x:v>International Baccalaureate</x:v>
      </x:c>
      <x:c r="F214" s="70" t="str">
        <x:v>IB Diploma Programme</x:v>
      </x:c>
      <x:c r="G214" s="70" t="str">
        <x:v>国际</x:v>
      </x:c>
      <x:c r="H214" s="70" t="str">
        <x:v>整门课程</x:v>
      </x:c>
      <x:c r="I214" s="70" t="str">
        <x:v>外部考核＋内部评估依学科及guide版本而异</x:v>
      </x:c>
      <x:c r="J214" s="72" t="str">
        <x:v>100179</x:v>
      </x:c>
      <x:c r="K214" s="70" t="str">
        <x:v>IB官方2026科目表；具体guide/首末考季另核</x:v>
      </x:c>
      <x:c r="L214" s="73" t="n">
        <x:v>2130</x:v>
      </x:c>
      <x:c r="M214" s="70" t="str">
        <x:v>SL与HL为不同课程层级；同subject code不能静默合并；语言A/B/ab initio及历史HL地区选项分别记录。 目录层条目；未预填并不代表没有考试/实践/校评。</x:v>
      </x:c>
      <x:c r="N214" s="70" t="str">
        <x:v>V3-IBDP</x:v>
      </x:c>
    </x:row>
    <x:row r="215" ht="64" customHeight="1">
      <x:c r="A215" s="71" t="str">
        <x:v>C214</x:v>
      </x:c>
      <x:c r="B215" s="70" t="str">
        <x:v>S010</x:v>
      </x:c>
      <x:c r="C215" s="70" t="str">
        <x:v>IB DP English B HL</x:v>
      </x:c>
      <x:c r="D215" s="70" t="str">
        <x:v>IB DP English B HL</x:v>
      </x:c>
      <x:c r="E215" s="70" t="str">
        <x:v>International Baccalaureate</x:v>
      </x:c>
      <x:c r="F215" s="70" t="str">
        <x:v>IB Diploma Programme</x:v>
      </x:c>
      <x:c r="G215" s="70" t="str">
        <x:v>国际</x:v>
      </x:c>
      <x:c r="H215" s="70" t="str">
        <x:v>整门课程</x:v>
      </x:c>
      <x:c r="I215" s="70" t="str">
        <x:v>外部考核＋内部评估依学科及guide版本而异</x:v>
      </x:c>
      <x:c r="J215" s="72" t="str">
        <x:v>100179</x:v>
      </x:c>
      <x:c r="K215" s="70" t="str">
        <x:v>IB官方2026科目表；具体guide/首末考季另核</x:v>
      </x:c>
      <x:c r="L215" s="73" t="n">
        <x:v>2140</x:v>
      </x:c>
      <x:c r="M215" s="70" t="str">
        <x:v>SL与HL为不同课程层级；同subject code不能静默合并；语言A/B/ab initio及历史HL地区选项分别记录。 目录层条目；未预填并不代表没有考试/实践/校评。</x:v>
      </x:c>
      <x:c r="N215" s="70" t="str">
        <x:v>V3-IBDP</x:v>
      </x:c>
    </x:row>
    <x:row r="216" ht="64" customHeight="1">
      <x:c r="A216" s="71" t="str">
        <x:v>C215</x:v>
      </x:c>
      <x:c r="B216" s="70" t="str">
        <x:v>S020</x:v>
      </x:c>
      <x:c r="C216" s="70" t="str">
        <x:v>IB DP Chinese B: Mandarin SL</x:v>
      </x:c>
      <x:c r="D216" s="70" t="str">
        <x:v>IB DP Chinese B: Mandarin SL</x:v>
      </x:c>
      <x:c r="E216" s="70" t="str">
        <x:v>International Baccalaureate</x:v>
      </x:c>
      <x:c r="F216" s="70" t="str">
        <x:v>IB Diploma Programme</x:v>
      </x:c>
      <x:c r="G216" s="70" t="str">
        <x:v>国际</x:v>
      </x:c>
      <x:c r="H216" s="70" t="str">
        <x:v>整门课程</x:v>
      </x:c>
      <x:c r="I216" s="70" t="str">
        <x:v>外部考核＋内部评估依学科及guide版本而异</x:v>
      </x:c>
      <x:c r="J216" s="72" t="str">
        <x:v>117711</x:v>
      </x:c>
      <x:c r="K216" s="70" t="str">
        <x:v>IB官方2026科目表；具体guide/首末考季另核</x:v>
      </x:c>
      <x:c r="L216" s="73" t="n">
        <x:v>2150</x:v>
      </x:c>
      <x:c r="M216" s="70" t="str">
        <x:v>SL与HL为不同课程层级；同subject code不能静默合并；语言A/B/ab initio及历史HL地区选项分别记录。 目录层条目；未预填并不代表没有考试/实践/校评。</x:v>
      </x:c>
      <x:c r="N216" s="70" t="str">
        <x:v>V3-IBDP</x:v>
      </x:c>
    </x:row>
    <x:row r="217" ht="64" customHeight="1">
      <x:c r="A217" s="71" t="str">
        <x:v>C216</x:v>
      </x:c>
      <x:c r="B217" s="70" t="str">
        <x:v>S020</x:v>
      </x:c>
      <x:c r="C217" s="70" t="str">
        <x:v>IB DP Chinese B: Mandarin HL</x:v>
      </x:c>
      <x:c r="D217" s="70" t="str">
        <x:v>IB DP Chinese B: Mandarin HL</x:v>
      </x:c>
      <x:c r="E217" s="70" t="str">
        <x:v>International Baccalaureate</x:v>
      </x:c>
      <x:c r="F217" s="70" t="str">
        <x:v>IB Diploma Programme</x:v>
      </x:c>
      <x:c r="G217" s="70" t="str">
        <x:v>国际</x:v>
      </x:c>
      <x:c r="H217" s="70" t="str">
        <x:v>整门课程</x:v>
      </x:c>
      <x:c r="I217" s="70" t="str">
        <x:v>外部考核＋内部评估依学科及guide版本而异</x:v>
      </x:c>
      <x:c r="J217" s="72" t="str">
        <x:v>117711</x:v>
      </x:c>
      <x:c r="K217" s="70" t="str">
        <x:v>IB官方2026科目表；具体guide/首末考季另核</x:v>
      </x:c>
      <x:c r="L217" s="73" t="n">
        <x:v>2160</x:v>
      </x:c>
      <x:c r="M217" s="70" t="str">
        <x:v>SL与HL为不同课程层级；同subject code不能静默合并；语言A/B/ab initio及历史HL地区选项分别记录。 目录层条目；未预填并不代表没有考试/实践/校评。</x:v>
      </x:c>
      <x:c r="N217" s="70" t="str">
        <x:v>V3-IBDP</x:v>
      </x:c>
    </x:row>
    <x:row r="218" ht="64" customHeight="1">
      <x:c r="A218" s="71" t="str">
        <x:v>C217</x:v>
      </x:c>
      <x:c r="B218" s="70" t="str">
        <x:v>S020</x:v>
      </x:c>
      <x:c r="C218" s="70" t="str">
        <x:v>IB DP Chinese B: Cantonese SL</x:v>
      </x:c>
      <x:c r="D218" s="70" t="str">
        <x:v>IB DP Chinese B: Cantonese SL</x:v>
      </x:c>
      <x:c r="E218" s="70" t="str">
        <x:v>International Baccalaureate</x:v>
      </x:c>
      <x:c r="F218" s="70" t="str">
        <x:v>IB Diploma Programme</x:v>
      </x:c>
      <x:c r="G218" s="70" t="str">
        <x:v>国际</x:v>
      </x:c>
      <x:c r="H218" s="70" t="str">
        <x:v>整门课程</x:v>
      </x:c>
      <x:c r="I218" s="70" t="str">
        <x:v>外部考核＋内部评估依学科及guide版本而异</x:v>
      </x:c>
      <x:c r="J218" s="72" t="str">
        <x:v>117712</x:v>
      </x:c>
      <x:c r="K218" s="70" t="str">
        <x:v>IB官方2026科目表；具体guide/首末考季另核</x:v>
      </x:c>
      <x:c r="L218" s="73" t="n">
        <x:v>2170</x:v>
      </x:c>
      <x:c r="M218" s="70" t="str">
        <x:v>SL与HL为不同课程层级；同subject code不能静默合并；语言A/B/ab initio及历史HL地区选项分别记录。 目录层条目；未预填并不代表没有考试/实践/校评。</x:v>
      </x:c>
      <x:c r="N218" s="70" t="str">
        <x:v>V3-IBDP</x:v>
      </x:c>
    </x:row>
    <x:row r="219" ht="64" customHeight="1">
      <x:c r="A219" s="71" t="str">
        <x:v>C218</x:v>
      </x:c>
      <x:c r="B219" s="70" t="str">
        <x:v>S020</x:v>
      </x:c>
      <x:c r="C219" s="70" t="str">
        <x:v>IB DP Chinese B: Cantonese HL</x:v>
      </x:c>
      <x:c r="D219" s="70" t="str">
        <x:v>IB DP Chinese B: Cantonese HL</x:v>
      </x:c>
      <x:c r="E219" s="70" t="str">
        <x:v>International Baccalaureate</x:v>
      </x:c>
      <x:c r="F219" s="70" t="str">
        <x:v>IB Diploma Programme</x:v>
      </x:c>
      <x:c r="G219" s="70" t="str">
        <x:v>国际</x:v>
      </x:c>
      <x:c r="H219" s="70" t="str">
        <x:v>整门课程</x:v>
      </x:c>
      <x:c r="I219" s="70" t="str">
        <x:v>外部考核＋内部评估依学科及guide版本而异</x:v>
      </x:c>
      <x:c r="J219" s="72" t="str">
        <x:v>117712</x:v>
      </x:c>
      <x:c r="K219" s="70" t="str">
        <x:v>IB官方2026科目表；具体guide/首末考季另核</x:v>
      </x:c>
      <x:c r="L219" s="73" t="n">
        <x:v>2180</x:v>
      </x:c>
      <x:c r="M219" s="70" t="str">
        <x:v>SL与HL为不同课程层级；同subject code不能静默合并；语言A/B/ab initio及历史HL地区选项分别记录。 目录层条目；未预填并不代表没有考试/实践/校评。</x:v>
      </x:c>
      <x:c r="N219" s="70" t="str">
        <x:v>V3-IBDP</x:v>
      </x:c>
    </x:row>
    <x:row r="220" ht="64" customHeight="1">
      <x:c r="A220" s="71" t="str">
        <x:v>C219</x:v>
      </x:c>
      <x:c r="B220" s="70" t="str">
        <x:v>S016</x:v>
      </x:c>
      <x:c r="C220" s="70" t="str">
        <x:v>IB DP French B SL</x:v>
      </x:c>
      <x:c r="D220" s="70" t="str">
        <x:v>IB DP French B SL</x:v>
      </x:c>
      <x:c r="E220" s="70" t="str">
        <x:v>International Baccalaureate</x:v>
      </x:c>
      <x:c r="F220" s="70" t="str">
        <x:v>IB Diploma Programme</x:v>
      </x:c>
      <x:c r="G220" s="70" t="str">
        <x:v>国际</x:v>
      </x:c>
      <x:c r="H220" s="70" t="str">
        <x:v>整门课程</x:v>
      </x:c>
      <x:c r="I220" s="70" t="str">
        <x:v>外部考核＋内部评估依学科及guide版本而异</x:v>
      </x:c>
      <x:c r="J220" s="72" t="str">
        <x:v>100214</x:v>
      </x:c>
      <x:c r="K220" s="70" t="str">
        <x:v>IB官方2026科目表；具体guide/首末考季另核</x:v>
      </x:c>
      <x:c r="L220" s="73" t="n">
        <x:v>2190</x:v>
      </x:c>
      <x:c r="M220" s="70" t="str">
        <x:v>SL与HL为不同课程层级；同subject code不能静默合并；语言A/B/ab initio及历史HL地区选项分别记录。 目录层条目；未预填并不代表没有考试/实践/校评。</x:v>
      </x:c>
      <x:c r="N220" s="70" t="str">
        <x:v>V3-IBDP</x:v>
      </x:c>
    </x:row>
    <x:row r="221" ht="64" customHeight="1">
      <x:c r="A221" s="71" t="str">
        <x:v>C220</x:v>
      </x:c>
      <x:c r="B221" s="70" t="str">
        <x:v>S016</x:v>
      </x:c>
      <x:c r="C221" s="70" t="str">
        <x:v>IB DP French B HL</x:v>
      </x:c>
      <x:c r="D221" s="70" t="str">
        <x:v>IB DP French B HL</x:v>
      </x:c>
      <x:c r="E221" s="70" t="str">
        <x:v>International Baccalaureate</x:v>
      </x:c>
      <x:c r="F221" s="70" t="str">
        <x:v>IB Diploma Programme</x:v>
      </x:c>
      <x:c r="G221" s="70" t="str">
        <x:v>国际</x:v>
      </x:c>
      <x:c r="H221" s="70" t="str">
        <x:v>整门课程</x:v>
      </x:c>
      <x:c r="I221" s="70" t="str">
        <x:v>外部考核＋内部评估依学科及guide版本而异</x:v>
      </x:c>
      <x:c r="J221" s="72" t="str">
        <x:v>100214</x:v>
      </x:c>
      <x:c r="K221" s="70" t="str">
        <x:v>IB官方2026科目表；具体guide/首末考季另核</x:v>
      </x:c>
      <x:c r="L221" s="73" t="n">
        <x:v>2200</x:v>
      </x:c>
      <x:c r="M221" s="70" t="str">
        <x:v>SL与HL为不同课程层级；同subject code不能静默合并；语言A/B/ab initio及历史HL地区选项分别记录。 目录层条目；未预填并不代表没有考试/实践/校评。</x:v>
      </x:c>
      <x:c r="N221" s="70" t="str">
        <x:v>V3-IBDP</x:v>
      </x:c>
    </x:row>
    <x:row r="222" ht="64" customHeight="1">
      <x:c r="A222" s="71" t="str">
        <x:v>C221</x:v>
      </x:c>
      <x:c r="B222" s="70" t="str">
        <x:v>S017</x:v>
      </x:c>
      <x:c r="C222" s="70" t="str">
        <x:v>IB DP German B SL</x:v>
      </x:c>
      <x:c r="D222" s="70" t="str">
        <x:v>IB DP German B SL</x:v>
      </x:c>
      <x:c r="E222" s="70" t="str">
        <x:v>International Baccalaureate</x:v>
      </x:c>
      <x:c r="F222" s="70" t="str">
        <x:v>IB Diploma Programme</x:v>
      </x:c>
      <x:c r="G222" s="70" t="str">
        <x:v>国际</x:v>
      </x:c>
      <x:c r="H222" s="70" t="str">
        <x:v>整门课程</x:v>
      </x:c>
      <x:c r="I222" s="70" t="str">
        <x:v>外部考核＋内部评估依学科及guide版本而异</x:v>
      </x:c>
      <x:c r="J222" s="72" t="str">
        <x:v>100231</x:v>
      </x:c>
      <x:c r="K222" s="70" t="str">
        <x:v>IB官方2026科目表；具体guide/首末考季另核</x:v>
      </x:c>
      <x:c r="L222" s="73" t="n">
        <x:v>2210</x:v>
      </x:c>
      <x:c r="M222" s="70" t="str">
        <x:v>SL与HL为不同课程层级；同subject code不能静默合并；语言A/B/ab initio及历史HL地区选项分别记录。 目录层条目；未预填并不代表没有考试/实践/校评。</x:v>
      </x:c>
      <x:c r="N222" s="70" t="str">
        <x:v>V3-IBDP</x:v>
      </x:c>
    </x:row>
    <x:row r="223" ht="64" customHeight="1">
      <x:c r="A223" s="71" t="str">
        <x:v>C222</x:v>
      </x:c>
      <x:c r="B223" s="70" t="str">
        <x:v>S017</x:v>
      </x:c>
      <x:c r="C223" s="70" t="str">
        <x:v>IB DP German B HL</x:v>
      </x:c>
      <x:c r="D223" s="70" t="str">
        <x:v>IB DP German B HL</x:v>
      </x:c>
      <x:c r="E223" s="70" t="str">
        <x:v>International Baccalaureate</x:v>
      </x:c>
      <x:c r="F223" s="70" t="str">
        <x:v>IB Diploma Programme</x:v>
      </x:c>
      <x:c r="G223" s="70" t="str">
        <x:v>国际</x:v>
      </x:c>
      <x:c r="H223" s="70" t="str">
        <x:v>整门课程</x:v>
      </x:c>
      <x:c r="I223" s="70" t="str">
        <x:v>外部考核＋内部评估依学科及guide版本而异</x:v>
      </x:c>
      <x:c r="J223" s="72" t="str">
        <x:v>100231</x:v>
      </x:c>
      <x:c r="K223" s="70" t="str">
        <x:v>IB官方2026科目表；具体guide/首末考季另核</x:v>
      </x:c>
      <x:c r="L223" s="73" t="n">
        <x:v>2220</x:v>
      </x:c>
      <x:c r="M223" s="70" t="str">
        <x:v>SL与HL为不同课程层级；同subject code不能静默合并；语言A/B/ab initio及历史HL地区选项分别记录。 目录层条目；未预填并不代表没有考试/实践/校评。</x:v>
      </x:c>
      <x:c r="N223" s="70" t="str">
        <x:v>V3-IBDP</x:v>
      </x:c>
    </x:row>
    <x:row r="224" ht="64" customHeight="1">
      <x:c r="A224" s="71" t="str">
        <x:v>C223</x:v>
      </x:c>
      <x:c r="B224" s="70" t="str">
        <x:v>S018</x:v>
      </x:c>
      <x:c r="C224" s="70" t="str">
        <x:v>IB DP Spanish B SL</x:v>
      </x:c>
      <x:c r="D224" s="70" t="str">
        <x:v>IB DP Spanish B SL</x:v>
      </x:c>
      <x:c r="E224" s="70" t="str">
        <x:v>International Baccalaureate</x:v>
      </x:c>
      <x:c r="F224" s="70" t="str">
        <x:v>IB Diploma Programme</x:v>
      </x:c>
      <x:c r="G224" s="70" t="str">
        <x:v>国际</x:v>
      </x:c>
      <x:c r="H224" s="70" t="str">
        <x:v>整门课程</x:v>
      </x:c>
      <x:c r="I224" s="70" t="str">
        <x:v>外部考核＋内部评估依学科及guide版本而异</x:v>
      </x:c>
      <x:c r="J224" s="72" t="str">
        <x:v>100543</x:v>
      </x:c>
      <x:c r="K224" s="70" t="str">
        <x:v>IB官方2026科目表；具体guide/首末考季另核</x:v>
      </x:c>
      <x:c r="L224" s="73" t="n">
        <x:v>2230</x:v>
      </x:c>
      <x:c r="M224" s="70" t="str">
        <x:v>SL与HL为不同课程层级；同subject code不能静默合并；语言A/B/ab initio及历史HL地区选项分别记录。 目录层条目；未预填并不代表没有考试/实践/校评。</x:v>
      </x:c>
      <x:c r="N224" s="70" t="str">
        <x:v>V3-IBDP</x:v>
      </x:c>
    </x:row>
    <x:row r="225" ht="64" customHeight="1">
      <x:c r="A225" s="71" t="str">
        <x:v>C224</x:v>
      </x:c>
      <x:c r="B225" s="70" t="str">
        <x:v>S018</x:v>
      </x:c>
      <x:c r="C225" s="70" t="str">
        <x:v>IB DP Spanish B HL</x:v>
      </x:c>
      <x:c r="D225" s="70" t="str">
        <x:v>IB DP Spanish B HL</x:v>
      </x:c>
      <x:c r="E225" s="70" t="str">
        <x:v>International Baccalaureate</x:v>
      </x:c>
      <x:c r="F225" s="70" t="str">
        <x:v>IB Diploma Programme</x:v>
      </x:c>
      <x:c r="G225" s="70" t="str">
        <x:v>国际</x:v>
      </x:c>
      <x:c r="H225" s="70" t="str">
        <x:v>整门课程</x:v>
      </x:c>
      <x:c r="I225" s="70" t="str">
        <x:v>外部考核＋内部评估依学科及guide版本而异</x:v>
      </x:c>
      <x:c r="J225" s="72" t="str">
        <x:v>100543</x:v>
      </x:c>
      <x:c r="K225" s="70" t="str">
        <x:v>IB官方2026科目表；具体guide/首末考季另核</x:v>
      </x:c>
      <x:c r="L225" s="73" t="n">
        <x:v>2240</x:v>
      </x:c>
      <x:c r="M225" s="70" t="str">
        <x:v>SL与HL为不同课程层级；同subject code不能静默合并；语言A/B/ab initio及历史HL地区选项分别记录。 目录层条目；未预填并不代表没有考试/实践/校评。</x:v>
      </x:c>
      <x:c r="N225" s="70" t="str">
        <x:v>V3-IBDP</x:v>
      </x:c>
    </x:row>
    <x:row r="226" ht="64" customHeight="1">
      <x:c r="A226" s="71" t="str">
        <x:v>C225</x:v>
      </x:c>
      <x:c r="B226" s="70" t="str">
        <x:v>S021</x:v>
      </x:c>
      <x:c r="C226" s="70" t="str">
        <x:v>IB DP Japanese B SL</x:v>
      </x:c>
      <x:c r="D226" s="70" t="str">
        <x:v>IB DP Japanese B SL</x:v>
      </x:c>
      <x:c r="E226" s="70" t="str">
        <x:v>International Baccalaureate</x:v>
      </x:c>
      <x:c r="F226" s="70" t="str">
        <x:v>IB Diploma Programme</x:v>
      </x:c>
      <x:c r="G226" s="70" t="str">
        <x:v>国际</x:v>
      </x:c>
      <x:c r="H226" s="70" t="str">
        <x:v>整门课程</x:v>
      </x:c>
      <x:c r="I226" s="70" t="str">
        <x:v>外部考核＋内部评估依学科及guide版本而异</x:v>
      </x:c>
      <x:c r="J226" s="72" t="str">
        <x:v>100308</x:v>
      </x:c>
      <x:c r="K226" s="70" t="str">
        <x:v>IB官方2026科目表；具体guide/首末考季另核</x:v>
      </x:c>
      <x:c r="L226" s="73" t="n">
        <x:v>2250</x:v>
      </x:c>
      <x:c r="M226" s="70" t="str">
        <x:v>SL与HL为不同课程层级；同subject code不能静默合并；语言A/B/ab initio及历史HL地区选项分别记录。 目录层条目；未预填并不代表没有考试/实践/校评。</x:v>
      </x:c>
      <x:c r="N226" s="70" t="str">
        <x:v>V3-IBDP</x:v>
      </x:c>
    </x:row>
    <x:row r="227" ht="64" customHeight="1">
      <x:c r="A227" s="71" t="str">
        <x:v>C226</x:v>
      </x:c>
      <x:c r="B227" s="70" t="str">
        <x:v>S021</x:v>
      </x:c>
      <x:c r="C227" s="70" t="str">
        <x:v>IB DP Japanese B HL</x:v>
      </x:c>
      <x:c r="D227" s="70" t="str">
        <x:v>IB DP Japanese B HL</x:v>
      </x:c>
      <x:c r="E227" s="70" t="str">
        <x:v>International Baccalaureate</x:v>
      </x:c>
      <x:c r="F227" s="70" t="str">
        <x:v>IB Diploma Programme</x:v>
      </x:c>
      <x:c r="G227" s="70" t="str">
        <x:v>国际</x:v>
      </x:c>
      <x:c r="H227" s="70" t="str">
        <x:v>整门课程</x:v>
      </x:c>
      <x:c r="I227" s="70" t="str">
        <x:v>外部考核＋内部评估依学科及guide版本而异</x:v>
      </x:c>
      <x:c r="J227" s="72" t="str">
        <x:v>100308</x:v>
      </x:c>
      <x:c r="K227" s="70" t="str">
        <x:v>IB官方2026科目表；具体guide/首末考季另核</x:v>
      </x:c>
      <x:c r="L227" s="73" t="n">
        <x:v>2260</x:v>
      </x:c>
      <x:c r="M227" s="70" t="str">
        <x:v>SL与HL为不同课程层级；同subject code不能静默合并；语言A/B/ab initio及历史HL地区选项分别记录。 目录层条目；未预填并不代表没有考试/实践/校评。</x:v>
      </x:c>
      <x:c r="N227" s="70" t="str">
        <x:v>V3-IBDP</x:v>
      </x:c>
    </x:row>
    <x:row r="228" ht="64" customHeight="1">
      <x:c r="A228" s="71" t="str">
        <x:v>C227</x:v>
      </x:c>
      <x:c r="B228" s="70" t="str">
        <x:v>S022</x:v>
      </x:c>
      <x:c r="C228" s="70" t="str">
        <x:v>IB DP Korean B SL</x:v>
      </x:c>
      <x:c r="D228" s="70" t="str">
        <x:v>IB DP Korean B SL</x:v>
      </x:c>
      <x:c r="E228" s="70" t="str">
        <x:v>International Baccalaureate</x:v>
      </x:c>
      <x:c r="F228" s="70" t="str">
        <x:v>IB Diploma Programme</x:v>
      </x:c>
      <x:c r="G228" s="70" t="str">
        <x:v>国际</x:v>
      </x:c>
      <x:c r="H228" s="70" t="str">
        <x:v>整门课程</x:v>
      </x:c>
      <x:c r="I228" s="70" t="str">
        <x:v>外部考核＋内部评估依学科及guide版本而异</x:v>
      </x:c>
      <x:c r="J228" s="72" t="str">
        <x:v>100334</x:v>
      </x:c>
      <x:c r="K228" s="70" t="str">
        <x:v>IB官方2026科目表；具体guide/首末考季另核</x:v>
      </x:c>
      <x:c r="L228" s="73" t="n">
        <x:v>2270</x:v>
      </x:c>
      <x:c r="M228" s="70" t="str">
        <x:v>SL与HL为不同课程层级；同subject code不能静默合并；语言A/B/ab initio及历史HL地区选项分别记录。 目录层条目；未预填并不代表没有考试/实践/校评。</x:v>
      </x:c>
      <x:c r="N228" s="70" t="str">
        <x:v>V3-IBDP</x:v>
      </x:c>
    </x:row>
    <x:row r="229" ht="64" customHeight="1">
      <x:c r="A229" s="71" t="str">
        <x:v>C228</x:v>
      </x:c>
      <x:c r="B229" s="70" t="str">
        <x:v>S022</x:v>
      </x:c>
      <x:c r="C229" s="70" t="str">
        <x:v>IB DP Korean B HL</x:v>
      </x:c>
      <x:c r="D229" s="70" t="str">
        <x:v>IB DP Korean B HL</x:v>
      </x:c>
      <x:c r="E229" s="70" t="str">
        <x:v>International Baccalaureate</x:v>
      </x:c>
      <x:c r="F229" s="70" t="str">
        <x:v>IB Diploma Programme</x:v>
      </x:c>
      <x:c r="G229" s="70" t="str">
        <x:v>国际</x:v>
      </x:c>
      <x:c r="H229" s="70" t="str">
        <x:v>整门课程</x:v>
      </x:c>
      <x:c r="I229" s="70" t="str">
        <x:v>外部考核＋内部评估依学科及guide版本而异</x:v>
      </x:c>
      <x:c r="J229" s="72" t="str">
        <x:v>100334</x:v>
      </x:c>
      <x:c r="K229" s="70" t="str">
        <x:v>IB官方2026科目表；具体guide/首末考季另核</x:v>
      </x:c>
      <x:c r="L229" s="73" t="n">
        <x:v>2280</x:v>
      </x:c>
      <x:c r="M229" s="70" t="str">
        <x:v>SL与HL为不同课程层级；同subject code不能静默合并；语言A/B/ab initio及历史HL地区选项分别记录。 目录层条目；未预填并不代表没有考试/实践/校评。</x:v>
      </x:c>
      <x:c r="N229" s="70" t="str">
        <x:v>V3-IBDP</x:v>
      </x:c>
    </x:row>
    <x:row r="230" ht="64" customHeight="1">
      <x:c r="A230" s="71" t="str">
        <x:v>C229</x:v>
      </x:c>
      <x:c r="B230" s="70" t="str">
        <x:v>S015</x:v>
      </x:c>
      <x:c r="C230" s="70" t="str">
        <x:v>IB DP Arabic B SL</x:v>
      </x:c>
      <x:c r="D230" s="70" t="str">
        <x:v>IB DP Arabic B SL</x:v>
      </x:c>
      <x:c r="E230" s="70" t="str">
        <x:v>International Baccalaureate</x:v>
      </x:c>
      <x:c r="F230" s="70" t="str">
        <x:v>IB Diploma Programme</x:v>
      </x:c>
      <x:c r="G230" s="70" t="str">
        <x:v>国际</x:v>
      </x:c>
      <x:c r="H230" s="70" t="str">
        <x:v>整门课程</x:v>
      </x:c>
      <x:c r="I230" s="70" t="str">
        <x:v>外部考核＋内部评估依学科及guide版本而异</x:v>
      </x:c>
      <x:c r="J230" s="72" t="str">
        <x:v>100053</x:v>
      </x:c>
      <x:c r="K230" s="70" t="str">
        <x:v>IB官方2026科目表；具体guide/首末考季另核</x:v>
      </x:c>
      <x:c r="L230" s="73" t="n">
        <x:v>2290</x:v>
      </x:c>
      <x:c r="M230" s="70" t="str">
        <x:v>SL与HL为不同课程层级；同subject code不能静默合并；语言A/B/ab initio及历史HL地区选项分别记录。 目录层条目；未预填并不代表没有考试/实践/校评。</x:v>
      </x:c>
      <x:c r="N230" s="70" t="str">
        <x:v>V3-IBDP</x:v>
      </x:c>
    </x:row>
    <x:row r="231" ht="64" customHeight="1">
      <x:c r="A231" s="71" t="str">
        <x:v>C230</x:v>
      </x:c>
      <x:c r="B231" s="70" t="str">
        <x:v>S015</x:v>
      </x:c>
      <x:c r="C231" s="70" t="str">
        <x:v>IB DP Arabic B HL</x:v>
      </x:c>
      <x:c r="D231" s="70" t="str">
        <x:v>IB DP Arabic B HL</x:v>
      </x:c>
      <x:c r="E231" s="70" t="str">
        <x:v>International Baccalaureate</x:v>
      </x:c>
      <x:c r="F231" s="70" t="str">
        <x:v>IB Diploma Programme</x:v>
      </x:c>
      <x:c r="G231" s="70" t="str">
        <x:v>国际</x:v>
      </x:c>
      <x:c r="H231" s="70" t="str">
        <x:v>整门课程</x:v>
      </x:c>
      <x:c r="I231" s="70" t="str">
        <x:v>外部考核＋内部评估依学科及guide版本而异</x:v>
      </x:c>
      <x:c r="J231" s="72" t="str">
        <x:v>100053</x:v>
      </x:c>
      <x:c r="K231" s="70" t="str">
        <x:v>IB官方2026科目表；具体guide/首末考季另核</x:v>
      </x:c>
      <x:c r="L231" s="73" t="n">
        <x:v>2300</x:v>
      </x:c>
      <x:c r="M231" s="70" t="str">
        <x:v>SL与HL为不同课程层级；同subject code不能静默合并；语言A/B/ab initio及历史HL地区选项分别记录。 目录层条目；未预填并不代表没有考试/实践/校评。</x:v>
      </x:c>
      <x:c r="N231" s="70" t="str">
        <x:v>V3-IBDP</x:v>
      </x:c>
    </x:row>
    <x:row r="232" ht="64" customHeight="1">
      <x:c r="A232" s="71" t="str">
        <x:v>C231</x:v>
      </x:c>
      <x:c r="B232" s="70" t="str">
        <x:v>S023</x:v>
      </x:c>
      <x:c r="C232" s="70" t="str">
        <x:v>IB DP Italian B SL</x:v>
      </x:c>
      <x:c r="D232" s="70" t="str">
        <x:v>IB DP Italian B SL</x:v>
      </x:c>
      <x:c r="E232" s="70" t="str">
        <x:v>International Baccalaureate</x:v>
      </x:c>
      <x:c r="F232" s="70" t="str">
        <x:v>IB Diploma Programme</x:v>
      </x:c>
      <x:c r="G232" s="70" t="str">
        <x:v>国际</x:v>
      </x:c>
      <x:c r="H232" s="70" t="str">
        <x:v>整门课程</x:v>
      </x:c>
      <x:c r="I232" s="70" t="str">
        <x:v>外部考核＋内部评估依学科及guide版本而异</x:v>
      </x:c>
      <x:c r="J232" s="72" t="str">
        <x:v>100299</x:v>
      </x:c>
      <x:c r="K232" s="70" t="str">
        <x:v>IB官方2026科目表；具体guide/首末考季另核</x:v>
      </x:c>
      <x:c r="L232" s="73" t="n">
        <x:v>2310</x:v>
      </x:c>
      <x:c r="M232" s="70" t="str">
        <x:v>SL与HL为不同课程层级；同subject code不能静默合并；语言A/B/ab initio及历史HL地区选项分别记录。 目录层条目；未预填并不代表没有考试/实践/校评。</x:v>
      </x:c>
      <x:c r="N232" s="70" t="str">
        <x:v>V3-IBDP</x:v>
      </x:c>
    </x:row>
    <x:row r="233" ht="64" customHeight="1">
      <x:c r="A233" s="71" t="str">
        <x:v>C232</x:v>
      </x:c>
      <x:c r="B233" s="70" t="str">
        <x:v>S023</x:v>
      </x:c>
      <x:c r="C233" s="70" t="str">
        <x:v>IB DP Italian B HL</x:v>
      </x:c>
      <x:c r="D233" s="70" t="str">
        <x:v>IB DP Italian B HL</x:v>
      </x:c>
      <x:c r="E233" s="70" t="str">
        <x:v>International Baccalaureate</x:v>
      </x:c>
      <x:c r="F233" s="70" t="str">
        <x:v>IB Diploma Programme</x:v>
      </x:c>
      <x:c r="G233" s="70" t="str">
        <x:v>国际</x:v>
      </x:c>
      <x:c r="H233" s="70" t="str">
        <x:v>整门课程</x:v>
      </x:c>
      <x:c r="I233" s="70" t="str">
        <x:v>外部考核＋内部评估依学科及guide版本而异</x:v>
      </x:c>
      <x:c r="J233" s="72" t="str">
        <x:v>100299</x:v>
      </x:c>
      <x:c r="K233" s="70" t="str">
        <x:v>IB官方2026科目表；具体guide/首末考季另核</x:v>
      </x:c>
      <x:c r="L233" s="73" t="n">
        <x:v>2320</x:v>
      </x:c>
      <x:c r="M233" s="70" t="str">
        <x:v>SL与HL为不同课程层级；同subject code不能静默合并；语言A/B/ab initio及历史HL地区选项分别记录。 目录层条目；未预填并不代表没有考试/实践/校评。</x:v>
      </x:c>
      <x:c r="N233" s="70" t="str">
        <x:v>V3-IBDP</x:v>
      </x:c>
    </x:row>
    <x:row r="234" ht="64" customHeight="1">
      <x:c r="A234" s="71" t="str">
        <x:v>C233</x:v>
      </x:c>
      <x:c r="B234" s="70" t="str">
        <x:v>S024</x:v>
      </x:c>
      <x:c r="C234" s="70" t="str">
        <x:v>IB DP Latin SL</x:v>
      </x:c>
      <x:c r="D234" s="70" t="str">
        <x:v>IB DP Latin SL</x:v>
      </x:c>
      <x:c r="E234" s="70" t="str">
        <x:v>International Baccalaureate</x:v>
      </x:c>
      <x:c r="F234" s="70" t="str">
        <x:v>IB Diploma Programme</x:v>
      </x:c>
      <x:c r="G234" s="70" t="str">
        <x:v>国际</x:v>
      </x:c>
      <x:c r="H234" s="70" t="str">
        <x:v>整门课程</x:v>
      </x:c>
      <x:c r="I234" s="70" t="str">
        <x:v>外部考核＋内部评估依学科及guide版本而异</x:v>
      </x:c>
      <x:c r="J234" s="72" t="str">
        <x:v>100340</x:v>
      </x:c>
      <x:c r="K234" s="70" t="str">
        <x:v>IB官方2026科目表；具体guide/首末考季另核</x:v>
      </x:c>
      <x:c r="L234" s="73" t="n">
        <x:v>2330</x:v>
      </x:c>
      <x:c r="M234" s="70" t="str">
        <x:v>SL与HL为不同课程层级；同subject code不能静默合并；语言A/B/ab initio及历史HL地区选项分别记录。 目录层条目；未预填并不代表没有考试/实践/校评。</x:v>
      </x:c>
      <x:c r="N234" s="70" t="str">
        <x:v>V3-IBDP</x:v>
      </x:c>
    </x:row>
    <x:row r="235" ht="64" customHeight="1">
      <x:c r="A235" s="71" t="str">
        <x:v>C234</x:v>
      </x:c>
      <x:c r="B235" s="70" t="str">
        <x:v>S024</x:v>
      </x:c>
      <x:c r="C235" s="70" t="str">
        <x:v>IB DP Latin HL</x:v>
      </x:c>
      <x:c r="D235" s="70" t="str">
        <x:v>IB DP Latin HL</x:v>
      </x:c>
      <x:c r="E235" s="70" t="str">
        <x:v>International Baccalaureate</x:v>
      </x:c>
      <x:c r="F235" s="70" t="str">
        <x:v>IB Diploma Programme</x:v>
      </x:c>
      <x:c r="G235" s="70" t="str">
        <x:v>国际</x:v>
      </x:c>
      <x:c r="H235" s="70" t="str">
        <x:v>整门课程</x:v>
      </x:c>
      <x:c r="I235" s="70" t="str">
        <x:v>外部考核＋内部评估依学科及guide版本而异</x:v>
      </x:c>
      <x:c r="J235" s="72" t="str">
        <x:v>100340</x:v>
      </x:c>
      <x:c r="K235" s="70" t="str">
        <x:v>IB官方2026科目表；具体guide/首末考季另核</x:v>
      </x:c>
      <x:c r="L235" s="73" t="n">
        <x:v>2340</x:v>
      </x:c>
      <x:c r="M235" s="70" t="str">
        <x:v>SL与HL为不同课程层级；同subject code不能静默合并；语言A/B/ab initio及历史HL地区选项分别记录。 目录层条目；未预填并不代表没有考试/实践/校评。</x:v>
      </x:c>
      <x:c r="N235" s="70" t="str">
        <x:v>V3-IBDP</x:v>
      </x:c>
    </x:row>
    <x:row r="236" ht="64" customHeight="1">
      <x:c r="A236" s="71" t="str">
        <x:v>C235</x:v>
      </x:c>
      <x:c r="B236" s="70" t="str">
        <x:v>S020</x:v>
      </x:c>
      <x:c r="C236" s="70" t="str">
        <x:v>IB DP Mandarin ab initio SL</x:v>
      </x:c>
      <x:c r="D236" s="70" t="str">
        <x:v>IB DP Mandarin ab initio SL</x:v>
      </x:c>
      <x:c r="E236" s="70" t="str">
        <x:v>International Baccalaureate</x:v>
      </x:c>
      <x:c r="F236" s="70" t="str">
        <x:v>IB Diploma Programme</x:v>
      </x:c>
      <x:c r="G236" s="70" t="str">
        <x:v>国际</x:v>
      </x:c>
      <x:c r="H236" s="70" t="str">
        <x:v>整门课程</x:v>
      </x:c>
      <x:c r="I236" s="70" t="str">
        <x:v>外部考核＋内部评估依学科及guide版本而异</x:v>
      </x:c>
      <x:c r="J236" s="72" t="str">
        <x:v>100375</x:v>
      </x:c>
      <x:c r="K236" s="70" t="str">
        <x:v>IB官方2026科目表；具体guide/首末考季另核</x:v>
      </x:c>
      <x:c r="L236" s="73" t="n">
        <x:v>2350</x:v>
      </x:c>
      <x:c r="M236" s="70" t="str">
        <x:v>SL与HL为不同课程层级；同subject code不能静默合并；语言A/B/ab initio及历史HL地区选项分别记录。 目录层条目；未预填并不代表没有考试/实践/校评。</x:v>
      </x:c>
      <x:c r="N236" s="70" t="str">
        <x:v>V3-IBDP</x:v>
      </x:c>
    </x:row>
    <x:row r="237" ht="64" customHeight="1">
      <x:c r="A237" s="71" t="str">
        <x:v>C236</x:v>
      </x:c>
      <x:c r="B237" s="70" t="str">
        <x:v>S016</x:v>
      </x:c>
      <x:c r="C237" s="70" t="str">
        <x:v>IB DP French ab initio SL</x:v>
      </x:c>
      <x:c r="D237" s="70" t="str">
        <x:v>IB DP French ab initio SL</x:v>
      </x:c>
      <x:c r="E237" s="70" t="str">
        <x:v>International Baccalaureate</x:v>
      </x:c>
      <x:c r="F237" s="70" t="str">
        <x:v>IB Diploma Programme</x:v>
      </x:c>
      <x:c r="G237" s="70" t="str">
        <x:v>国际</x:v>
      </x:c>
      <x:c r="H237" s="70" t="str">
        <x:v>整门课程</x:v>
      </x:c>
      <x:c r="I237" s="70" t="str">
        <x:v>外部考核＋内部评估依学科及guide版本而异</x:v>
      </x:c>
      <x:c r="J237" s="72" t="str">
        <x:v>100213</x:v>
      </x:c>
      <x:c r="K237" s="70" t="str">
        <x:v>IB官方2026科目表；具体guide/首末考季另核</x:v>
      </x:c>
      <x:c r="L237" s="73" t="n">
        <x:v>2360</x:v>
      </x:c>
      <x:c r="M237" s="70" t="str">
        <x:v>SL与HL为不同课程层级；同subject code不能静默合并；语言A/B/ab initio及历史HL地区选项分别记录。 目录层条目；未预填并不代表没有考试/实践/校评。</x:v>
      </x:c>
      <x:c r="N237" s="70" t="str">
        <x:v>V3-IBDP</x:v>
      </x:c>
    </x:row>
    <x:row r="238" ht="64" customHeight="1">
      <x:c r="A238" s="71" t="str">
        <x:v>C237</x:v>
      </x:c>
      <x:c r="B238" s="70" t="str">
        <x:v>S017</x:v>
      </x:c>
      <x:c r="C238" s="70" t="str">
        <x:v>IB DP German ab initio SL</x:v>
      </x:c>
      <x:c r="D238" s="70" t="str">
        <x:v>IB DP German ab initio SL</x:v>
      </x:c>
      <x:c r="E238" s="70" t="str">
        <x:v>International Baccalaureate</x:v>
      </x:c>
      <x:c r="F238" s="70" t="str">
        <x:v>IB Diploma Programme</x:v>
      </x:c>
      <x:c r="G238" s="70" t="str">
        <x:v>国际</x:v>
      </x:c>
      <x:c r="H238" s="70" t="str">
        <x:v>整门课程</x:v>
      </x:c>
      <x:c r="I238" s="70" t="str">
        <x:v>外部考核＋内部评估依学科及guide版本而异</x:v>
      </x:c>
      <x:c r="J238" s="72" t="str">
        <x:v>100230</x:v>
      </x:c>
      <x:c r="K238" s="70" t="str">
        <x:v>IB官方2026科目表；具体guide/首末考季另核</x:v>
      </x:c>
      <x:c r="L238" s="73" t="n">
        <x:v>2370</x:v>
      </x:c>
      <x:c r="M238" s="70" t="str">
        <x:v>SL与HL为不同课程层级；同subject code不能静默合并；语言A/B/ab initio及历史HL地区选项分别记录。 目录层条目；未预填并不代表没有考试/实践/校评。</x:v>
      </x:c>
      <x:c r="N238" s="70" t="str">
        <x:v>V3-IBDP</x:v>
      </x:c>
    </x:row>
    <x:row r="239" ht="64" customHeight="1">
      <x:c r="A239" s="71" t="str">
        <x:v>C238</x:v>
      </x:c>
      <x:c r="B239" s="70" t="str">
        <x:v>S018</x:v>
      </x:c>
      <x:c r="C239" s="70" t="str">
        <x:v>IB DP Spanish ab initio SL</x:v>
      </x:c>
      <x:c r="D239" s="70" t="str">
        <x:v>IB DP Spanish ab initio SL</x:v>
      </x:c>
      <x:c r="E239" s="70" t="str">
        <x:v>International Baccalaureate</x:v>
      </x:c>
      <x:c r="F239" s="70" t="str">
        <x:v>IB Diploma Programme</x:v>
      </x:c>
      <x:c r="G239" s="70" t="str">
        <x:v>国际</x:v>
      </x:c>
      <x:c r="H239" s="70" t="str">
        <x:v>整门课程</x:v>
      </x:c>
      <x:c r="I239" s="70" t="str">
        <x:v>外部考核＋内部评估依学科及guide版本而异</x:v>
      </x:c>
      <x:c r="J239" s="72" t="str">
        <x:v>100542</x:v>
      </x:c>
      <x:c r="K239" s="70" t="str">
        <x:v>IB官方2026科目表；具体guide/首末考季另核</x:v>
      </x:c>
      <x:c r="L239" s="73" t="n">
        <x:v>2380</x:v>
      </x:c>
      <x:c r="M239" s="70" t="str">
        <x:v>SL与HL为不同课程层级；同subject code不能静默合并；语言A/B/ab initio及历史HL地区选项分别记录。 目录层条目；未预填并不代表没有考试/实践/校评。</x:v>
      </x:c>
      <x:c r="N239" s="70" t="str">
        <x:v>V3-IBDP</x:v>
      </x:c>
    </x:row>
    <x:row r="240" ht="64" customHeight="1">
      <x:c r="A240" s="71" t="str">
        <x:v>C239</x:v>
      </x:c>
      <x:c r="B240" s="70" t="str">
        <x:v>S021</x:v>
      </x:c>
      <x:c r="C240" s="70" t="str">
        <x:v>IB DP Japanese ab initio SL</x:v>
      </x:c>
      <x:c r="D240" s="70" t="str">
        <x:v>IB DP Japanese ab initio SL</x:v>
      </x:c>
      <x:c r="E240" s="70" t="str">
        <x:v>International Baccalaureate</x:v>
      </x:c>
      <x:c r="F240" s="70" t="str">
        <x:v>IB Diploma Programme</x:v>
      </x:c>
      <x:c r="G240" s="70" t="str">
        <x:v>国际</x:v>
      </x:c>
      <x:c r="H240" s="70" t="str">
        <x:v>整门课程</x:v>
      </x:c>
      <x:c r="I240" s="70" t="str">
        <x:v>外部考核＋内部评估依学科及guide版本而异</x:v>
      </x:c>
      <x:c r="J240" s="72" t="str">
        <x:v>100307</x:v>
      </x:c>
      <x:c r="K240" s="70" t="str">
        <x:v>IB官方2026科目表；具体guide/首末考季另核</x:v>
      </x:c>
      <x:c r="L240" s="73" t="n">
        <x:v>2390</x:v>
      </x:c>
      <x:c r="M240" s="70" t="str">
        <x:v>SL与HL为不同课程层级；同subject code不能静默合并；语言A/B/ab initio及历史HL地区选项分别记录。 目录层条目；未预填并不代表没有考试/实践/校评。</x:v>
      </x:c>
      <x:c r="N240" s="70" t="str">
        <x:v>V3-IBDP</x:v>
      </x:c>
    </x:row>
    <x:row r="241" ht="64" customHeight="1">
      <x:c r="A241" s="71" t="str">
        <x:v>C240</x:v>
      </x:c>
      <x:c r="B241" s="70" t="str">
        <x:v>S015</x:v>
      </x:c>
      <x:c r="C241" s="70" t="str">
        <x:v>IB DP Arabic ab initio SL</x:v>
      </x:c>
      <x:c r="D241" s="70" t="str">
        <x:v>IB DP Arabic ab initio SL</x:v>
      </x:c>
      <x:c r="E241" s="70" t="str">
        <x:v>International Baccalaureate</x:v>
      </x:c>
      <x:c r="F241" s="70" t="str">
        <x:v>IB Diploma Programme</x:v>
      </x:c>
      <x:c r="G241" s="70" t="str">
        <x:v>国际</x:v>
      </x:c>
      <x:c r="H241" s="70" t="str">
        <x:v>整门课程</x:v>
      </x:c>
      <x:c r="I241" s="70" t="str">
        <x:v>外部考核＋内部评估依学科及guide版本而异</x:v>
      </x:c>
      <x:c r="J241" s="72" t="str">
        <x:v>100052</x:v>
      </x:c>
      <x:c r="K241" s="70" t="str">
        <x:v>IB官方2026科目表；具体guide/首末考季另核</x:v>
      </x:c>
      <x:c r="L241" s="73" t="n">
        <x:v>2400</x:v>
      </x:c>
      <x:c r="M241" s="70" t="str">
        <x:v>SL与HL为不同课程层级；同subject code不能静默合并；语言A/B/ab initio及历史HL地区选项分别记录。 目录层条目；未预填并不代表没有考试/实践/校评。</x:v>
      </x:c>
      <x:c r="N241" s="70" t="str">
        <x:v>V3-IBDP</x:v>
      </x:c>
    </x:row>
    <x:row r="242" ht="64" customHeight="1">
      <x:c r="A242" s="71" t="str">
        <x:v>C241</x:v>
      </x:c>
      <x:c r="B242" s="70" t="str">
        <x:v>S023</x:v>
      </x:c>
      <x:c r="C242" s="70" t="str">
        <x:v>IB DP Italian ab initio SL</x:v>
      </x:c>
      <x:c r="D242" s="70" t="str">
        <x:v>IB DP Italian ab initio SL</x:v>
      </x:c>
      <x:c r="E242" s="70" t="str">
        <x:v>International Baccalaureate</x:v>
      </x:c>
      <x:c r="F242" s="70" t="str">
        <x:v>IB Diploma Programme</x:v>
      </x:c>
      <x:c r="G242" s="70" t="str">
        <x:v>国际</x:v>
      </x:c>
      <x:c r="H242" s="70" t="str">
        <x:v>整门课程</x:v>
      </x:c>
      <x:c r="I242" s="70" t="str">
        <x:v>外部考核＋内部评估依学科及guide版本而异</x:v>
      </x:c>
      <x:c r="J242" s="72" t="str">
        <x:v>100298</x:v>
      </x:c>
      <x:c r="K242" s="70" t="str">
        <x:v>IB官方2026科目表；具体guide/首末考季另核</x:v>
      </x:c>
      <x:c r="L242" s="73" t="n">
        <x:v>2410</x:v>
      </x:c>
      <x:c r="M242" s="70" t="str">
        <x:v>SL与HL为不同课程层级；同subject code不能静默合并；语言A/B/ab initio及历史HL地区选项分别记录。 目录层条目；未预填并不代表没有考试/实践/校评。</x:v>
      </x:c>
      <x:c r="N242" s="70" t="str">
        <x:v>V3-IBDP</x:v>
      </x:c>
    </x:row>
    <x:row r="243" ht="64" customHeight="1">
      <x:c r="A243" s="71" t="str">
        <x:v>C242</x:v>
      </x:c>
      <x:c r="B243" s="70" t="str">
        <x:v>S008</x:v>
      </x:c>
      <x:c r="C243" s="70" t="str">
        <x:v>IB DP Business Management SL</x:v>
      </x:c>
      <x:c r="D243" s="70" t="str">
        <x:v>IB DP Business Management SL</x:v>
      </x:c>
      <x:c r="E243" s="70" t="str">
        <x:v>International Baccalaureate</x:v>
      </x:c>
      <x:c r="F243" s="70" t="str">
        <x:v>IB Diploma Programme</x:v>
      </x:c>
      <x:c r="G243" s="70" t="str">
        <x:v>国际</x:v>
      </x:c>
      <x:c r="H243" s="70" t="str">
        <x:v>整门课程</x:v>
      </x:c>
      <x:c r="I243" s="70" t="str">
        <x:v>外部考核＋内部评估依学科及guide版本而异</x:v>
      </x:c>
      <x:c r="J243" s="72" t="str">
        <x:v>147712</x:v>
      </x:c>
      <x:c r="K243" s="70" t="str">
        <x:v>IB官方2026科目表；具体guide/首末考季另核</x:v>
      </x:c>
      <x:c r="L243" s="73" t="n">
        <x:v>2420</x:v>
      </x:c>
      <x:c r="M243" s="70" t="str">
        <x:v>SL与HL为不同课程层级；同subject code不能静默合并；语言A/B/ab initio及历史HL地区选项分别记录。 目录层条目；未预填并不代表没有考试/实践/校评。</x:v>
      </x:c>
      <x:c r="N243" s="70" t="str">
        <x:v>V3-IBDP</x:v>
      </x:c>
    </x:row>
    <x:row r="244" ht="64" customHeight="1">
      <x:c r="A244" s="71" t="str">
        <x:v>C243</x:v>
      </x:c>
      <x:c r="B244" s="70" t="str">
        <x:v>S008</x:v>
      </x:c>
      <x:c r="C244" s="70" t="str">
        <x:v>IB DP Business Management HL</x:v>
      </x:c>
      <x:c r="D244" s="70" t="str">
        <x:v>IB DP Business Management HL</x:v>
      </x:c>
      <x:c r="E244" s="70" t="str">
        <x:v>International Baccalaureate</x:v>
      </x:c>
      <x:c r="F244" s="70" t="str">
        <x:v>IB Diploma Programme</x:v>
      </x:c>
      <x:c r="G244" s="70" t="str">
        <x:v>国际</x:v>
      </x:c>
      <x:c r="H244" s="70" t="str">
        <x:v>整门课程</x:v>
      </x:c>
      <x:c r="I244" s="70" t="str">
        <x:v>外部考核＋内部评估依学科及guide版本而异</x:v>
      </x:c>
      <x:c r="J244" s="72" t="str">
        <x:v>147712</x:v>
      </x:c>
      <x:c r="K244" s="70" t="str">
        <x:v>IB官方2026科目表；具体guide/首末考季另核</x:v>
      </x:c>
      <x:c r="L244" s="73" t="n">
        <x:v>2430</x:v>
      </x:c>
      <x:c r="M244" s="70" t="str">
        <x:v>SL与HL为不同课程层级；同subject code不能静默合并；语言A/B/ab initio及历史HL地区选项分别记录。 目录层条目；未预填并不代表没有考试/实践/校评。</x:v>
      </x:c>
      <x:c r="N244" s="70" t="str">
        <x:v>V3-IBDP</x:v>
      </x:c>
    </x:row>
    <x:row r="245" ht="64" customHeight="1">
      <x:c r="A245" s="71" t="str">
        <x:v>C244</x:v>
      </x:c>
      <x:c r="B245" s="70" t="str">
        <x:v>S006</x:v>
      </x:c>
      <x:c r="C245" s="70" t="str">
        <x:v>IB DP Digital Society SL</x:v>
      </x:c>
      <x:c r="D245" s="70" t="str">
        <x:v>IB DP Digital Society SL</x:v>
      </x:c>
      <x:c r="E245" s="70" t="str">
        <x:v>International Baccalaureate</x:v>
      </x:c>
      <x:c r="F245" s="70" t="str">
        <x:v>IB Diploma Programme</x:v>
      </x:c>
      <x:c r="G245" s="70" t="str">
        <x:v>国际</x:v>
      </x:c>
      <x:c r="H245" s="70" t="str">
        <x:v>整门课程</x:v>
      </x:c>
      <x:c r="I245" s="70" t="str">
        <x:v>外部考核＋内部评估依学科及guide版本而异</x:v>
      </x:c>
      <x:c r="J245" s="72" t="str">
        <x:v>179711</x:v>
      </x:c>
      <x:c r="K245" s="70" t="str">
        <x:v>IB官方2026科目表；具体guide/首末考季另核</x:v>
      </x:c>
      <x:c r="L245" s="73" t="n">
        <x:v>2440</x:v>
      </x:c>
      <x:c r="M245" s="70" t="str">
        <x:v>SL与HL为不同课程层级；同subject code不能静默合并；语言A/B/ab initio及历史HL地区选项分别记录。 目录层条目；未预填并不代表没有考试/实践/校评。</x:v>
      </x:c>
      <x:c r="N245" s="70" t="str">
        <x:v>V3-IBDP</x:v>
      </x:c>
    </x:row>
    <x:row r="246" ht="64" customHeight="1">
      <x:c r="A246" s="71" t="str">
        <x:v>C245</x:v>
      </x:c>
      <x:c r="B246" s="70" t="str">
        <x:v>S006</x:v>
      </x:c>
      <x:c r="C246" s="70" t="str">
        <x:v>IB DP Digital Society HL</x:v>
      </x:c>
      <x:c r="D246" s="70" t="str">
        <x:v>IB DP Digital Society HL</x:v>
      </x:c>
      <x:c r="E246" s="70" t="str">
        <x:v>International Baccalaureate</x:v>
      </x:c>
      <x:c r="F246" s="70" t="str">
        <x:v>IB Diploma Programme</x:v>
      </x:c>
      <x:c r="G246" s="70" t="str">
        <x:v>国际</x:v>
      </x:c>
      <x:c r="H246" s="70" t="str">
        <x:v>整门课程</x:v>
      </x:c>
      <x:c r="I246" s="70" t="str">
        <x:v>外部考核＋内部评估依学科及guide版本而异</x:v>
      </x:c>
      <x:c r="J246" s="72" t="str">
        <x:v>179711</x:v>
      </x:c>
      <x:c r="K246" s="70" t="str">
        <x:v>IB官方2026科目表；具体guide/首末考季另核</x:v>
      </x:c>
      <x:c r="L246" s="73" t="n">
        <x:v>2450</x:v>
      </x:c>
      <x:c r="M246" s="70" t="str">
        <x:v>SL与HL为不同课程层级；同subject code不能静默合并；语言A/B/ab initio及历史HL地区选项分别记录。 目录层条目；未预填并不代表没有考试/实践/校评。</x:v>
      </x:c>
      <x:c r="N246" s="70" t="str">
        <x:v>V3-IBDP</x:v>
      </x:c>
    </x:row>
    <x:row r="247" ht="64" customHeight="1">
      <x:c r="A247" s="71" t="str">
        <x:v>C246</x:v>
      </x:c>
      <x:c r="B247" s="70" t="str">
        <x:v>S007</x:v>
      </x:c>
      <x:c r="C247" s="70" t="str">
        <x:v>IB DP Economics SL</x:v>
      </x:c>
      <x:c r="D247" s="70" t="str">
        <x:v>IB DP Economics SL</x:v>
      </x:c>
      <x:c r="E247" s="70" t="str">
        <x:v>International Baccalaureate</x:v>
      </x:c>
      <x:c r="F247" s="70" t="str">
        <x:v>IB Diploma Programme</x:v>
      </x:c>
      <x:c r="G247" s="70" t="str">
        <x:v>国际</x:v>
      </x:c>
      <x:c r="H247" s="70" t="str">
        <x:v>整门课程</x:v>
      </x:c>
      <x:c r="I247" s="70" t="str">
        <x:v>外部考核＋内部评估依学科及guide版本而异</x:v>
      </x:c>
      <x:c r="J247" s="72" t="str">
        <x:v>100164</x:v>
      </x:c>
      <x:c r="K247" s="70" t="str">
        <x:v>IB官方2026科目表；具体guide/首末考季另核</x:v>
      </x:c>
      <x:c r="L247" s="73" t="n">
        <x:v>2460</x:v>
      </x:c>
      <x:c r="M247" s="70" t="str">
        <x:v>SL与HL为不同课程层级；同subject code不能静默合并；语言A/B/ab initio及历史HL地区选项分别记录。 目录层条目；未预填并不代表没有考试/实践/校评。</x:v>
      </x:c>
      <x:c r="N247" s="70" t="str">
        <x:v>V3-IBDP</x:v>
      </x:c>
    </x:row>
    <x:row r="248" ht="64" customHeight="1">
      <x:c r="A248" s="71" t="str">
        <x:v>C247</x:v>
      </x:c>
      <x:c r="B248" s="70" t="str">
        <x:v>S007</x:v>
      </x:c>
      <x:c r="C248" s="70" t="str">
        <x:v>IB DP Economics HL</x:v>
      </x:c>
      <x:c r="D248" s="70" t="str">
        <x:v>IB DP Economics HL</x:v>
      </x:c>
      <x:c r="E248" s="70" t="str">
        <x:v>International Baccalaureate</x:v>
      </x:c>
      <x:c r="F248" s="70" t="str">
        <x:v>IB Diploma Programme</x:v>
      </x:c>
      <x:c r="G248" s="70" t="str">
        <x:v>国际</x:v>
      </x:c>
      <x:c r="H248" s="70" t="str">
        <x:v>整门课程</x:v>
      </x:c>
      <x:c r="I248" s="70" t="str">
        <x:v>外部考核＋内部评估依学科及guide版本而异</x:v>
      </x:c>
      <x:c r="J248" s="72" t="str">
        <x:v>100164</x:v>
      </x:c>
      <x:c r="K248" s="70" t="str">
        <x:v>IB官方2026科目表；具体guide/首末考季另核</x:v>
      </x:c>
      <x:c r="L248" s="73" t="n">
        <x:v>2470</x:v>
      </x:c>
      <x:c r="M248" s="70" t="str">
        <x:v>SL与HL为不同课程层级；同subject code不能静默合并；语言A/B/ab initio及历史HL地区选项分别记录。 目录层条目；未预填并不代表没有考试/实践/校评。</x:v>
      </x:c>
      <x:c r="N248" s="70" t="str">
        <x:v>V3-IBDP</x:v>
      </x:c>
    </x:row>
    <x:row r="249" ht="64" customHeight="1">
      <x:c r="A249" s="71" t="str">
        <x:v>C248</x:v>
      </x:c>
      <x:c r="B249" s="70" t="str">
        <x:v>S029</x:v>
      </x:c>
      <x:c r="C249" s="70" t="str">
        <x:v>IB DP Global Politics SL</x:v>
      </x:c>
      <x:c r="D249" s="70" t="str">
        <x:v>IB DP Global Politics SL</x:v>
      </x:c>
      <x:c r="E249" s="70" t="str">
        <x:v>International Baccalaureate</x:v>
      </x:c>
      <x:c r="F249" s="70" t="str">
        <x:v>IB Diploma Programme</x:v>
      </x:c>
      <x:c r="G249" s="70" t="str">
        <x:v>国际</x:v>
      </x:c>
      <x:c r="H249" s="70" t="str">
        <x:v>整门课程</x:v>
      </x:c>
      <x:c r="I249" s="70" t="str">
        <x:v>外部考核＋内部评估依学科及guide版本而异</x:v>
      </x:c>
      <x:c r="J249" s="72" t="str">
        <x:v>123711</x:v>
      </x:c>
      <x:c r="K249" s="70" t="str">
        <x:v>IB官方2026科目表；具体guide/首末考季另核</x:v>
      </x:c>
      <x:c r="L249" s="73" t="n">
        <x:v>2480</x:v>
      </x:c>
      <x:c r="M249" s="70" t="str">
        <x:v>SL与HL为不同课程层级；同subject code不能静默合并；语言A/B/ab initio及历史HL地区选项分别记录。 目录层条目；未预填并不代表没有考试/实践/校评。</x:v>
      </x:c>
      <x:c r="N249" s="70" t="str">
        <x:v>V3-IBDP</x:v>
      </x:c>
    </x:row>
    <x:row r="250" ht="64" customHeight="1">
      <x:c r="A250" s="71" t="str">
        <x:v>C249</x:v>
      </x:c>
      <x:c r="B250" s="70" t="str">
        <x:v>S029</x:v>
      </x:c>
      <x:c r="C250" s="70" t="str">
        <x:v>IB DP Global Politics HL</x:v>
      </x:c>
      <x:c r="D250" s="70" t="str">
        <x:v>IB DP Global Politics HL</x:v>
      </x:c>
      <x:c r="E250" s="70" t="str">
        <x:v>International Baccalaureate</x:v>
      </x:c>
      <x:c r="F250" s="70" t="str">
        <x:v>IB Diploma Programme</x:v>
      </x:c>
      <x:c r="G250" s="70" t="str">
        <x:v>国际</x:v>
      </x:c>
      <x:c r="H250" s="70" t="str">
        <x:v>整门课程</x:v>
      </x:c>
      <x:c r="I250" s="70" t="str">
        <x:v>外部考核＋内部评估依学科及guide版本而异</x:v>
      </x:c>
      <x:c r="J250" s="72" t="str">
        <x:v>123711</x:v>
      </x:c>
      <x:c r="K250" s="70" t="str">
        <x:v>IB官方2026科目表；具体guide/首末考季另核</x:v>
      </x:c>
      <x:c r="L250" s="73" t="n">
        <x:v>2490</x:v>
      </x:c>
      <x:c r="M250" s="70" t="str">
        <x:v>SL与HL为不同课程层级；同subject code不能静默合并；语言A/B/ab initio及历史HL地区选项分别记录。 目录层条目；未预填并不代表没有考试/实践/校评。</x:v>
      </x:c>
      <x:c r="N250" s="70" t="str">
        <x:v>V3-IBDP</x:v>
      </x:c>
    </x:row>
    <x:row r="251" ht="64" customHeight="1">
      <x:c r="A251" s="71" t="str">
        <x:v>C250</x:v>
      </x:c>
      <x:c r="B251" s="70" t="str">
        <x:v>S011</x:v>
      </x:c>
      <x:c r="C251" s="70" t="str">
        <x:v>IB DP History SL</x:v>
      </x:c>
      <x:c r="D251" s="70" t="str">
        <x:v>IB DP History SL</x:v>
      </x:c>
      <x:c r="E251" s="70" t="str">
        <x:v>International Baccalaureate</x:v>
      </x:c>
      <x:c r="F251" s="70" t="str">
        <x:v>IB Diploma Programme</x:v>
      </x:c>
      <x:c r="G251" s="70" t="str">
        <x:v>国际</x:v>
      </x:c>
      <x:c r="H251" s="70" t="str">
        <x:v>整门课程</x:v>
      </x:c>
      <x:c r="I251" s="70" t="str">
        <x:v>外部考核＋内部评估依学科及guide版本而异</x:v>
      </x:c>
      <x:c r="J251" s="72" t="str">
        <x:v>100680</x:v>
      </x:c>
      <x:c r="K251" s="70" t="str">
        <x:v>IB官方2026科目表；具体guide/首末考季另核</x:v>
      </x:c>
      <x:c r="L251" s="73" t="n">
        <x:v>2500</x:v>
      </x:c>
      <x:c r="M251" s="70" t="str">
        <x:v>SL与HL为不同课程层级；同subject code不能静默合并；语言A/B/ab initio及历史HL地区选项分别记录。 目录层条目；未预填并不代表没有考试/实践/校评。</x:v>
      </x:c>
      <x:c r="N251" s="70" t="str">
        <x:v>V3-IBDP</x:v>
      </x:c>
    </x:row>
    <x:row r="252" ht="64" customHeight="1">
      <x:c r="A252" s="71" t="str">
        <x:v>C251</x:v>
      </x:c>
      <x:c r="B252" s="70" t="str">
        <x:v>S011</x:v>
      </x:c>
      <x:c r="C252" s="70" t="str">
        <x:v>IB DP History: Africa and the Middle East HL</x:v>
      </x:c>
      <x:c r="D252" s="70" t="str">
        <x:v>IB DP History: Africa and the Middle East HL</x:v>
      </x:c>
      <x:c r="E252" s="70" t="str">
        <x:v>International Baccalaureate</x:v>
      </x:c>
      <x:c r="F252" s="70" t="str">
        <x:v>IB Diploma Programme</x:v>
      </x:c>
      <x:c r="G252" s="70" t="str">
        <x:v>国际</x:v>
      </x:c>
      <x:c r="H252" s="70" t="str">
        <x:v>整门课程</x:v>
      </x:c>
      <x:c r="I252" s="70" t="str">
        <x:v>外部考核＋内部评估依学科及guide版本而异</x:v>
      </x:c>
      <x:c r="J252" s="72" t="str">
        <x:v>149713</x:v>
      </x:c>
      <x:c r="K252" s="70" t="str">
        <x:v>IB官方2026科目表；具体guide/首末考季另核</x:v>
      </x:c>
      <x:c r="L252" s="73" t="n">
        <x:v>2510</x:v>
      </x:c>
      <x:c r="M252" s="70" t="str">
        <x:v>SL与HL为不同课程层级；同subject code不能静默合并；语言A/B/ab initio及历史HL地区选项分别记录。 目录层条目；未预填并不代表没有考试/实践/校评。</x:v>
      </x:c>
      <x:c r="N252" s="70" t="str">
        <x:v>V3-IBDP</x:v>
      </x:c>
    </x:row>
    <x:row r="253" ht="64" customHeight="1">
      <x:c r="A253" s="71" t="str">
        <x:v>C252</x:v>
      </x:c>
      <x:c r="B253" s="70" t="str">
        <x:v>S011</x:v>
      </x:c>
      <x:c r="C253" s="70" t="str">
        <x:v>IB DP History: Americas HL</x:v>
      </x:c>
      <x:c r="D253" s="70" t="str">
        <x:v>IB DP History: Americas HL</x:v>
      </x:c>
      <x:c r="E253" s="70" t="str">
        <x:v>International Baccalaureate</x:v>
      </x:c>
      <x:c r="F253" s="70" t="str">
        <x:v>IB Diploma Programme</x:v>
      </x:c>
      <x:c r="G253" s="70" t="str">
        <x:v>国际</x:v>
      </x:c>
      <x:c r="H253" s="70" t="str">
        <x:v>整门课程</x:v>
      </x:c>
      <x:c r="I253" s="70" t="str">
        <x:v>外部考核＋内部评估依学科及guide版本而异</x:v>
      </x:c>
      <x:c r="J253" s="72" t="str">
        <x:v>149711</x:v>
      </x:c>
      <x:c r="K253" s="70" t="str">
        <x:v>IB官方2026科目表；具体guide/首末考季另核</x:v>
      </x:c>
      <x:c r="L253" s="73" t="n">
        <x:v>2520</x:v>
      </x:c>
      <x:c r="M253" s="70" t="str">
        <x:v>SL与HL为不同课程层级；同subject code不能静默合并；语言A/B/ab initio及历史HL地区选项分别记录。 目录层条目；未预填并不代表没有考试/实践/校评。</x:v>
      </x:c>
      <x:c r="N253" s="70" t="str">
        <x:v>V3-IBDP</x:v>
      </x:c>
    </x:row>
    <x:row r="254" ht="64" customHeight="1">
      <x:c r="A254" s="71" t="str">
        <x:v>C253</x:v>
      </x:c>
      <x:c r="B254" s="70" t="str">
        <x:v>S011</x:v>
      </x:c>
      <x:c r="C254" s="70" t="str">
        <x:v>IB DP History: Asia and Oceania HL</x:v>
      </x:c>
      <x:c r="D254" s="70" t="str">
        <x:v>IB DP History: Asia and Oceania HL</x:v>
      </x:c>
      <x:c r="E254" s="70" t="str">
        <x:v>International Baccalaureate</x:v>
      </x:c>
      <x:c r="F254" s="70" t="str">
        <x:v>IB Diploma Programme</x:v>
      </x:c>
      <x:c r="G254" s="70" t="str">
        <x:v>国际</x:v>
      </x:c>
      <x:c r="H254" s="70" t="str">
        <x:v>整门课程</x:v>
      </x:c>
      <x:c r="I254" s="70" t="str">
        <x:v>外部考核＋内部评估依学科及guide版本而异</x:v>
      </x:c>
      <x:c r="J254" s="72" t="str">
        <x:v>149714</x:v>
      </x:c>
      <x:c r="K254" s="70" t="str">
        <x:v>IB官方2026科目表；具体guide/首末考季另核</x:v>
      </x:c>
      <x:c r="L254" s="73" t="n">
        <x:v>2530</x:v>
      </x:c>
      <x:c r="M254" s="70" t="str">
        <x:v>SL与HL为不同课程层级；同subject code不能静默合并；语言A/B/ab initio及历史HL地区选项分别记录。 目录层条目；未预填并不代表没有考试/实践/校评。</x:v>
      </x:c>
      <x:c r="N254" s="70" t="str">
        <x:v>V3-IBDP</x:v>
      </x:c>
    </x:row>
    <x:row r="255" ht="64" customHeight="1">
      <x:c r="A255" s="71" t="str">
        <x:v>C254</x:v>
      </x:c>
      <x:c r="B255" s="70" t="str">
        <x:v>S011</x:v>
      </x:c>
      <x:c r="C255" s="70" t="str">
        <x:v>IB DP History: Europe HL</x:v>
      </x:c>
      <x:c r="D255" s="70" t="str">
        <x:v>IB DP History: Europe HL</x:v>
      </x:c>
      <x:c r="E255" s="70" t="str">
        <x:v>International Baccalaureate</x:v>
      </x:c>
      <x:c r="F255" s="70" t="str">
        <x:v>IB Diploma Programme</x:v>
      </x:c>
      <x:c r="G255" s="70" t="str">
        <x:v>国际</x:v>
      </x:c>
      <x:c r="H255" s="70" t="str">
        <x:v>整门课程</x:v>
      </x:c>
      <x:c r="I255" s="70" t="str">
        <x:v>外部考核＋内部评估依学科及guide版本而异</x:v>
      </x:c>
      <x:c r="J255" s="72" t="str">
        <x:v>149712</x:v>
      </x:c>
      <x:c r="K255" s="70" t="str">
        <x:v>IB官方2026科目表；具体guide/首末考季另核</x:v>
      </x:c>
      <x:c r="L255" s="73" t="n">
        <x:v>2540</x:v>
      </x:c>
      <x:c r="M255" s="70" t="str">
        <x:v>SL与HL为不同课程层级；同subject code不能静默合并；语言A/B/ab initio及历史HL地区选项分别记录。 目录层条目；未预填并不代表没有考试/实践/校评。</x:v>
      </x:c>
      <x:c r="N255" s="70" t="str">
        <x:v>V3-IBDP</x:v>
      </x:c>
    </x:row>
    <x:row r="256" ht="64" customHeight="1">
      <x:c r="A256" s="71" t="str">
        <x:v>C255</x:v>
      </x:c>
      <x:c r="B256" s="70" t="str">
        <x:v>S012</x:v>
      </x:c>
      <x:c r="C256" s="70" t="str">
        <x:v>IB DP Geography SL</x:v>
      </x:c>
      <x:c r="D256" s="70" t="str">
        <x:v>IB DP Geography SL</x:v>
      </x:c>
      <x:c r="E256" s="70" t="str">
        <x:v>International Baccalaureate</x:v>
      </x:c>
      <x:c r="F256" s="70" t="str">
        <x:v>IB Diploma Programme</x:v>
      </x:c>
      <x:c r="G256" s="70" t="str">
        <x:v>国际</x:v>
      </x:c>
      <x:c r="H256" s="70" t="str">
        <x:v>整门课程</x:v>
      </x:c>
      <x:c r="I256" s="70" t="str">
        <x:v>外部考核＋内部评估依学科及guide版本而异</x:v>
      </x:c>
      <x:c r="J256" s="72" t="str">
        <x:v>100222</x:v>
      </x:c>
      <x:c r="K256" s="70" t="str">
        <x:v>IB官方2026科目表；具体guide/首末考季另核</x:v>
      </x:c>
      <x:c r="L256" s="73" t="n">
        <x:v>2550</x:v>
      </x:c>
      <x:c r="M256" s="70" t="str">
        <x:v>SL与HL为不同课程层级；同subject code不能静默合并；语言A/B/ab initio及历史HL地区选项分别记录。 目录层条目；未预填并不代表没有考试/实践/校评。</x:v>
      </x:c>
      <x:c r="N256" s="70" t="str">
        <x:v>V3-IBDP</x:v>
      </x:c>
    </x:row>
    <x:row r="257" ht="64" customHeight="1">
      <x:c r="A257" s="71" t="str">
        <x:v>C256</x:v>
      </x:c>
      <x:c r="B257" s="70" t="str">
        <x:v>S012</x:v>
      </x:c>
      <x:c r="C257" s="70" t="str">
        <x:v>IB DP Geography HL</x:v>
      </x:c>
      <x:c r="D257" s="70" t="str">
        <x:v>IB DP Geography HL</x:v>
      </x:c>
      <x:c r="E257" s="70" t="str">
        <x:v>International Baccalaureate</x:v>
      </x:c>
      <x:c r="F257" s="70" t="str">
        <x:v>IB Diploma Programme</x:v>
      </x:c>
      <x:c r="G257" s="70" t="str">
        <x:v>国际</x:v>
      </x:c>
      <x:c r="H257" s="70" t="str">
        <x:v>整门课程</x:v>
      </x:c>
      <x:c r="I257" s="70" t="str">
        <x:v>外部考核＋内部评估依学科及guide版本而异</x:v>
      </x:c>
      <x:c r="J257" s="72" t="str">
        <x:v>100222</x:v>
      </x:c>
      <x:c r="K257" s="70" t="str">
        <x:v>IB官方2026科目表；具体guide/首末考季另核</x:v>
      </x:c>
      <x:c r="L257" s="73" t="n">
        <x:v>2560</x:v>
      </x:c>
      <x:c r="M257" s="70" t="str">
        <x:v>SL与HL为不同课程层级；同subject code不能静默合并；语言A/B/ab initio及历史HL地区选项分别记录。 目录层条目；未预填并不代表没有考试/实践/校评。</x:v>
      </x:c>
      <x:c r="N257" s="70" t="str">
        <x:v>V3-IBDP</x:v>
      </x:c>
    </x:row>
    <x:row r="258" ht="64" customHeight="1">
      <x:c r="A258" s="71" t="str">
        <x:v>C257</x:v>
      </x:c>
      <x:c r="B258" s="70" t="str">
        <x:v>S030</x:v>
      </x:c>
      <x:c r="C258" s="70" t="str">
        <x:v>IB DP Philosophy SL</x:v>
      </x:c>
      <x:c r="D258" s="70" t="str">
        <x:v>IB DP Philosophy SL</x:v>
      </x:c>
      <x:c r="E258" s="70" t="str">
        <x:v>International Baccalaureate</x:v>
      </x:c>
      <x:c r="F258" s="70" t="str">
        <x:v>IB Diploma Programme</x:v>
      </x:c>
      <x:c r="G258" s="70" t="str">
        <x:v>国际</x:v>
      </x:c>
      <x:c r="H258" s="70" t="str">
        <x:v>整门课程</x:v>
      </x:c>
      <x:c r="I258" s="70" t="str">
        <x:v>外部考核＋内部评估依学科及guide版本而异</x:v>
      </x:c>
      <x:c r="J258" s="72" t="str">
        <x:v>100449</x:v>
      </x:c>
      <x:c r="K258" s="70" t="str">
        <x:v>IB官方2026科目表；具体guide/首末考季另核</x:v>
      </x:c>
      <x:c r="L258" s="73" t="n">
        <x:v>2570</x:v>
      </x:c>
      <x:c r="M258" s="70" t="str">
        <x:v>SL与HL为不同课程层级；同subject code不能静默合并；语言A/B/ab initio及历史HL地区选项分别记录。 目录层条目；未预填并不代表没有考试/实践/校评。</x:v>
      </x:c>
      <x:c r="N258" s="70" t="str">
        <x:v>V3-IBDP</x:v>
      </x:c>
    </x:row>
    <x:row r="259" ht="64" customHeight="1">
      <x:c r="A259" s="71" t="str">
        <x:v>C258</x:v>
      </x:c>
      <x:c r="B259" s="70" t="str">
        <x:v>S030</x:v>
      </x:c>
      <x:c r="C259" s="70" t="str">
        <x:v>IB DP Philosophy HL</x:v>
      </x:c>
      <x:c r="D259" s="70" t="str">
        <x:v>IB DP Philosophy HL</x:v>
      </x:c>
      <x:c r="E259" s="70" t="str">
        <x:v>International Baccalaureate</x:v>
      </x:c>
      <x:c r="F259" s="70" t="str">
        <x:v>IB Diploma Programme</x:v>
      </x:c>
      <x:c r="G259" s="70" t="str">
        <x:v>国际</x:v>
      </x:c>
      <x:c r="H259" s="70" t="str">
        <x:v>整门课程</x:v>
      </x:c>
      <x:c r="I259" s="70" t="str">
        <x:v>外部考核＋内部评估依学科及guide版本而异</x:v>
      </x:c>
      <x:c r="J259" s="72" t="str">
        <x:v>100449</x:v>
      </x:c>
      <x:c r="K259" s="70" t="str">
        <x:v>IB官方2026科目表；具体guide/首末考季另核</x:v>
      </x:c>
      <x:c r="L259" s="73" t="n">
        <x:v>2580</x:v>
      </x:c>
      <x:c r="M259" s="70" t="str">
        <x:v>SL与HL为不同课程层级；同subject code不能静默合并；语言A/B/ab initio及历史HL地区选项分别记录。 目录层条目；未预填并不代表没有考试/实践/校评。</x:v>
      </x:c>
      <x:c r="N259" s="70" t="str">
        <x:v>V3-IBDP</x:v>
      </x:c>
    </x:row>
    <x:row r="260" ht="64" customHeight="1">
      <x:c r="A260" s="71" t="str">
        <x:v>C259</x:v>
      </x:c>
      <x:c r="B260" s="70" t="str">
        <x:v>S013</x:v>
      </x:c>
      <x:c r="C260" s="70" t="str">
        <x:v>IB DP Psychology SL</x:v>
      </x:c>
      <x:c r="D260" s="70" t="str">
        <x:v>IB DP Psychology SL</x:v>
      </x:c>
      <x:c r="E260" s="70" t="str">
        <x:v>International Baccalaureate</x:v>
      </x:c>
      <x:c r="F260" s="70" t="str">
        <x:v>IB Diploma Programme</x:v>
      </x:c>
      <x:c r="G260" s="70" t="str">
        <x:v>国际</x:v>
      </x:c>
      <x:c r="H260" s="70" t="str">
        <x:v>整门课程</x:v>
      </x:c>
      <x:c r="I260" s="70" t="str">
        <x:v>外部考核＋内部评估依学科及guide版本而异</x:v>
      </x:c>
      <x:c r="J260" s="72" t="str">
        <x:v>100474</x:v>
      </x:c>
      <x:c r="K260" s="70" t="str">
        <x:v>IB官方2026科目表；具体guide/首末考季另核</x:v>
      </x:c>
      <x:c r="L260" s="73" t="n">
        <x:v>2590</x:v>
      </x:c>
      <x:c r="M260" s="70" t="str">
        <x:v>SL与HL为不同课程层级；同subject code不能静默合并；语言A/B/ab initio及历史HL地区选项分别记录。 目录层条目；未预填并不代表没有考试/实践/校评。</x:v>
      </x:c>
      <x:c r="N260" s="70" t="str">
        <x:v>V3-IBDP</x:v>
      </x:c>
    </x:row>
    <x:row r="261" ht="64" customHeight="1">
      <x:c r="A261" s="71" t="str">
        <x:v>C260</x:v>
      </x:c>
      <x:c r="B261" s="70" t="str">
        <x:v>S013</x:v>
      </x:c>
      <x:c r="C261" s="70" t="str">
        <x:v>IB DP Psychology HL</x:v>
      </x:c>
      <x:c r="D261" s="70" t="str">
        <x:v>IB DP Psychology HL</x:v>
      </x:c>
      <x:c r="E261" s="70" t="str">
        <x:v>International Baccalaureate</x:v>
      </x:c>
      <x:c r="F261" s="70" t="str">
        <x:v>IB Diploma Programme</x:v>
      </x:c>
      <x:c r="G261" s="70" t="str">
        <x:v>国际</x:v>
      </x:c>
      <x:c r="H261" s="70" t="str">
        <x:v>整门课程</x:v>
      </x:c>
      <x:c r="I261" s="70" t="str">
        <x:v>外部考核＋内部评估依学科及guide版本而异</x:v>
      </x:c>
      <x:c r="J261" s="72" t="str">
        <x:v>100474</x:v>
      </x:c>
      <x:c r="K261" s="70" t="str">
        <x:v>IB官方2026科目表；具体guide/首末考季另核</x:v>
      </x:c>
      <x:c r="L261" s="73" t="n">
        <x:v>2600</x:v>
      </x:c>
      <x:c r="M261" s="70" t="str">
        <x:v>SL与HL为不同课程层级；同subject code不能静默合并；语言A/B/ab initio及历史HL地区选项分别记录。 目录层条目；未预填并不代表没有考试/实践/校评。</x:v>
      </x:c>
      <x:c r="N261" s="70" t="str">
        <x:v>V3-IBDP</x:v>
      </x:c>
    </x:row>
    <x:row r="262" ht="64" customHeight="1">
      <x:c r="A262" s="71" t="str">
        <x:v>C261</x:v>
      </x:c>
      <x:c r="B262" s="70" t="str">
        <x:v>S029</x:v>
      </x:c>
      <x:c r="C262" s="70" t="str">
        <x:v>IB DP Social and Cultural Anthropology SL</x:v>
      </x:c>
      <x:c r="D262" s="70" t="str">
        <x:v>IB DP Social and Cultural Anthropology SL</x:v>
      </x:c>
      <x:c r="E262" s="70" t="str">
        <x:v>International Baccalaureate</x:v>
      </x:c>
      <x:c r="F262" s="70" t="str">
        <x:v>IB Diploma Programme</x:v>
      </x:c>
      <x:c r="G262" s="70" t="str">
        <x:v>国际</x:v>
      </x:c>
      <x:c r="H262" s="70" t="str">
        <x:v>整门课程</x:v>
      </x:c>
      <x:c r="I262" s="70" t="str">
        <x:v>外部考核＋内部评估依学科及guide版本而异</x:v>
      </x:c>
      <x:c r="J262" s="72" t="str">
        <x:v>100532</x:v>
      </x:c>
      <x:c r="K262" s="70" t="str">
        <x:v>IB官方2026科目表；具体guide/首末考季另核</x:v>
      </x:c>
      <x:c r="L262" s="73" t="n">
        <x:v>2610</x:v>
      </x:c>
      <x:c r="M262" s="70" t="str">
        <x:v>SL与HL为不同课程层级；同subject code不能静默合并；语言A/B/ab initio及历史HL地区选项分别记录。 目录层条目；未预填并不代表没有考试/实践/校评。</x:v>
      </x:c>
      <x:c r="N262" s="70" t="str">
        <x:v>V3-IBDP</x:v>
      </x:c>
    </x:row>
    <x:row r="263" ht="64" customHeight="1">
      <x:c r="A263" s="71" t="str">
        <x:v>C262</x:v>
      </x:c>
      <x:c r="B263" s="70" t="str">
        <x:v>S029</x:v>
      </x:c>
      <x:c r="C263" s="70" t="str">
        <x:v>IB DP Social and Cultural Anthropology HL</x:v>
      </x:c>
      <x:c r="D263" s="70" t="str">
        <x:v>IB DP Social and Cultural Anthropology HL</x:v>
      </x:c>
      <x:c r="E263" s="70" t="str">
        <x:v>International Baccalaureate</x:v>
      </x:c>
      <x:c r="F263" s="70" t="str">
        <x:v>IB Diploma Programme</x:v>
      </x:c>
      <x:c r="G263" s="70" t="str">
        <x:v>国际</x:v>
      </x:c>
      <x:c r="H263" s="70" t="str">
        <x:v>整门课程</x:v>
      </x:c>
      <x:c r="I263" s="70" t="str">
        <x:v>外部考核＋内部评估依学科及guide版本而异</x:v>
      </x:c>
      <x:c r="J263" s="72" t="str">
        <x:v>100532</x:v>
      </x:c>
      <x:c r="K263" s="70" t="str">
        <x:v>IB官方2026科目表；具体guide/首末考季另核</x:v>
      </x:c>
      <x:c r="L263" s="73" t="n">
        <x:v>2620</x:v>
      </x:c>
      <x:c r="M263" s="70" t="str">
        <x:v>SL与HL为不同课程层级；同subject code不能静默合并；语言A/B/ab initio及历史HL地区选项分别记录。 目录层条目；未预填并不代表没有考试/实践/校评。</x:v>
      </x:c>
      <x:c r="N263" s="70" t="str">
        <x:v>V3-IBDP</x:v>
      </x:c>
    </x:row>
    <x:row r="264" ht="64" customHeight="1">
      <x:c r="A264" s="71" t="str">
        <x:v>C263</x:v>
      </x:c>
      <x:c r="B264" s="70" t="str">
        <x:v>S030</x:v>
      </x:c>
      <x:c r="C264" s="70" t="str">
        <x:v>IB DP World Religions SL</x:v>
      </x:c>
      <x:c r="D264" s="70" t="str">
        <x:v>IB DP World Religions SL</x:v>
      </x:c>
      <x:c r="E264" s="70" t="str">
        <x:v>International Baccalaureate</x:v>
      </x:c>
      <x:c r="F264" s="70" t="str">
        <x:v>IB Diploma Programme</x:v>
      </x:c>
      <x:c r="G264" s="70" t="str">
        <x:v>国际</x:v>
      </x:c>
      <x:c r="H264" s="70" t="str">
        <x:v>整门课程</x:v>
      </x:c>
      <x:c r="I264" s="70" t="str">
        <x:v>外部考核＋内部评估依学科及guide版本而异</x:v>
      </x:c>
      <x:c r="J264" s="72" t="str">
        <x:v>100619</x:v>
      </x:c>
      <x:c r="K264" s="70" t="str">
        <x:v>IB官方2026科目表；具体guide/首末考季另核</x:v>
      </x:c>
      <x:c r="L264" s="73" t="n">
        <x:v>2630</x:v>
      </x:c>
      <x:c r="M264" s="70" t="str">
        <x:v>SL与HL为不同课程层级；同subject code不能静默合并；语言A/B/ab initio及历史HL地区选项分别记录。 目录层条目；未预填并不代表没有考试/实践/校评。</x:v>
      </x:c>
      <x:c r="N264" s="70" t="str">
        <x:v>V3-IBDP</x:v>
      </x:c>
    </x:row>
    <x:row r="265" ht="64" customHeight="1">
      <x:c r="A265" s="71" t="str">
        <x:v>C264</x:v>
      </x:c>
      <x:c r="B265" s="70" t="str">
        <x:v>S004</x:v>
      </x:c>
      <x:c r="C265" s="70" t="str">
        <x:v>IB DP Biology SL</x:v>
      </x:c>
      <x:c r="D265" s="70" t="str">
        <x:v>IB DP Biology SL</x:v>
      </x:c>
      <x:c r="E265" s="70" t="str">
        <x:v>International Baccalaureate</x:v>
      </x:c>
      <x:c r="F265" s="70" t="str">
        <x:v>IB Diploma Programme</x:v>
      </x:c>
      <x:c r="G265" s="70" t="str">
        <x:v>国际</x:v>
      </x:c>
      <x:c r="H265" s="70" t="str">
        <x:v>整门课程</x:v>
      </x:c>
      <x:c r="I265" s="70" t="str">
        <x:v>外部考核＋内部评估依学科及guide版本而异</x:v>
      </x:c>
      <x:c r="J265" s="72" t="str">
        <x:v>100088</x:v>
      </x:c>
      <x:c r="K265" s="70" t="str">
        <x:v>IB官方2026科目表；具体guide/首末考季另核</x:v>
      </x:c>
      <x:c r="L265" s="73" t="n">
        <x:v>2640</x:v>
      </x:c>
      <x:c r="M265" s="70" t="str">
        <x:v>SL与HL为不同课程层级；同subject code不能静默合并；语言A/B/ab initio及历史HL地区选项分别记录。 目录层条目；未预填并不代表没有考试/实践/校评。</x:v>
      </x:c>
      <x:c r="N265" s="70" t="str">
        <x:v>V3-IBDP</x:v>
      </x:c>
    </x:row>
    <x:row r="266" ht="64" customHeight="1">
      <x:c r="A266" s="71" t="str">
        <x:v>C265</x:v>
      </x:c>
      <x:c r="B266" s="70" t="str">
        <x:v>S004</x:v>
      </x:c>
      <x:c r="C266" s="70" t="str">
        <x:v>IB DP Biology HL</x:v>
      </x:c>
      <x:c r="D266" s="70" t="str">
        <x:v>IB DP Biology HL</x:v>
      </x:c>
      <x:c r="E266" s="70" t="str">
        <x:v>International Baccalaureate</x:v>
      </x:c>
      <x:c r="F266" s="70" t="str">
        <x:v>IB Diploma Programme</x:v>
      </x:c>
      <x:c r="G266" s="70" t="str">
        <x:v>国际</x:v>
      </x:c>
      <x:c r="H266" s="70" t="str">
        <x:v>整门课程</x:v>
      </x:c>
      <x:c r="I266" s="70" t="str">
        <x:v>外部考核＋内部评估依学科及guide版本而异</x:v>
      </x:c>
      <x:c r="J266" s="72" t="str">
        <x:v>100088</x:v>
      </x:c>
      <x:c r="K266" s="70" t="str">
        <x:v>IB官方2026科目表；具体guide/首末考季另核</x:v>
      </x:c>
      <x:c r="L266" s="73" t="n">
        <x:v>2650</x:v>
      </x:c>
      <x:c r="M266" s="70" t="str">
        <x:v>SL与HL为不同课程层级；同subject code不能静默合并；语言A/B/ab initio及历史HL地区选项分别记录。 目录层条目；未预填并不代表没有考试/实践/校评。</x:v>
      </x:c>
      <x:c r="N266" s="70" t="str">
        <x:v>V3-IBDP</x:v>
      </x:c>
    </x:row>
    <x:row r="267" ht="64" customHeight="1">
      <x:c r="A267" s="71" t="str">
        <x:v>C266</x:v>
      </x:c>
      <x:c r="B267" s="70" t="str">
        <x:v>S003</x:v>
      </x:c>
      <x:c r="C267" s="70" t="str">
        <x:v>IB DP Chemistry SL</x:v>
      </x:c>
      <x:c r="D267" s="70" t="str">
        <x:v>IB DP Chemistry SL</x:v>
      </x:c>
      <x:c r="E267" s="70" t="str">
        <x:v>International Baccalaureate</x:v>
      </x:c>
      <x:c r="F267" s="70" t="str">
        <x:v>IB Diploma Programme</x:v>
      </x:c>
      <x:c r="G267" s="70" t="str">
        <x:v>国际</x:v>
      </x:c>
      <x:c r="H267" s="70" t="str">
        <x:v>整门课程</x:v>
      </x:c>
      <x:c r="I267" s="70" t="str">
        <x:v>外部考核＋内部评估依学科及guide版本而异</x:v>
      </x:c>
      <x:c r="J267" s="72" t="str">
        <x:v>100113</x:v>
      </x:c>
      <x:c r="K267" s="70" t="str">
        <x:v>IB官方2026科目表；具体guide/首末考季另核</x:v>
      </x:c>
      <x:c r="L267" s="73" t="n">
        <x:v>2660</x:v>
      </x:c>
      <x:c r="M267" s="70" t="str">
        <x:v>SL与HL为不同课程层级；同subject code不能静默合并；语言A/B/ab initio及历史HL地区选项分别记录。 目录层条目；未预填并不代表没有考试/实践/校评。</x:v>
      </x:c>
      <x:c r="N267" s="70" t="str">
        <x:v>V3-IBDP</x:v>
      </x:c>
    </x:row>
    <x:row r="268" ht="64" customHeight="1">
      <x:c r="A268" s="71" t="str">
        <x:v>C267</x:v>
      </x:c>
      <x:c r="B268" s="70" t="str">
        <x:v>S003</x:v>
      </x:c>
      <x:c r="C268" s="70" t="str">
        <x:v>IB DP Chemistry HL</x:v>
      </x:c>
      <x:c r="D268" s="70" t="str">
        <x:v>IB DP Chemistry HL</x:v>
      </x:c>
      <x:c r="E268" s="70" t="str">
        <x:v>International Baccalaureate</x:v>
      </x:c>
      <x:c r="F268" s="70" t="str">
        <x:v>IB Diploma Programme</x:v>
      </x:c>
      <x:c r="G268" s="70" t="str">
        <x:v>国际</x:v>
      </x:c>
      <x:c r="H268" s="70" t="str">
        <x:v>整门课程</x:v>
      </x:c>
      <x:c r="I268" s="70" t="str">
        <x:v>外部考核＋内部评估依学科及guide版本而异</x:v>
      </x:c>
      <x:c r="J268" s="72" t="str">
        <x:v>100113</x:v>
      </x:c>
      <x:c r="K268" s="70" t="str">
        <x:v>IB官方2026科目表；具体guide/首末考季另核</x:v>
      </x:c>
      <x:c r="L268" s="73" t="n">
        <x:v>2670</x:v>
      </x:c>
      <x:c r="M268" s="70" t="str">
        <x:v>SL与HL为不同课程层级；同subject code不能静默合并；语言A/B/ab initio及历史HL地区选项分别记录。 目录层条目；未预填并不代表没有考试/实践/校评。</x:v>
      </x:c>
      <x:c r="N268" s="70" t="str">
        <x:v>V3-IBDP</x:v>
      </x:c>
    </x:row>
    <x:row r="269" ht="64" customHeight="1">
      <x:c r="A269" s="71" t="str">
        <x:v>C268</x:v>
      </x:c>
      <x:c r="B269" s="70" t="str">
        <x:v>S005</x:v>
      </x:c>
      <x:c r="C269" s="70" t="str">
        <x:v>IB DP Computer Science SL</x:v>
      </x:c>
      <x:c r="D269" s="70" t="str">
        <x:v>IB DP Computer Science SL</x:v>
      </x:c>
      <x:c r="E269" s="70" t="str">
        <x:v>International Baccalaureate</x:v>
      </x:c>
      <x:c r="F269" s="70" t="str">
        <x:v>IB Diploma Programme</x:v>
      </x:c>
      <x:c r="G269" s="70" t="str">
        <x:v>国际</x:v>
      </x:c>
      <x:c r="H269" s="70" t="str">
        <x:v>整门课程</x:v>
      </x:c>
      <x:c r="I269" s="70" t="str">
        <x:v>外部考核＋内部评估依学科及guide版本而异</x:v>
      </x:c>
      <x:c r="J269" s="72" t="str">
        <x:v>100132</x:v>
      </x:c>
      <x:c r="K269" s="70" t="str">
        <x:v>IB官方2026科目表；具体guide/首末考季另核</x:v>
      </x:c>
      <x:c r="L269" s="73" t="n">
        <x:v>2680</x:v>
      </x:c>
      <x:c r="M269" s="70" t="str">
        <x:v>SL与HL为不同课程层级；同subject code不能静默合并；语言A/B/ab initio及历史HL地区选项分别记录。 目录层条目；未预填并不代表没有考试/实践/校评。</x:v>
      </x:c>
      <x:c r="N269" s="70" t="str">
        <x:v>V3-IBDP</x:v>
      </x:c>
    </x:row>
    <x:row r="270" ht="64" customHeight="1">
      <x:c r="A270" s="71" t="str">
        <x:v>C269</x:v>
      </x:c>
      <x:c r="B270" s="70" t="str">
        <x:v>S005</x:v>
      </x:c>
      <x:c r="C270" s="70" t="str">
        <x:v>IB DP Computer Science HL</x:v>
      </x:c>
      <x:c r="D270" s="70" t="str">
        <x:v>IB DP Computer Science HL</x:v>
      </x:c>
      <x:c r="E270" s="70" t="str">
        <x:v>International Baccalaureate</x:v>
      </x:c>
      <x:c r="F270" s="70" t="str">
        <x:v>IB Diploma Programme</x:v>
      </x:c>
      <x:c r="G270" s="70" t="str">
        <x:v>国际</x:v>
      </x:c>
      <x:c r="H270" s="70" t="str">
        <x:v>整门课程</x:v>
      </x:c>
      <x:c r="I270" s="70" t="str">
        <x:v>外部考核＋内部评估依学科及guide版本而异</x:v>
      </x:c>
      <x:c r="J270" s="72" t="str">
        <x:v>100132</x:v>
      </x:c>
      <x:c r="K270" s="70" t="str">
        <x:v>IB官方2026科目表；具体guide/首末考季另核</x:v>
      </x:c>
      <x:c r="L270" s="73" t="n">
        <x:v>2690</x:v>
      </x:c>
      <x:c r="M270" s="70" t="str">
        <x:v>SL与HL为不同课程层级；同subject code不能静默合并；语言A/B/ab initio及历史HL地区选项分别记录。 目录层条目；未预填并不代表没有考试/实践/校评。</x:v>
      </x:c>
      <x:c r="N270" s="70" t="str">
        <x:v>V3-IBDP</x:v>
      </x:c>
    </x:row>
    <x:row r="271" ht="64" customHeight="1">
      <x:c r="A271" s="71" t="str">
        <x:v>C270</x:v>
      </x:c>
      <x:c r="B271" s="70" t="str">
        <x:v>S033</x:v>
      </x:c>
      <x:c r="C271" s="70" t="str">
        <x:v>IB DP Design Technology SL</x:v>
      </x:c>
      <x:c r="D271" s="70" t="str">
        <x:v>IB DP Design Technology SL</x:v>
      </x:c>
      <x:c r="E271" s="70" t="str">
        <x:v>International Baccalaureate</x:v>
      </x:c>
      <x:c r="F271" s="70" t="str">
        <x:v>IB Diploma Programme</x:v>
      </x:c>
      <x:c r="G271" s="70" t="str">
        <x:v>国际</x:v>
      </x:c>
      <x:c r="H271" s="70" t="str">
        <x:v>整门课程</x:v>
      </x:c>
      <x:c r="I271" s="70" t="str">
        <x:v>外部考核＋内部评估依学科及guide版本而异</x:v>
      </x:c>
      <x:c r="J271" s="72" t="str">
        <x:v>100146</x:v>
      </x:c>
      <x:c r="K271" s="70" t="str">
        <x:v>IB官方2026科目表；具体guide/首末考季另核</x:v>
      </x:c>
      <x:c r="L271" s="73" t="n">
        <x:v>2700</x:v>
      </x:c>
      <x:c r="M271" s="70" t="str">
        <x:v>SL与HL为不同课程层级；同subject code不能静默合并；语言A/B/ab initio及历史HL地区选项分别记录。 目录层条目；未预填并不代表没有考试/实践/校评。</x:v>
      </x:c>
      <x:c r="N271" s="70" t="str">
        <x:v>V3-IBDP</x:v>
      </x:c>
    </x:row>
    <x:row r="272" ht="64" customHeight="1">
      <x:c r="A272" s="71" t="str">
        <x:v>C271</x:v>
      </x:c>
      <x:c r="B272" s="70" t="str">
        <x:v>S033</x:v>
      </x:c>
      <x:c r="C272" s="70" t="str">
        <x:v>IB DP Design Technology HL</x:v>
      </x:c>
      <x:c r="D272" s="70" t="str">
        <x:v>IB DP Design Technology HL</x:v>
      </x:c>
      <x:c r="E272" s="70" t="str">
        <x:v>International Baccalaureate</x:v>
      </x:c>
      <x:c r="F272" s="70" t="str">
        <x:v>IB Diploma Programme</x:v>
      </x:c>
      <x:c r="G272" s="70" t="str">
        <x:v>国际</x:v>
      </x:c>
      <x:c r="H272" s="70" t="str">
        <x:v>整门课程</x:v>
      </x:c>
      <x:c r="I272" s="70" t="str">
        <x:v>外部考核＋内部评估依学科及guide版本而异</x:v>
      </x:c>
      <x:c r="J272" s="72" t="str">
        <x:v>100146</x:v>
      </x:c>
      <x:c r="K272" s="70" t="str">
        <x:v>IB官方2026科目表；具体guide/首末考季另核</x:v>
      </x:c>
      <x:c r="L272" s="73" t="n">
        <x:v>2710</x:v>
      </x:c>
      <x:c r="M272" s="70" t="str">
        <x:v>SL与HL为不同课程层级；同subject code不能静默合并；语言A/B/ab initio及历史HL地区选项分别记录。 目录层条目；未预填并不代表没有考试/实践/校评。</x:v>
      </x:c>
      <x:c r="N272" s="70" t="str">
        <x:v>V3-IBDP</x:v>
      </x:c>
    </x:row>
    <x:row r="273" ht="64" customHeight="1">
      <x:c r="A273" s="71" t="str">
        <x:v>C272</x:v>
      </x:c>
      <x:c r="B273" s="70" t="str">
        <x:v>S002</x:v>
      </x:c>
      <x:c r="C273" s="70" t="str">
        <x:v>IB DP Physics SL</x:v>
      </x:c>
      <x:c r="D273" s="70" t="str">
        <x:v>IB DP Physics SL</x:v>
      </x:c>
      <x:c r="E273" s="70" t="str">
        <x:v>International Baccalaureate</x:v>
      </x:c>
      <x:c r="F273" s="70" t="str">
        <x:v>IB Diploma Programme</x:v>
      </x:c>
      <x:c r="G273" s="70" t="str">
        <x:v>国际</x:v>
      </x:c>
      <x:c r="H273" s="70" t="str">
        <x:v>整门课程</x:v>
      </x:c>
      <x:c r="I273" s="70" t="str">
        <x:v>外部考核＋内部评估依学科及guide版本而异</x:v>
      </x:c>
      <x:c r="J273" s="72" t="str">
        <x:v>100452</x:v>
      </x:c>
      <x:c r="K273" s="70" t="str">
        <x:v>IB官方2026科目表；具体guide/首末考季另核</x:v>
      </x:c>
      <x:c r="L273" s="73" t="n">
        <x:v>2720</x:v>
      </x:c>
      <x:c r="M273" s="70" t="str">
        <x:v>SL与HL为不同课程层级；同subject code不能静默合并；语言A/B/ab initio及历史HL地区选项分别记录。 目录层条目；未预填并不代表没有考试/实践/校评。</x:v>
      </x:c>
      <x:c r="N273" s="70" t="str">
        <x:v>V3-IBDP</x:v>
      </x:c>
    </x:row>
    <x:row r="274" ht="64" customHeight="1">
      <x:c r="A274" s="71" t="str">
        <x:v>C273</x:v>
      </x:c>
      <x:c r="B274" s="70" t="str">
        <x:v>S002</x:v>
      </x:c>
      <x:c r="C274" s="70" t="str">
        <x:v>IB DP Physics HL</x:v>
      </x:c>
      <x:c r="D274" s="70" t="str">
        <x:v>IB DP Physics HL</x:v>
      </x:c>
      <x:c r="E274" s="70" t="str">
        <x:v>International Baccalaureate</x:v>
      </x:c>
      <x:c r="F274" s="70" t="str">
        <x:v>IB Diploma Programme</x:v>
      </x:c>
      <x:c r="G274" s="70" t="str">
        <x:v>国际</x:v>
      </x:c>
      <x:c r="H274" s="70" t="str">
        <x:v>整门课程</x:v>
      </x:c>
      <x:c r="I274" s="70" t="str">
        <x:v>外部考核＋内部评估依学科及guide版本而异</x:v>
      </x:c>
      <x:c r="J274" s="72" t="str">
        <x:v>100452</x:v>
      </x:c>
      <x:c r="K274" s="70" t="str">
        <x:v>IB官方2026科目表；具体guide/首末考季另核</x:v>
      </x:c>
      <x:c r="L274" s="73" t="n">
        <x:v>2730</x:v>
      </x:c>
      <x:c r="M274" s="70" t="str">
        <x:v>SL与HL为不同课程层级；同subject code不能静默合并；语言A/B/ab initio及历史HL地区选项分别记录。 目录层条目；未预填并不代表没有考试/实践/校评。</x:v>
      </x:c>
      <x:c r="N274" s="70" t="str">
        <x:v>V3-IBDP</x:v>
      </x:c>
    </x:row>
    <x:row r="275" ht="64" customHeight="1">
      <x:c r="A275" s="71" t="str">
        <x:v>C274</x:v>
      </x:c>
      <x:c r="B275" s="70" t="str">
        <x:v>S032</x:v>
      </x:c>
      <x:c r="C275" s="70" t="str">
        <x:v>IB DP Sports, Exercise and Health Science SL</x:v>
      </x:c>
      <x:c r="D275" s="70" t="str">
        <x:v>IB DP Sports, Exercise and Health Science SL</x:v>
      </x:c>
      <x:c r="E275" s="70" t="str">
        <x:v>International Baccalaureate</x:v>
      </x:c>
      <x:c r="F275" s="70" t="str">
        <x:v>IB Diploma Programme</x:v>
      </x:c>
      <x:c r="G275" s="70" t="str">
        <x:v>国际</x:v>
      </x:c>
      <x:c r="H275" s="70" t="str">
        <x:v>整门课程</x:v>
      </x:c>
      <x:c r="I275" s="70" t="str">
        <x:v>外部考核＋内部评估依学科及guide版本而异</x:v>
      </x:c>
      <x:c r="J275" s="72" t="str">
        <x:v>100546</x:v>
      </x:c>
      <x:c r="K275" s="70" t="str">
        <x:v>IB官方2026科目表；具体guide/首末考季另核</x:v>
      </x:c>
      <x:c r="L275" s="73" t="n">
        <x:v>2740</x:v>
      </x:c>
      <x:c r="M275" s="70" t="str">
        <x:v>SL与HL为不同课程层级；同subject code不能静默合并；语言A/B/ab initio及历史HL地区选项分别记录。 目录层条目；未预填并不代表没有考试/实践/校评。</x:v>
      </x:c>
      <x:c r="N275" s="70" t="str">
        <x:v>V3-IBDP</x:v>
      </x:c>
    </x:row>
    <x:row r="276" ht="64" customHeight="1">
      <x:c r="A276" s="71" t="str">
        <x:v>C275</x:v>
      </x:c>
      <x:c r="B276" s="70" t="str">
        <x:v>S032</x:v>
      </x:c>
      <x:c r="C276" s="70" t="str">
        <x:v>IB DP Sports, Exercise and Health Science HL</x:v>
      </x:c>
      <x:c r="D276" s="70" t="str">
        <x:v>IB DP Sports, Exercise and Health Science HL</x:v>
      </x:c>
      <x:c r="E276" s="70" t="str">
        <x:v>International Baccalaureate</x:v>
      </x:c>
      <x:c r="F276" s="70" t="str">
        <x:v>IB Diploma Programme</x:v>
      </x:c>
      <x:c r="G276" s="70" t="str">
        <x:v>国际</x:v>
      </x:c>
      <x:c r="H276" s="70" t="str">
        <x:v>整门课程</x:v>
      </x:c>
      <x:c r="I276" s="70" t="str">
        <x:v>外部考核＋内部评估依学科及guide版本而异</x:v>
      </x:c>
      <x:c r="J276" s="72" t="str">
        <x:v>100546</x:v>
      </x:c>
      <x:c r="K276" s="70" t="str">
        <x:v>IB官方2026科目表；具体guide/首末考季另核</x:v>
      </x:c>
      <x:c r="L276" s="73" t="n">
        <x:v>2750</x:v>
      </x:c>
      <x:c r="M276" s="70" t="str">
        <x:v>SL与HL为不同课程层级；同subject code不能静默合并；语言A/B/ab initio及历史HL地区选项分别记录。 目录层条目；未预填并不代表没有考试/实践/校评。</x:v>
      </x:c>
      <x:c r="N276" s="70" t="str">
        <x:v>V3-IBDP</x:v>
      </x:c>
    </x:row>
    <x:row r="277" ht="64" customHeight="1">
      <x:c r="A277" s="71" t="str">
        <x:v>C276</x:v>
      </x:c>
      <x:c r="B277" s="70" t="str">
        <x:v>S031</x:v>
      </x:c>
      <x:c r="C277" s="70" t="str">
        <x:v>IB DP Environmental Systems and Societies SL</x:v>
      </x:c>
      <x:c r="D277" s="70" t="str">
        <x:v>IB DP Environmental Systems and Societies SL</x:v>
      </x:c>
      <x:c r="E277" s="70" t="str">
        <x:v>International Baccalaureate</x:v>
      </x:c>
      <x:c r="F277" s="70" t="str">
        <x:v>IB Diploma Programme</x:v>
      </x:c>
      <x:c r="G277" s="70" t="str">
        <x:v>国际</x:v>
      </x:c>
      <x:c r="H277" s="70" t="str">
        <x:v>整门课程</x:v>
      </x:c>
      <x:c r="I277" s="70" t="str">
        <x:v>外部考核＋内部评估依学科及guide版本而异</x:v>
      </x:c>
      <x:c r="J277" s="72" t="str">
        <x:v>100673</x:v>
      </x:c>
      <x:c r="K277" s="70" t="str">
        <x:v>IB官方2026科目表；具体guide/首末考季另核</x:v>
      </x:c>
      <x:c r="L277" s="73" t="n">
        <x:v>2760</x:v>
      </x:c>
      <x:c r="M277" s="70" t="str">
        <x:v>SL与HL为不同课程层级；同subject code不能静默合并；语言A/B/ab initio及历史HL地区选项分别记录。 目录层条目；未预填并不代表没有考试/实践/校评。</x:v>
      </x:c>
      <x:c r="N277" s="70" t="str">
        <x:v>V3-IBDP</x:v>
      </x:c>
    </x:row>
    <x:row r="278" ht="64" customHeight="1">
      <x:c r="A278" s="71" t="str">
        <x:v>C277</x:v>
      </x:c>
      <x:c r="B278" s="70" t="str">
        <x:v>S031</x:v>
      </x:c>
      <x:c r="C278" s="70" t="str">
        <x:v>IB DP Environmental Systems and Societies HL</x:v>
      </x:c>
      <x:c r="D278" s="70" t="str">
        <x:v>IB DP Environmental Systems and Societies HL</x:v>
      </x:c>
      <x:c r="E278" s="70" t="str">
        <x:v>International Baccalaureate</x:v>
      </x:c>
      <x:c r="F278" s="70" t="str">
        <x:v>IB Diploma Programme</x:v>
      </x:c>
      <x:c r="G278" s="70" t="str">
        <x:v>国际</x:v>
      </x:c>
      <x:c r="H278" s="70" t="str">
        <x:v>整门课程</x:v>
      </x:c>
      <x:c r="I278" s="70" t="str">
        <x:v>外部考核＋内部评估依学科及guide版本而异</x:v>
      </x:c>
      <x:c r="J278" s="72" t="str">
        <x:v>100673</x:v>
      </x:c>
      <x:c r="K278" s="70" t="str">
        <x:v>IB官方2026科目表；具体guide/首末考季另核</x:v>
      </x:c>
      <x:c r="L278" s="73" t="n">
        <x:v>2770</x:v>
      </x:c>
      <x:c r="M278" s="70" t="str">
        <x:v>SL与HL为不同课程层级；同subject code不能静默合并；语言A/B/ab initio及历史HL地区选项分别记录。 目录层条目；未预填并不代表没有考试/实践/校评。</x:v>
      </x:c>
      <x:c r="N278" s="70" t="str">
        <x:v>V3-IBDP</x:v>
      </x:c>
    </x:row>
    <x:row r="279" ht="64" customHeight="1">
      <x:c r="A279" s="71" t="str">
        <x:v>C278</x:v>
      </x:c>
      <x:c r="B279" s="70" t="str">
        <x:v>S001</x:v>
      </x:c>
      <x:c r="C279" s="70" t="str">
        <x:v>IB DP Mathematics: Analysis and Approaches SL</x:v>
      </x:c>
      <x:c r="D279" s="70" t="str">
        <x:v>IB DP Mathematics: Analysis and Approaches SL</x:v>
      </x:c>
      <x:c r="E279" s="70" t="str">
        <x:v>International Baccalaureate</x:v>
      </x:c>
      <x:c r="F279" s="70" t="str">
        <x:v>IB Diploma Programme</x:v>
      </x:c>
      <x:c r="G279" s="70" t="str">
        <x:v>国际</x:v>
      </x:c>
      <x:c r="H279" s="70" t="str">
        <x:v>整门课程</x:v>
      </x:c>
      <x:c r="I279" s="70" t="str">
        <x:v>外部考核＋内部评估依学科及guide版本而异</x:v>
      </x:c>
      <x:c r="J279" s="72" t="str">
        <x:v>166711</x:v>
      </x:c>
      <x:c r="K279" s="70" t="str">
        <x:v>IB官方2026科目表；具体guide/首末考季另核</x:v>
      </x:c>
      <x:c r="L279" s="73" t="n">
        <x:v>2780</x:v>
      </x:c>
      <x:c r="M279" s="70" t="str">
        <x:v>SL与HL为不同课程层级；同subject code不能静默合并；语言A/B/ab initio及历史HL地区选项分别记录。 目录层条目；未预填并不代表没有考试/实践/校评。</x:v>
      </x:c>
      <x:c r="N279" s="70" t="str">
        <x:v>V3-IBDP</x:v>
      </x:c>
    </x:row>
    <x:row r="280" ht="64" customHeight="1">
      <x:c r="A280" s="71" t="str">
        <x:v>C279</x:v>
      </x:c>
      <x:c r="B280" s="70" t="str">
        <x:v>S001</x:v>
      </x:c>
      <x:c r="C280" s="70" t="str">
        <x:v>IB DP Mathematics: Analysis and Approaches HL</x:v>
      </x:c>
      <x:c r="D280" s="70" t="str">
        <x:v>IB DP Mathematics: Analysis and Approaches HL</x:v>
      </x:c>
      <x:c r="E280" s="70" t="str">
        <x:v>International Baccalaureate</x:v>
      </x:c>
      <x:c r="F280" s="70" t="str">
        <x:v>IB Diploma Programme</x:v>
      </x:c>
      <x:c r="G280" s="70" t="str">
        <x:v>国际</x:v>
      </x:c>
      <x:c r="H280" s="70" t="str">
        <x:v>整门课程</x:v>
      </x:c>
      <x:c r="I280" s="70" t="str">
        <x:v>外部考核＋内部评估依学科及guide版本而异</x:v>
      </x:c>
      <x:c r="J280" s="72" t="str">
        <x:v>166711</x:v>
      </x:c>
      <x:c r="K280" s="70" t="str">
        <x:v>IB官方2026科目表；具体guide/首末考季另核</x:v>
      </x:c>
      <x:c r="L280" s="73" t="n">
        <x:v>2790</x:v>
      </x:c>
      <x:c r="M280" s="70" t="str">
        <x:v>SL与HL为不同课程层级；同subject code不能静默合并；语言A/B/ab initio及历史HL地区选项分别记录。 目录层条目；未预填并不代表没有考试/实践/校评。</x:v>
      </x:c>
      <x:c r="N280" s="70" t="str">
        <x:v>V3-IBDP</x:v>
      </x:c>
    </x:row>
    <x:row r="281" ht="64" customHeight="1">
      <x:c r="A281" s="71" t="str">
        <x:v>C280</x:v>
      </x:c>
      <x:c r="B281" s="70" t="str">
        <x:v>S001</x:v>
      </x:c>
      <x:c r="C281" s="70" t="str">
        <x:v>IB DP Mathematics: Applications and Interpretation SL</x:v>
      </x:c>
      <x:c r="D281" s="70" t="str">
        <x:v>IB DP Mathematics: Applications and Interpretation SL</x:v>
      </x:c>
      <x:c r="E281" s="70" t="str">
        <x:v>International Baccalaureate</x:v>
      </x:c>
      <x:c r="F281" s="70" t="str">
        <x:v>IB Diploma Programme</x:v>
      </x:c>
      <x:c r="G281" s="70" t="str">
        <x:v>国际</x:v>
      </x:c>
      <x:c r="H281" s="70" t="str">
        <x:v>整门课程</x:v>
      </x:c>
      <x:c r="I281" s="70" t="str">
        <x:v>外部考核＋内部评估依学科及guide版本而异</x:v>
      </x:c>
      <x:c r="J281" s="72" t="str">
        <x:v>166712</x:v>
      </x:c>
      <x:c r="K281" s="70" t="str">
        <x:v>IB官方2026科目表；具体guide/首末考季另核</x:v>
      </x:c>
      <x:c r="L281" s="73" t="n">
        <x:v>2800</x:v>
      </x:c>
      <x:c r="M281" s="70" t="str">
        <x:v>SL与HL为不同课程层级；同subject code不能静默合并；语言A/B/ab initio及历史HL地区选项分别记录。 目录层条目；未预填并不代表没有考试/实践/校评。</x:v>
      </x:c>
      <x:c r="N281" s="70" t="str">
        <x:v>V3-IBDP</x:v>
      </x:c>
    </x:row>
    <x:row r="282" ht="64" customHeight="1">
      <x:c r="A282" s="71" t="str">
        <x:v>C281</x:v>
      </x:c>
      <x:c r="B282" s="70" t="str">
        <x:v>S001</x:v>
      </x:c>
      <x:c r="C282" s="70" t="str">
        <x:v>IB DP Mathematics: Applications and Interpretation HL</x:v>
      </x:c>
      <x:c r="D282" s="70" t="str">
        <x:v>IB DP Mathematics: Applications and Interpretation HL</x:v>
      </x:c>
      <x:c r="E282" s="70" t="str">
        <x:v>International Baccalaureate</x:v>
      </x:c>
      <x:c r="F282" s="70" t="str">
        <x:v>IB Diploma Programme</x:v>
      </x:c>
      <x:c r="G282" s="70" t="str">
        <x:v>国际</x:v>
      </x:c>
      <x:c r="H282" s="70" t="str">
        <x:v>整门课程</x:v>
      </x:c>
      <x:c r="I282" s="70" t="str">
        <x:v>外部考核＋内部评估依学科及guide版本而异</x:v>
      </x:c>
      <x:c r="J282" s="72" t="str">
        <x:v>166712</x:v>
      </x:c>
      <x:c r="K282" s="70" t="str">
        <x:v>IB官方2026科目表；具体guide/首末考季另核</x:v>
      </x:c>
      <x:c r="L282" s="73" t="n">
        <x:v>2810</x:v>
      </x:c>
      <x:c r="M282" s="70" t="str">
        <x:v>SL与HL为不同课程层级；同subject code不能静默合并；语言A/B/ab initio及历史HL地区选项分别记录。 目录层条目；未预填并不代表没有考试/实践/校评。</x:v>
      </x:c>
      <x:c r="N282" s="70" t="str">
        <x:v>V3-IBDP</x:v>
      </x:c>
    </x:row>
    <x:row r="283" ht="64" customHeight="1">
      <x:c r="A283" s="71" t="str">
        <x:v>C282</x:v>
      </x:c>
      <x:c r="B283" s="70" t="str">
        <x:v>S028</x:v>
      </x:c>
      <x:c r="C283" s="70" t="str">
        <x:v>IB DP Dance SL</x:v>
      </x:c>
      <x:c r="D283" s="70" t="str">
        <x:v>IB DP Dance SL</x:v>
      </x:c>
      <x:c r="E283" s="70" t="str">
        <x:v>International Baccalaureate</x:v>
      </x:c>
      <x:c r="F283" s="70" t="str">
        <x:v>IB Diploma Programme</x:v>
      </x:c>
      <x:c r="G283" s="70" t="str">
        <x:v>国际</x:v>
      </x:c>
      <x:c r="H283" s="70" t="str">
        <x:v>整门课程</x:v>
      </x:c>
      <x:c r="I283" s="70" t="str">
        <x:v>外部考核＋内部评估依学科及guide版本而异</x:v>
      </x:c>
      <x:c r="J283" s="72" t="str">
        <x:v>100140</x:v>
      </x:c>
      <x:c r="K283" s="70" t="str">
        <x:v>IB官方2026科目表；具体guide/首末考季另核</x:v>
      </x:c>
      <x:c r="L283" s="73" t="n">
        <x:v>2820</x:v>
      </x:c>
      <x:c r="M283" s="70" t="str">
        <x:v>SL与HL为不同课程层级；同subject code不能静默合并；语言A/B/ab initio及历史HL地区选项分别记录。 目录层条目；未预填并不代表没有考试/实践/校评。</x:v>
      </x:c>
      <x:c r="N283" s="70" t="str">
        <x:v>V3-IBDP</x:v>
      </x:c>
    </x:row>
    <x:row r="284" ht="64" customHeight="1">
      <x:c r="A284" s="71" t="str">
        <x:v>C283</x:v>
      </x:c>
      <x:c r="B284" s="70" t="str">
        <x:v>S028</x:v>
      </x:c>
      <x:c r="C284" s="70" t="str">
        <x:v>IB DP Dance HL</x:v>
      </x:c>
      <x:c r="D284" s="70" t="str">
        <x:v>IB DP Dance HL</x:v>
      </x:c>
      <x:c r="E284" s="70" t="str">
        <x:v>International Baccalaureate</x:v>
      </x:c>
      <x:c r="F284" s="70" t="str">
        <x:v>IB Diploma Programme</x:v>
      </x:c>
      <x:c r="G284" s="70" t="str">
        <x:v>国际</x:v>
      </x:c>
      <x:c r="H284" s="70" t="str">
        <x:v>整门课程</x:v>
      </x:c>
      <x:c r="I284" s="70" t="str">
        <x:v>外部考核＋内部评估依学科及guide版本而异</x:v>
      </x:c>
      <x:c r="J284" s="72" t="str">
        <x:v>100140</x:v>
      </x:c>
      <x:c r="K284" s="70" t="str">
        <x:v>IB官方2026科目表；具体guide/首末考季另核</x:v>
      </x:c>
      <x:c r="L284" s="73" t="n">
        <x:v>2830</x:v>
      </x:c>
      <x:c r="M284" s="70" t="str">
        <x:v>SL与HL为不同课程层级；同subject code不能静默合并；语言A/B/ab initio及历史HL地区选项分别记录。 目录层条目；未预填并不代表没有考试/实践/校评。</x:v>
      </x:c>
      <x:c r="N284" s="70" t="str">
        <x:v>V3-IBDP</x:v>
      </x:c>
    </x:row>
    <x:row r="285" ht="64" customHeight="1">
      <x:c r="A285" s="71" t="str">
        <x:v>C284</x:v>
      </x:c>
      <x:c r="B285" s="70" t="str">
        <x:v>S034</x:v>
      </x:c>
      <x:c r="C285" s="70" t="str">
        <x:v>IB DP Film SL</x:v>
      </x:c>
      <x:c r="D285" s="70" t="str">
        <x:v>IB DP Film SL</x:v>
      </x:c>
      <x:c r="E285" s="70" t="str">
        <x:v>International Baccalaureate</x:v>
      </x:c>
      <x:c r="F285" s="70" t="str">
        <x:v>IB Diploma Programme</x:v>
      </x:c>
      <x:c r="G285" s="70" t="str">
        <x:v>国际</x:v>
      </x:c>
      <x:c r="H285" s="70" t="str">
        <x:v>整门课程</x:v>
      </x:c>
      <x:c r="I285" s="70" t="str">
        <x:v>外部考核＋内部评估依学科及guide版本而异</x:v>
      </x:c>
      <x:c r="J285" s="72" t="str">
        <x:v>100200</x:v>
      </x:c>
      <x:c r="K285" s="70" t="str">
        <x:v>IB官方2026科目表；具体guide/首末考季另核</x:v>
      </x:c>
      <x:c r="L285" s="73" t="n">
        <x:v>2840</x:v>
      </x:c>
      <x:c r="M285" s="70" t="str">
        <x:v>SL与HL为不同课程层级；同subject code不能静默合并；语言A/B/ab initio及历史HL地区选项分别记录。 目录层条目；未预填并不代表没有考试/实践/校评。</x:v>
      </x:c>
      <x:c r="N285" s="70" t="str">
        <x:v>V3-IBDP</x:v>
      </x:c>
    </x:row>
    <x:row r="286" ht="64" customHeight="1">
      <x:c r="A286" s="71" t="str">
        <x:v>C285</x:v>
      </x:c>
      <x:c r="B286" s="70" t="str">
        <x:v>S034</x:v>
      </x:c>
      <x:c r="C286" s="70" t="str">
        <x:v>IB DP Film HL</x:v>
      </x:c>
      <x:c r="D286" s="70" t="str">
        <x:v>IB DP Film HL</x:v>
      </x:c>
      <x:c r="E286" s="70" t="str">
        <x:v>International Baccalaureate</x:v>
      </x:c>
      <x:c r="F286" s="70" t="str">
        <x:v>IB Diploma Programme</x:v>
      </x:c>
      <x:c r="G286" s="70" t="str">
        <x:v>国际</x:v>
      </x:c>
      <x:c r="H286" s="70" t="str">
        <x:v>整门课程</x:v>
      </x:c>
      <x:c r="I286" s="70" t="str">
        <x:v>外部考核＋内部评估依学科及guide版本而异</x:v>
      </x:c>
      <x:c r="J286" s="72" t="str">
        <x:v>100200</x:v>
      </x:c>
      <x:c r="K286" s="70" t="str">
        <x:v>IB官方2026科目表；具体guide/首末考季另核</x:v>
      </x:c>
      <x:c r="L286" s="73" t="n">
        <x:v>2850</x:v>
      </x:c>
      <x:c r="M286" s="70" t="str">
        <x:v>SL与HL为不同课程层级；同subject code不能静默合并；语言A/B/ab initio及历史HL地区选项分别记录。 目录层条目；未预填并不代表没有考试/实践/校评。</x:v>
      </x:c>
      <x:c r="N286" s="70" t="str">
        <x:v>V3-IBDP</x:v>
      </x:c>
    </x:row>
    <x:row r="287" ht="64" customHeight="1">
      <x:c r="A287" s="71" t="str">
        <x:v>C286</x:v>
      </x:c>
      <x:c r="B287" s="70" t="str">
        <x:v>S027</x:v>
      </x:c>
      <x:c r="C287" s="70" t="str">
        <x:v>IB DP Music SL</x:v>
      </x:c>
      <x:c r="D287" s="70" t="str">
        <x:v>IB DP Music SL</x:v>
      </x:c>
      <x:c r="E287" s="70" t="str">
        <x:v>International Baccalaureate</x:v>
      </x:c>
      <x:c r="F287" s="70" t="str">
        <x:v>IB Diploma Programme</x:v>
      </x:c>
      <x:c r="G287" s="70" t="str">
        <x:v>国际</x:v>
      </x:c>
      <x:c r="H287" s="70" t="str">
        <x:v>整门课程</x:v>
      </x:c>
      <x:c r="I287" s="70" t="str">
        <x:v>外部考核＋内部评估依学科及guide版本而异</x:v>
      </x:c>
      <x:c r="J287" s="72" t="str">
        <x:v>100402</x:v>
      </x:c>
      <x:c r="K287" s="70" t="str">
        <x:v>IB官方2026科目表；具体guide/首末考季另核</x:v>
      </x:c>
      <x:c r="L287" s="73" t="n">
        <x:v>2860</x:v>
      </x:c>
      <x:c r="M287" s="70" t="str">
        <x:v>SL与HL为不同课程层级；同subject code不能静默合并；语言A/B/ab initio及历史HL地区选项分别记录。 目录层条目；未预填并不代表没有考试/实践/校评。</x:v>
      </x:c>
      <x:c r="N287" s="70" t="str">
        <x:v>V3-IBDP</x:v>
      </x:c>
    </x:row>
    <x:row r="288" ht="64" customHeight="1">
      <x:c r="A288" s="71" t="str">
        <x:v>C287</x:v>
      </x:c>
      <x:c r="B288" s="70" t="str">
        <x:v>S027</x:v>
      </x:c>
      <x:c r="C288" s="70" t="str">
        <x:v>IB DP Music HL</x:v>
      </x:c>
      <x:c r="D288" s="70" t="str">
        <x:v>IB DP Music HL</x:v>
      </x:c>
      <x:c r="E288" s="70" t="str">
        <x:v>International Baccalaureate</x:v>
      </x:c>
      <x:c r="F288" s="70" t="str">
        <x:v>IB Diploma Programme</x:v>
      </x:c>
      <x:c r="G288" s="70" t="str">
        <x:v>国际</x:v>
      </x:c>
      <x:c r="H288" s="70" t="str">
        <x:v>整门课程</x:v>
      </x:c>
      <x:c r="I288" s="70" t="str">
        <x:v>外部考核＋内部评估依学科及guide版本而异</x:v>
      </x:c>
      <x:c r="J288" s="72" t="str">
        <x:v>100402</x:v>
      </x:c>
      <x:c r="K288" s="70" t="str">
        <x:v>IB官方2026科目表；具体guide/首末考季另核</x:v>
      </x:c>
      <x:c r="L288" s="73" t="n">
        <x:v>2870</x:v>
      </x:c>
      <x:c r="M288" s="70" t="str">
        <x:v>SL与HL为不同课程层级；同subject code不能静默合并；语言A/B/ab initio及历史HL地区选项分别记录。 目录层条目；未预填并不代表没有考试/实践/校评。</x:v>
      </x:c>
      <x:c r="N288" s="70" t="str">
        <x:v>V3-IBDP</x:v>
      </x:c>
    </x:row>
    <x:row r="289" ht="64" customHeight="1">
      <x:c r="A289" s="71" t="str">
        <x:v>C288</x:v>
      </x:c>
      <x:c r="B289" s="70" t="str">
        <x:v>S028</x:v>
      </x:c>
      <x:c r="C289" s="70" t="str">
        <x:v>IB DP Theatre SL</x:v>
      </x:c>
      <x:c r="D289" s="70" t="str">
        <x:v>IB DP Theatre SL</x:v>
      </x:c>
      <x:c r="E289" s="70" t="str">
        <x:v>International Baccalaureate</x:v>
      </x:c>
      <x:c r="F289" s="70" t="str">
        <x:v>IB Diploma Programme</x:v>
      </x:c>
      <x:c r="G289" s="70" t="str">
        <x:v>国际</x:v>
      </x:c>
      <x:c r="H289" s="70" t="str">
        <x:v>整门课程</x:v>
      </x:c>
      <x:c r="I289" s="70" t="str">
        <x:v>外部考核＋内部评估依学科及guide版本而异</x:v>
      </x:c>
      <x:c r="J289" s="72" t="str">
        <x:v>100575</x:v>
      </x:c>
      <x:c r="K289" s="70" t="str">
        <x:v>IB官方2026科目表；具体guide/首末考季另核</x:v>
      </x:c>
      <x:c r="L289" s="73" t="n">
        <x:v>2880</x:v>
      </x:c>
      <x:c r="M289" s="70" t="str">
        <x:v>SL与HL为不同课程层级；同subject code不能静默合并；语言A/B/ab initio及历史HL地区选项分别记录。 目录层条目；未预填并不代表没有考试/实践/校评。</x:v>
      </x:c>
      <x:c r="N289" s="70" t="str">
        <x:v>V3-IBDP</x:v>
      </x:c>
    </x:row>
    <x:row r="290" ht="64" customHeight="1">
      <x:c r="A290" s="71" t="str">
        <x:v>C289</x:v>
      </x:c>
      <x:c r="B290" s="70" t="str">
        <x:v>S028</x:v>
      </x:c>
      <x:c r="C290" s="70" t="str">
        <x:v>IB DP Theatre HL</x:v>
      </x:c>
      <x:c r="D290" s="70" t="str">
        <x:v>IB DP Theatre HL</x:v>
      </x:c>
      <x:c r="E290" s="70" t="str">
        <x:v>International Baccalaureate</x:v>
      </x:c>
      <x:c r="F290" s="70" t="str">
        <x:v>IB Diploma Programme</x:v>
      </x:c>
      <x:c r="G290" s="70" t="str">
        <x:v>国际</x:v>
      </x:c>
      <x:c r="H290" s="70" t="str">
        <x:v>整门课程</x:v>
      </x:c>
      <x:c r="I290" s="70" t="str">
        <x:v>外部考核＋内部评估依学科及guide版本而异</x:v>
      </x:c>
      <x:c r="J290" s="72" t="str">
        <x:v>100575</x:v>
      </x:c>
      <x:c r="K290" s="70" t="str">
        <x:v>IB官方2026科目表；具体guide/首末考季另核</x:v>
      </x:c>
      <x:c r="L290" s="73" t="n">
        <x:v>2890</x:v>
      </x:c>
      <x:c r="M290" s="70" t="str">
        <x:v>SL与HL为不同课程层级；同subject code不能静默合并；语言A/B/ab initio及历史HL地区选项分别记录。 目录层条目；未预填并不代表没有考试/实践/校评。</x:v>
      </x:c>
      <x:c r="N290" s="70" t="str">
        <x:v>V3-IBDP</x:v>
      </x:c>
    </x:row>
    <x:row r="291" ht="64" customHeight="1">
      <x:c r="A291" s="71" t="str">
        <x:v>C290</x:v>
      </x:c>
      <x:c r="B291" s="70" t="str">
        <x:v>S026</x:v>
      </x:c>
      <x:c r="C291" s="70" t="str">
        <x:v>IB DP Visual Arts SL</x:v>
      </x:c>
      <x:c r="D291" s="70" t="str">
        <x:v>IB DP Visual Arts SL</x:v>
      </x:c>
      <x:c r="E291" s="70" t="str">
        <x:v>International Baccalaureate</x:v>
      </x:c>
      <x:c r="F291" s="70" t="str">
        <x:v>IB Diploma Programme</x:v>
      </x:c>
      <x:c r="G291" s="70" t="str">
        <x:v>国际</x:v>
      </x:c>
      <x:c r="H291" s="70" t="str">
        <x:v>整门课程</x:v>
      </x:c>
      <x:c r="I291" s="70" t="str">
        <x:v>外部考核＋内部评估依学科及guide版本而异</x:v>
      </x:c>
      <x:c r="J291" s="72" t="str">
        <x:v>100608</x:v>
      </x:c>
      <x:c r="K291" s="70" t="str">
        <x:v>IB官方2026科目表；具体guide/首末考季另核</x:v>
      </x:c>
      <x:c r="L291" s="73" t="n">
        <x:v>2900</x:v>
      </x:c>
      <x:c r="M291" s="70" t="str">
        <x:v>SL与HL为不同课程层级；同subject code不能静默合并；语言A/B/ab initio及历史HL地区选项分别记录。 目录层条目；未预填并不代表没有考试/实践/校评。</x:v>
      </x:c>
      <x:c r="N291" s="70" t="str">
        <x:v>V3-IBDP</x:v>
      </x:c>
    </x:row>
    <x:row r="292" ht="64" customHeight="1">
      <x:c r="A292" s="71" t="str">
        <x:v>C291</x:v>
      </x:c>
      <x:c r="B292" s="70" t="str">
        <x:v>S026</x:v>
      </x:c>
      <x:c r="C292" s="70" t="str">
        <x:v>IB DP Visual Arts HL</x:v>
      </x:c>
      <x:c r="D292" s="70" t="str">
        <x:v>IB DP Visual Arts HL</x:v>
      </x:c>
      <x:c r="E292" s="70" t="str">
        <x:v>International Baccalaureate</x:v>
      </x:c>
      <x:c r="F292" s="70" t="str">
        <x:v>IB Diploma Programme</x:v>
      </x:c>
      <x:c r="G292" s="70" t="str">
        <x:v>国际</x:v>
      </x:c>
      <x:c r="H292" s="70" t="str">
        <x:v>整门课程</x:v>
      </x:c>
      <x:c r="I292" s="70" t="str">
        <x:v>外部考核＋内部评估依学科及guide版本而异</x:v>
      </x:c>
      <x:c r="J292" s="72" t="str">
        <x:v>100608</x:v>
      </x:c>
      <x:c r="K292" s="70" t="str">
        <x:v>IB官方2026科目表；具体guide/首末考季另核</x:v>
      </x:c>
      <x:c r="L292" s="73" t="n">
        <x:v>2910</x:v>
      </x:c>
      <x:c r="M292" s="70" t="str">
        <x:v>SL与HL为不同课程层级；同subject code不能静默合并；语言A/B/ab initio及历史HL地区选项分别记录。 目录层条目；未预填并不代表没有考试/实践/校评。</x:v>
      </x:c>
      <x:c r="N292" s="70" t="str">
        <x:v>V3-IBDP</x:v>
      </x:c>
    </x:row>
    <x:row r="293" ht="64" customHeight="1">
      <x:c r="A293" s="71" t="str">
        <x:v>C292</x:v>
      </x:c>
      <x:c r="B293" s="70" t="str">
        <x:v>S036</x:v>
      </x:c>
      <x:c r="C293" s="70" t="str">
        <x:v>IB DP Theory of Knowledge (TOK) DP core</x:v>
      </x:c>
      <x:c r="D293" s="70" t="str">
        <x:v>IB DP Theory of Knowledge (TOK) DP core</x:v>
      </x:c>
      <x:c r="E293" s="70" t="str">
        <x:v>International Baccalaureate</x:v>
      </x:c>
      <x:c r="F293" s="70" t="str">
        <x:v>IB Diploma Programme</x:v>
      </x:c>
      <x:c r="G293" s="70" t="str">
        <x:v>国际</x:v>
      </x:c>
      <x:c r="H293" s="70" t="str">
        <x:v>整门课程</x:v>
      </x:c>
      <x:c r="I293" s="70" t="str">
        <x:v>核心项目评价／完成要求</x:v>
      </x:c>
      <x:c r="J293" s="72"/>
      <x:c r="K293" s="70" t="str">
        <x:v>2026-09-17目录快照；按开课/考试年份复核</x:v>
      </x:c>
      <x:c r="L293" s="73" t="n">
        <x:v>2920</x:v>
      </x:c>
      <x:c r="M293" s="70" t="str">
        <x:v>DP核心组成；不当作SL/HL学科。CAS为完成要求，不自动生成1–7学科分。 目录层条目；未预填并不代表没有考试/实践/校评。</x:v>
      </x:c>
      <x:c r="N293" s="70" t="str">
        <x:v>V3-IB-CORE</x:v>
      </x:c>
    </x:row>
    <x:row r="294" ht="64" customHeight="1">
      <x:c r="A294" s="71" t="str">
        <x:v>C293</x:v>
      </x:c>
      <x:c r="B294" s="70" t="str">
        <x:v>S036</x:v>
      </x:c>
      <x:c r="C294" s="70" t="str">
        <x:v>IB DP Extended Essay (EE) DP core</x:v>
      </x:c>
      <x:c r="D294" s="70" t="str">
        <x:v>IB DP Extended Essay (EE) DP core</x:v>
      </x:c>
      <x:c r="E294" s="70" t="str">
        <x:v>International Baccalaureate</x:v>
      </x:c>
      <x:c r="F294" s="70" t="str">
        <x:v>IB Diploma Programme</x:v>
      </x:c>
      <x:c r="G294" s="70" t="str">
        <x:v>国际</x:v>
      </x:c>
      <x:c r="H294" s="70" t="str">
        <x:v>整门课程</x:v>
      </x:c>
      <x:c r="I294" s="70" t="str">
        <x:v>核心项目评价／完成要求</x:v>
      </x:c>
      <x:c r="J294" s="72"/>
      <x:c r="K294" s="70" t="str">
        <x:v>2026-09-17目录快照；按开课/考试年份复核</x:v>
      </x:c>
      <x:c r="L294" s="73" t="n">
        <x:v>2930</x:v>
      </x:c>
      <x:c r="M294" s="70" t="str">
        <x:v>DP核心组成；不当作SL/HL学科。CAS为完成要求，不自动生成1–7学科分。 目录层条目；未预填并不代表没有考试/实践/校评。</x:v>
      </x:c>
      <x:c r="N294" s="70" t="str">
        <x:v>V3-IB-CORE</x:v>
      </x:c>
    </x:row>
    <x:row r="295" ht="64" customHeight="1">
      <x:c r="A295" s="71" t="str">
        <x:v>C294</x:v>
      </x:c>
      <x:c r="B295" s="70" t="str">
        <x:v>S036</x:v>
      </x:c>
      <x:c r="C295" s="70" t="str">
        <x:v>IB DP Creativity, Activity, Service (CAS) DP core</x:v>
      </x:c>
      <x:c r="D295" s="70" t="str">
        <x:v>IB DP Creativity, Activity, Service (CAS) DP core</x:v>
      </x:c>
      <x:c r="E295" s="70" t="str">
        <x:v>International Baccalaureate</x:v>
      </x:c>
      <x:c r="F295" s="70" t="str">
        <x:v>IB Diploma Programme</x:v>
      </x:c>
      <x:c r="G295" s="70" t="str">
        <x:v>国际</x:v>
      </x:c>
      <x:c r="H295" s="70" t="str">
        <x:v>整门课程</x:v>
      </x:c>
      <x:c r="I295" s="70" t="str">
        <x:v>核心项目评价／完成要求</x:v>
      </x:c>
      <x:c r="J295" s="72"/>
      <x:c r="K295" s="70" t="str">
        <x:v>2026-09-17目录快照；按开课/考试年份复核</x:v>
      </x:c>
      <x:c r="L295" s="73" t="n">
        <x:v>2940</x:v>
      </x:c>
      <x:c r="M295" s="70" t="str">
        <x:v>DP核心组成；不当作SL/HL学科。CAS为完成要求，不自动生成1–7学科分。 目录层条目；未预填并不代表没有考试/实践/校评。</x:v>
      </x:c>
      <x:c r="N295" s="70" t="str">
        <x:v>V3-IB-CORE</x:v>
      </x:c>
    </x:row>
    <x:row r="296" ht="64" customHeight="1">
      <x:c r="A296" s="71" t="str">
        <x:v>C295</x:v>
      </x:c>
      <x:c r="B296" s="70" t="str">
        <x:v>S025</x:v>
      </x:c>
      <x:c r="C296" s="70" t="str">
        <x:v>Singapore A-Level Bengali H1</x:v>
      </x:c>
      <x:c r="D296" s="70" t="str">
        <x:v>Singapore A-Level Bengali H1</x:v>
      </x:c>
      <x:c r="E296" s="70" t="str">
        <x:v>Singapore Examinations and Assessment Board (SEAB)</x:v>
      </x:c>
      <x:c r="F296" s="70" t="str">
        <x:v>Singapore-Cambridge GCE A-Level</x:v>
      </x:c>
      <x:c r="G296" s="70" t="str">
        <x:v>新加坡</x:v>
      </x:c>
      <x:c r="H296" s="70" t="str">
        <x:v>整门课程</x:v>
      </x:c>
      <x:c r="I296" s="70" t="str">
        <x:v>按学科大纲；未展开考核明细</x:v>
      </x:c>
      <x:c r="J296" s="72" t="str">
        <x:v>8827</x:v>
      </x:c>
      <x:c r="K296" s="70" t="str">
        <x:v>2026学校考生；2027启用须对照V3-SG27</x:v>
      </x:c>
      <x:c r="L296" s="73" t="n">
        <x:v>2950</x:v>
      </x:c>
      <x:c r="M296" s="70" t="str">
        <x:v>以SEAB学校考生清单为准；H1/H2/H3不是Cambridge International AS/A Level，不共享大纲或报考代码。 目录层条目；未预填并不代表没有考试/实践/校评。</x:v>
      </x:c>
      <x:c r="N296" s="70" t="str">
        <x:v>V3-SG26</x:v>
      </x:c>
    </x:row>
    <x:row r="297" ht="64" customHeight="1">
      <x:c r="A297" s="71" t="str">
        <x:v>C296</x:v>
      </x:c>
      <x:c r="B297" s="70" t="str">
        <x:v>S025</x:v>
      </x:c>
      <x:c r="C297" s="70" t="str">
        <x:v>Singapore A-Level Gujarati H1</x:v>
      </x:c>
      <x:c r="D297" s="70" t="str">
        <x:v>Singapore A-Level Gujarati H1</x:v>
      </x:c>
      <x:c r="E297" s="70" t="str">
        <x:v>Singapore Examinations and Assessment Board (SEAB)</x:v>
      </x:c>
      <x:c r="F297" s="70" t="str">
        <x:v>Singapore-Cambridge GCE A-Level</x:v>
      </x:c>
      <x:c r="G297" s="70" t="str">
        <x:v>新加坡</x:v>
      </x:c>
      <x:c r="H297" s="70" t="str">
        <x:v>整门课程</x:v>
      </x:c>
      <x:c r="I297" s="70" t="str">
        <x:v>按学科大纲；未展开考核明细</x:v>
      </x:c>
      <x:c r="J297" s="72" t="str">
        <x:v>8828</x:v>
      </x:c>
      <x:c r="K297" s="70" t="str">
        <x:v>2026学校考生；2027启用须对照V3-SG27</x:v>
      </x:c>
      <x:c r="L297" s="73" t="n">
        <x:v>2960</x:v>
      </x:c>
      <x:c r="M297" s="70" t="str">
        <x:v>以SEAB学校考生清单为准；H1/H2/H3不是Cambridge International AS/A Level，不共享大纲或报考代码。 目录层条目；未预填并不代表没有考试/实践/校评。</x:v>
      </x:c>
      <x:c r="N297" s="70" t="str">
        <x:v>V3-SG26</x:v>
      </x:c>
    </x:row>
    <x:row r="298" ht="64" customHeight="1">
      <x:c r="A298" s="71" t="str">
        <x:v>C297</x:v>
      </x:c>
      <x:c r="B298" s="70" t="str">
        <x:v>S025</x:v>
      </x:c>
      <x:c r="C298" s="70" t="str">
        <x:v>Singapore A-Level Hindi H1</x:v>
      </x:c>
      <x:c r="D298" s="70" t="str">
        <x:v>Singapore A-Level Hindi H1</x:v>
      </x:c>
      <x:c r="E298" s="70" t="str">
        <x:v>Singapore Examinations and Assessment Board (SEAB)</x:v>
      </x:c>
      <x:c r="F298" s="70" t="str">
        <x:v>Singapore-Cambridge GCE A-Level</x:v>
      </x:c>
      <x:c r="G298" s="70" t="str">
        <x:v>新加坡</x:v>
      </x:c>
      <x:c r="H298" s="70" t="str">
        <x:v>整门课程</x:v>
      </x:c>
      <x:c r="I298" s="70" t="str">
        <x:v>按学科大纲；未展开考核明细</x:v>
      </x:c>
      <x:c r="J298" s="72" t="str">
        <x:v>8829</x:v>
      </x:c>
      <x:c r="K298" s="70" t="str">
        <x:v>2026学校考生；2027启用须对照V3-SG27</x:v>
      </x:c>
      <x:c r="L298" s="73" t="n">
        <x:v>2970</x:v>
      </x:c>
      <x:c r="M298" s="70" t="str">
        <x:v>以SEAB学校考生清单为准；H1/H2/H3不是Cambridge International AS/A Level，不共享大纲或报考代码。 目录层条目；未预填并不代表没有考试/实践/校评。</x:v>
      </x:c>
      <x:c r="N298" s="70" t="str">
        <x:v>V3-SG26</x:v>
      </x:c>
    </x:row>
    <x:row r="299" ht="64" customHeight="1">
      <x:c r="A299" s="71" t="str">
        <x:v>C298</x:v>
      </x:c>
      <x:c r="B299" s="70" t="str">
        <x:v>S016</x:v>
      </x:c>
      <x:c r="C299" s="70" t="str">
        <x:v>Singapore A-Level French H1</x:v>
      </x:c>
      <x:c r="D299" s="70" t="str">
        <x:v>Singapore A-Level French H1</x:v>
      </x:c>
      <x:c r="E299" s="70" t="str">
        <x:v>Singapore Examinations and Assessment Board (SEAB)</x:v>
      </x:c>
      <x:c r="F299" s="70" t="str">
        <x:v>Singapore-Cambridge GCE A-Level</x:v>
      </x:c>
      <x:c r="G299" s="70" t="str">
        <x:v>新加坡</x:v>
      </x:c>
      <x:c r="H299" s="70" t="str">
        <x:v>整门课程</x:v>
      </x:c>
      <x:c r="I299" s="70" t="str">
        <x:v>按学科大纲；未展开考核明细</x:v>
      </x:c>
      <x:c r="J299" s="72" t="str">
        <x:v>8831</x:v>
      </x:c>
      <x:c r="K299" s="70" t="str">
        <x:v>2026学校考生；2027启用须对照V3-SG27</x:v>
      </x:c>
      <x:c r="L299" s="73" t="n">
        <x:v>2980</x:v>
      </x:c>
      <x:c r="M299" s="70" t="str">
        <x:v>以SEAB学校考生清单为准；H1/H2/H3不是Cambridge International AS/A Level，不共享大纲或报考代码。 目录层条目；未预填并不代表没有考试/实践/校评。</x:v>
      </x:c>
      <x:c r="N299" s="70" t="str">
        <x:v>V3-SG26</x:v>
      </x:c>
    </x:row>
    <x:row r="300" ht="64" customHeight="1">
      <x:c r="A300" s="71" t="str">
        <x:v>C299</x:v>
      </x:c>
      <x:c r="B300" s="70" t="str">
        <x:v>S010</x:v>
      </x:c>
      <x:c r="C300" s="70" t="str">
        <x:v>Singapore A-Level Literature in English H1</x:v>
      </x:c>
      <x:c r="D300" s="70" t="str">
        <x:v>Singapore A-Level Literature in English H1</x:v>
      </x:c>
      <x:c r="E300" s="70" t="str">
        <x:v>Singapore Examinations and Assessment Board (SEAB)</x:v>
      </x:c>
      <x:c r="F300" s="70" t="str">
        <x:v>Singapore-Cambridge GCE A-Level</x:v>
      </x:c>
      <x:c r="G300" s="70" t="str">
        <x:v>新加坡</x:v>
      </x:c>
      <x:c r="H300" s="70" t="str">
        <x:v>整门课程</x:v>
      </x:c>
      <x:c r="I300" s="70" t="str">
        <x:v>按学科大纲；未展开考核明细</x:v>
      </x:c>
      <x:c r="J300" s="72" t="str">
        <x:v>8841</x:v>
      </x:c>
      <x:c r="K300" s="70" t="str">
        <x:v>2026学校考生；2027启用须对照V3-SG27</x:v>
      </x:c>
      <x:c r="L300" s="73" t="n">
        <x:v>2990</x:v>
      </x:c>
      <x:c r="M300" s="70" t="str">
        <x:v>以SEAB学校考生清单为准；H1/H2/H3不是Cambridge International AS/A Level，不共享大纲或报考代码。 目录层条目；未预填并不代表没有考试/实践/校评。</x:v>
      </x:c>
      <x:c r="N300" s="70" t="str">
        <x:v>V3-SG26</x:v>
      </x:c>
    </x:row>
    <x:row r="301" ht="64" customHeight="1">
      <x:c r="A301" s="71" t="str">
        <x:v>C300</x:v>
      </x:c>
      <x:c r="B301" s="70" t="str">
        <x:v>S017</x:v>
      </x:c>
      <x:c r="C301" s="70" t="str">
        <x:v>Singapore A-Level German H1</x:v>
      </x:c>
      <x:c r="D301" s="70" t="str">
        <x:v>Singapore A-Level German H1</x:v>
      </x:c>
      <x:c r="E301" s="70" t="str">
        <x:v>Singapore Examinations and Assessment Board (SEAB)</x:v>
      </x:c>
      <x:c r="F301" s="70" t="str">
        <x:v>Singapore-Cambridge GCE A-Level</x:v>
      </x:c>
      <x:c r="G301" s="70" t="str">
        <x:v>新加坡</x:v>
      </x:c>
      <x:c r="H301" s="70" t="str">
        <x:v>整门课程</x:v>
      </x:c>
      <x:c r="I301" s="70" t="str">
        <x:v>按学科大纲；未展开考核明细</x:v>
      </x:c>
      <x:c r="J301" s="72" t="str">
        <x:v>8833</x:v>
      </x:c>
      <x:c r="K301" s="70" t="str">
        <x:v>2026学校考生；2027启用须对照V3-SG27</x:v>
      </x:c>
      <x:c r="L301" s="73" t="n">
        <x:v>3000</x:v>
      </x:c>
      <x:c r="M301" s="70" t="str">
        <x:v>以SEAB学校考生清单为准；H1/H2/H3不是Cambridge International AS/A Level，不共享大纲或报考代码。 目录层条目；未预填并不代表没有考试/实践/校评。</x:v>
      </x:c>
      <x:c r="N301" s="70" t="str">
        <x:v>V3-SG26</x:v>
      </x:c>
    </x:row>
    <x:row r="302" ht="64" customHeight="1">
      <x:c r="A302" s="71" t="str">
        <x:v>C301</x:v>
      </x:c>
      <x:c r="B302" s="70" t="str">
        <x:v>S012</x:v>
      </x:c>
      <x:c r="C302" s="70" t="str">
        <x:v>Singapore A-Level Geography H1</x:v>
      </x:c>
      <x:c r="D302" s="70" t="str">
        <x:v>Singapore A-Level Geography H1</x:v>
      </x:c>
      <x:c r="E302" s="70" t="str">
        <x:v>Singapore Examinations and Assessment Board (SEAB)</x:v>
      </x:c>
      <x:c r="F302" s="70" t="str">
        <x:v>Singapore-Cambridge GCE A-Level</x:v>
      </x:c>
      <x:c r="G302" s="70" t="str">
        <x:v>新加坡</x:v>
      </x:c>
      <x:c r="H302" s="70" t="str">
        <x:v>整门课程</x:v>
      </x:c>
      <x:c r="I302" s="70" t="str">
        <x:v>按学科大纲；未展开考核明细</x:v>
      </x:c>
      <x:c r="J302" s="72" t="str">
        <x:v>8834</x:v>
      </x:c>
      <x:c r="K302" s="70" t="str">
        <x:v>2026学校考生；2027启用须对照V3-SG27</x:v>
      </x:c>
      <x:c r="L302" s="73" t="n">
        <x:v>3010</x:v>
      </x:c>
      <x:c r="M302" s="70" t="str">
        <x:v>以SEAB学校考生清单为准；H1/H2/H3不是Cambridge International AS/A Level，不共享大纲或报考代码。 目录层条目；未预填并不代表没有考试/实践/校评。</x:v>
      </x:c>
      <x:c r="N302" s="70" t="str">
        <x:v>V3-SG26</x:v>
      </x:c>
    </x:row>
    <x:row r="303" ht="64" customHeight="1">
      <x:c r="A303" s="71" t="str">
        <x:v>C302</x:v>
      </x:c>
      <x:c r="B303" s="70" t="str">
        <x:v>S021</x:v>
      </x:c>
      <x:c r="C303" s="70" t="str">
        <x:v>Singapore A-Level Japanese H1</x:v>
      </x:c>
      <x:c r="D303" s="70" t="str">
        <x:v>Singapore A-Level Japanese H1</x:v>
      </x:c>
      <x:c r="E303" s="70" t="str">
        <x:v>Singapore Examinations and Assessment Board (SEAB)</x:v>
      </x:c>
      <x:c r="F303" s="70" t="str">
        <x:v>Singapore-Cambridge GCE A-Level</x:v>
      </x:c>
      <x:c r="G303" s="70" t="str">
        <x:v>新加坡</x:v>
      </x:c>
      <x:c r="H303" s="70" t="str">
        <x:v>整门课程</x:v>
      </x:c>
      <x:c r="I303" s="70" t="str">
        <x:v>按学科大纲；未展开考核明细</x:v>
      </x:c>
      <x:c r="J303" s="72" t="str">
        <x:v>8835</x:v>
      </x:c>
      <x:c r="K303" s="70" t="str">
        <x:v>2026学校考生；2027启用须对照V3-SG27</x:v>
      </x:c>
      <x:c r="L303" s="73" t="n">
        <x:v>3020</x:v>
      </x:c>
      <x:c r="M303" s="70" t="str">
        <x:v>以SEAB学校考生清单为准；H1/H2/H3不是Cambridge International AS/A Level，不共享大纲或报考代码。 目录层条目；未预填并不代表没有考试/实践/校评。</x:v>
      </x:c>
      <x:c r="N303" s="70" t="str">
        <x:v>V3-SG26</x:v>
      </x:c>
    </x:row>
    <x:row r="304" ht="64" customHeight="1">
      <x:c r="A304" s="71" t="str">
        <x:v>C303</x:v>
      </x:c>
      <x:c r="B304" s="70" t="str">
        <x:v>S025</x:v>
      </x:c>
      <x:c r="C304" s="70" t="str">
        <x:v>Singapore A-Level Panjabi H1</x:v>
      </x:c>
      <x:c r="D304" s="70" t="str">
        <x:v>Singapore A-Level Panjabi H1</x:v>
      </x:c>
      <x:c r="E304" s="70" t="str">
        <x:v>Singapore Examinations and Assessment Board (SEAB)</x:v>
      </x:c>
      <x:c r="F304" s="70" t="str">
        <x:v>Singapore-Cambridge GCE A-Level</x:v>
      </x:c>
      <x:c r="G304" s="70" t="str">
        <x:v>新加坡</x:v>
      </x:c>
      <x:c r="H304" s="70" t="str">
        <x:v>整门课程</x:v>
      </x:c>
      <x:c r="I304" s="70" t="str">
        <x:v>按学科大纲；未展开考核明细</x:v>
      </x:c>
      <x:c r="J304" s="72" t="str">
        <x:v>8836</x:v>
      </x:c>
      <x:c r="K304" s="70" t="str">
        <x:v>2026学校考生；2027启用须对照V3-SG27</x:v>
      </x:c>
      <x:c r="L304" s="73" t="n">
        <x:v>3030</x:v>
      </x:c>
      <x:c r="M304" s="70" t="str">
        <x:v>以SEAB学校考生清单为准；H1/H2/H3不是Cambridge International AS/A Level，不共享大纲或报考代码。 目录层条目；未预填并不代表没有考试/实践/校评。</x:v>
      </x:c>
      <x:c r="N304" s="70" t="str">
        <x:v>V3-SG26</x:v>
      </x:c>
    </x:row>
    <x:row r="305" ht="64" customHeight="1">
      <x:c r="A305" s="71" t="str">
        <x:v>C304</x:v>
      </x:c>
      <x:c r="B305" s="70" t="str">
        <x:v>S025</x:v>
      </x:c>
      <x:c r="C305" s="70" t="str">
        <x:v>Singapore A-Level Urdu H1</x:v>
      </x:c>
      <x:c r="D305" s="70" t="str">
        <x:v>Singapore A-Level Urdu H1</x:v>
      </x:c>
      <x:c r="E305" s="70" t="str">
        <x:v>Singapore Examinations and Assessment Board (SEAB)</x:v>
      </x:c>
      <x:c r="F305" s="70" t="str">
        <x:v>Singapore-Cambridge GCE A-Level</x:v>
      </x:c>
      <x:c r="G305" s="70" t="str">
        <x:v>新加坡</x:v>
      </x:c>
      <x:c r="H305" s="70" t="str">
        <x:v>整门课程</x:v>
      </x:c>
      <x:c r="I305" s="70" t="str">
        <x:v>按学科大纲；未展开考核明细</x:v>
      </x:c>
      <x:c r="J305" s="72" t="str">
        <x:v>8837</x:v>
      </x:c>
      <x:c r="K305" s="70" t="str">
        <x:v>2026学校考生；2027启用须对照V3-SG27</x:v>
      </x:c>
      <x:c r="L305" s="73" t="n">
        <x:v>3040</x:v>
      </x:c>
      <x:c r="M305" s="70" t="str">
        <x:v>以SEAB学校考生清单为准；H1/H2/H3不是Cambridge International AS/A Level，不共享大纲或报考代码。 目录层条目；未预填并不代表没有考试/实践/校评。</x:v>
      </x:c>
      <x:c r="N305" s="70" t="str">
        <x:v>V3-SG26</x:v>
      </x:c>
    </x:row>
    <x:row r="306" ht="64" customHeight="1">
      <x:c r="A306" s="71" t="str">
        <x:v>C305</x:v>
      </x:c>
      <x:c r="B306" s="70" t="str">
        <x:v>S011</x:v>
      </x:c>
      <x:c r="C306" s="70" t="str">
        <x:v>Singapore A-Level History H1</x:v>
      </x:c>
      <x:c r="D306" s="70" t="str">
        <x:v>Singapore A-Level History H1</x:v>
      </x:c>
      <x:c r="E306" s="70" t="str">
        <x:v>Singapore Examinations and Assessment Board (SEAB)</x:v>
      </x:c>
      <x:c r="F306" s="70" t="str">
        <x:v>Singapore-Cambridge GCE A-Level</x:v>
      </x:c>
      <x:c r="G306" s="70" t="str">
        <x:v>新加坡</x:v>
      </x:c>
      <x:c r="H306" s="70" t="str">
        <x:v>整门课程</x:v>
      </x:c>
      <x:c r="I306" s="70" t="str">
        <x:v>按学科大纲；未展开考核明细</x:v>
      </x:c>
      <x:c r="J306" s="72" t="str">
        <x:v>8838</x:v>
      </x:c>
      <x:c r="K306" s="70" t="str">
        <x:v>2026学校考生；2027启用须对照V3-SG27</x:v>
      </x:c>
      <x:c r="L306" s="73" t="n">
        <x:v>3050</x:v>
      </x:c>
      <x:c r="M306" s="70" t="str">
        <x:v>以SEAB学校考生清单为准；H1/H2/H3不是Cambridge International AS/A Level，不共享大纲或报考代码。 目录层条目；未预填并不代表没有考试/实践/校评。</x:v>
      </x:c>
      <x:c r="N306" s="70" t="str">
        <x:v>V3-SG26</x:v>
      </x:c>
    </x:row>
    <x:row r="307" ht="64" customHeight="1">
      <x:c r="A307" s="71" t="str">
        <x:v>C306</x:v>
      </x:c>
      <x:c r="B307" s="70" t="str">
        <x:v>S007</x:v>
      </x:c>
      <x:c r="C307" s="70" t="str">
        <x:v>Singapore A-Level Economics H1</x:v>
      </x:c>
      <x:c r="D307" s="70" t="str">
        <x:v>Singapore A-Level Economics H1</x:v>
      </x:c>
      <x:c r="E307" s="70" t="str">
        <x:v>Singapore Examinations and Assessment Board (SEAB)</x:v>
      </x:c>
      <x:c r="F307" s="70" t="str">
        <x:v>Singapore-Cambridge GCE A-Level</x:v>
      </x:c>
      <x:c r="G307" s="70" t="str">
        <x:v>新加坡</x:v>
      </x:c>
      <x:c r="H307" s="70" t="str">
        <x:v>整门课程</x:v>
      </x:c>
      <x:c r="I307" s="70" t="str">
        <x:v>按学科大纲；未展开考核明细</x:v>
      </x:c>
      <x:c r="J307" s="72" t="str">
        <x:v>8843</x:v>
      </x:c>
      <x:c r="K307" s="70" t="str">
        <x:v>2026学校考生；2027启用须对照V3-SG27</x:v>
      </x:c>
      <x:c r="L307" s="73" t="n">
        <x:v>3060</x:v>
      </x:c>
      <x:c r="M307" s="70" t="str">
        <x:v>以SEAB学校考生清单为准；H1/H2/H3不是Cambridge International AS/A Level，不共享大纲或报考代码。 目录层条目；未预填并不代表没有考试/实践/校评。</x:v>
      </x:c>
      <x:c r="N307" s="70" t="str">
        <x:v>V3-SG26</x:v>
      </x:c>
    </x:row>
    <x:row r="308" ht="64" customHeight="1">
      <x:c r="A308" s="71" t="str">
        <x:v>C307</x:v>
      </x:c>
      <x:c r="B308" s="70" t="str">
        <x:v>S001</x:v>
      </x:c>
      <x:c r="C308" s="70" t="str">
        <x:v>Singapore A-Level Mathematics H1</x:v>
      </x:c>
      <x:c r="D308" s="70" t="str">
        <x:v>Singapore A-Level Mathematics H1</x:v>
      </x:c>
      <x:c r="E308" s="70" t="str">
        <x:v>Singapore Examinations and Assessment Board (SEAB)</x:v>
      </x:c>
      <x:c r="F308" s="70" t="str">
        <x:v>Singapore-Cambridge GCE A-Level</x:v>
      </x:c>
      <x:c r="G308" s="70" t="str">
        <x:v>新加坡</x:v>
      </x:c>
      <x:c r="H308" s="70" t="str">
        <x:v>整门课程</x:v>
      </x:c>
      <x:c r="I308" s="70" t="str">
        <x:v>按学科大纲；未展开考核明细</x:v>
      </x:c>
      <x:c r="J308" s="72" t="str">
        <x:v>8865</x:v>
      </x:c>
      <x:c r="K308" s="70" t="str">
        <x:v>2026学校考生；2027启用须对照V3-SG27</x:v>
      </x:c>
      <x:c r="L308" s="73" t="n">
        <x:v>3070</x:v>
      </x:c>
      <x:c r="M308" s="70" t="str">
        <x:v>以SEAB学校考生清单为准；H1/H2/H3不是Cambridge International AS/A Level，不共享大纲或报考代码。 目录层条目；未预填并不代表没有考试/实践/校评。</x:v>
      </x:c>
      <x:c r="N308" s="70" t="str">
        <x:v>V3-SG26</x:v>
      </x:c>
    </x:row>
    <x:row r="309" ht="64" customHeight="1">
      <x:c r="A309" s="71" t="str">
        <x:v>C308</x:v>
      </x:c>
      <x:c r="B309" s="70" t="str">
        <x:v>S002</x:v>
      </x:c>
      <x:c r="C309" s="70" t="str">
        <x:v>Singapore A-Level Physics H1</x:v>
      </x:c>
      <x:c r="D309" s="70" t="str">
        <x:v>Singapore A-Level Physics H1</x:v>
      </x:c>
      <x:c r="E309" s="70" t="str">
        <x:v>Singapore Examinations and Assessment Board (SEAB)</x:v>
      </x:c>
      <x:c r="F309" s="70" t="str">
        <x:v>Singapore-Cambridge GCE A-Level</x:v>
      </x:c>
      <x:c r="G309" s="70" t="str">
        <x:v>新加坡</x:v>
      </x:c>
      <x:c r="H309" s="70" t="str">
        <x:v>整门课程</x:v>
      </x:c>
      <x:c r="I309" s="70" t="str">
        <x:v>按学科大纲；未展开考核明细</x:v>
      </x:c>
      <x:c r="J309" s="72" t="str">
        <x:v>8867</x:v>
      </x:c>
      <x:c r="K309" s="70" t="str">
        <x:v>2026学校考生；2027启用须对照V3-SG27</x:v>
      </x:c>
      <x:c r="L309" s="73" t="n">
        <x:v>3080</x:v>
      </x:c>
      <x:c r="M309" s="70" t="str">
        <x:v>以SEAB学校考生清单为准；H1/H2/H3不是Cambridge International AS/A Level，不共享大纲或报考代码。 目录层条目；未预填并不代表没有考试/实践/校评。</x:v>
      </x:c>
      <x:c r="N309" s="70" t="str">
        <x:v>V3-SG26</x:v>
      </x:c>
    </x:row>
    <x:row r="310" ht="64" customHeight="1">
      <x:c r="A310" s="71" t="str">
        <x:v>C309</x:v>
      </x:c>
      <x:c r="B310" s="70" t="str">
        <x:v>S003</x:v>
      </x:c>
      <x:c r="C310" s="70" t="str">
        <x:v>Singapore A-Level Chemistry H1</x:v>
      </x:c>
      <x:c r="D310" s="70" t="str">
        <x:v>Singapore A-Level Chemistry H1</x:v>
      </x:c>
      <x:c r="E310" s="70" t="str">
        <x:v>Singapore Examinations and Assessment Board (SEAB)</x:v>
      </x:c>
      <x:c r="F310" s="70" t="str">
        <x:v>Singapore-Cambridge GCE A-Level</x:v>
      </x:c>
      <x:c r="G310" s="70" t="str">
        <x:v>新加坡</x:v>
      </x:c>
      <x:c r="H310" s="70" t="str">
        <x:v>整门课程</x:v>
      </x:c>
      <x:c r="I310" s="70" t="str">
        <x:v>按学科大纲；未展开考核明细</x:v>
      </x:c>
      <x:c r="J310" s="72" t="str">
        <x:v>8873</x:v>
      </x:c>
      <x:c r="K310" s="70" t="str">
        <x:v>2026学校考生；2027启用须对照V3-SG27</x:v>
      </x:c>
      <x:c r="L310" s="73" t="n">
        <x:v>3090</x:v>
      </x:c>
      <x:c r="M310" s="70" t="str">
        <x:v>以SEAB学校考生清单为准；H1/H2/H3不是Cambridge International AS/A Level，不共享大纲或报考代码。 目录层条目；未预填并不代表没有考试/实践/校评。</x:v>
      </x:c>
      <x:c r="N310" s="70" t="str">
        <x:v>V3-SG26</x:v>
      </x:c>
    </x:row>
    <x:row r="311" ht="64" customHeight="1">
      <x:c r="A311" s="71" t="str">
        <x:v>C310</x:v>
      </x:c>
      <x:c r="B311" s="70" t="str">
        <x:v>S004</x:v>
      </x:c>
      <x:c r="C311" s="70" t="str">
        <x:v>Singapore A-Level Biology H1</x:v>
      </x:c>
      <x:c r="D311" s="70" t="str">
        <x:v>Singapore A-Level Biology H1</x:v>
      </x:c>
      <x:c r="E311" s="70" t="str">
        <x:v>Singapore Examinations and Assessment Board (SEAB)</x:v>
      </x:c>
      <x:c r="F311" s="70" t="str">
        <x:v>Singapore-Cambridge GCE A-Level</x:v>
      </x:c>
      <x:c r="G311" s="70" t="str">
        <x:v>新加坡</x:v>
      </x:c>
      <x:c r="H311" s="70" t="str">
        <x:v>整门课程</x:v>
      </x:c>
      <x:c r="I311" s="70" t="str">
        <x:v>按学科大纲；未展开考核明细</x:v>
      </x:c>
      <x:c r="J311" s="72" t="str">
        <x:v>8876</x:v>
      </x:c>
      <x:c r="K311" s="70" t="str">
        <x:v>2026学校考生；2027启用须对照V3-SG27</x:v>
      </x:c>
      <x:c r="L311" s="73" t="n">
        <x:v>3100</x:v>
      </x:c>
      <x:c r="M311" s="70" t="str">
        <x:v>以SEAB学校考生清单为准；H1/H2/H3不是Cambridge International AS/A Level，不共享大纲或报考代码。 目录层条目；未预填并不代表没有考试/实践/校评。</x:v>
      </x:c>
      <x:c r="N311" s="70" t="str">
        <x:v>V3-SG26</x:v>
      </x:c>
    </x:row>
    <x:row r="312" ht="64" customHeight="1">
      <x:c r="A312" s="71" t="str">
        <x:v>C311</x:v>
      </x:c>
      <x:c r="B312" s="70" t="str">
        <x:v>S026</x:v>
      </x:c>
      <x:c r="C312" s="70" t="str">
        <x:v>Singapore A-Level Art H1</x:v>
      </x:c>
      <x:c r="D312" s="70" t="str">
        <x:v>Singapore A-Level Art H1</x:v>
      </x:c>
      <x:c r="E312" s="70" t="str">
        <x:v>Singapore Examinations and Assessment Board (SEAB)</x:v>
      </x:c>
      <x:c r="F312" s="70" t="str">
        <x:v>Singapore-Cambridge GCE A-Level</x:v>
      </x:c>
      <x:c r="G312" s="70" t="str">
        <x:v>新加坡</x:v>
      </x:c>
      <x:c r="H312" s="70" t="str">
        <x:v>整门课程</x:v>
      </x:c>
      <x:c r="I312" s="70" t="str">
        <x:v>按学科大纲；未展开考核明细</x:v>
      </x:c>
      <x:c r="J312" s="72" t="str">
        <x:v>8879</x:v>
      </x:c>
      <x:c r="K312" s="70" t="str">
        <x:v>2026学校考生；2027启用须对照V3-SG27</x:v>
      </x:c>
      <x:c r="L312" s="73" t="n">
        <x:v>3110</x:v>
      </x:c>
      <x:c r="M312" s="70" t="str">
        <x:v>以SEAB学校考生清单为准；H1/H2/H3不是Cambridge International AS/A Level，不共享大纲或报考代码。 目录层条目；未预填并不代表没有考试/实践/校评。</x:v>
      </x:c>
      <x:c r="N312" s="70" t="str">
        <x:v>V3-SG26</x:v>
      </x:c>
    </x:row>
    <x:row r="313" ht="64" customHeight="1">
      <x:c r="A313" s="71" t="str">
        <x:v>C312</x:v>
      </x:c>
      <x:c r="B313" s="70" t="str">
        <x:v>S010</x:v>
      </x:c>
      <x:c r="C313" s="70" t="str">
        <x:v>Singapore A-Level General Paper H1</x:v>
      </x:c>
      <x:c r="D313" s="70" t="str">
        <x:v>Singapore A-Level General Paper H1</x:v>
      </x:c>
      <x:c r="E313" s="70" t="str">
        <x:v>Singapore Examinations and Assessment Board (SEAB)</x:v>
      </x:c>
      <x:c r="F313" s="70" t="str">
        <x:v>Singapore-Cambridge GCE A-Level</x:v>
      </x:c>
      <x:c r="G313" s="70" t="str">
        <x:v>新加坡</x:v>
      </x:c>
      <x:c r="H313" s="70" t="str">
        <x:v>整门课程</x:v>
      </x:c>
      <x:c r="I313" s="70" t="str">
        <x:v>按学科大纲；未展开考核明细</x:v>
      </x:c>
      <x:c r="J313" s="72" t="str">
        <x:v>8881</x:v>
      </x:c>
      <x:c r="K313" s="70" t="str">
        <x:v>2026学校考生；2027启用须对照V3-SG27</x:v>
      </x:c>
      <x:c r="L313" s="73" t="n">
        <x:v>3120</x:v>
      </x:c>
      <x:c r="M313" s="70" t="str">
        <x:v>以SEAB学校考生清单为准；H1/H2/H3不是Cambridge International AS/A Level，不共享大纲或报考代码。 目录层条目；未预填并不代表没有考试/实践/校评。</x:v>
      </x:c>
      <x:c r="N313" s="70" t="str">
        <x:v>V3-SG26</x:v>
      </x:c>
    </x:row>
    <x:row r="314" ht="64" customHeight="1">
      <x:c r="A314" s="71" t="str">
        <x:v>C313</x:v>
      </x:c>
      <x:c r="B314" s="70" t="str">
        <x:v>S020</x:v>
      </x:c>
      <x:c r="C314" s="70" t="str">
        <x:v>Singapore A-Level Chinese Language H1</x:v>
      </x:c>
      <x:c r="D314" s="70" t="str">
        <x:v>Singapore A-Level Chinese Language H1</x:v>
      </x:c>
      <x:c r="E314" s="70" t="str">
        <x:v>Singapore Examinations and Assessment Board (SEAB)</x:v>
      </x:c>
      <x:c r="F314" s="70" t="str">
        <x:v>Singapore-Cambridge GCE A-Level</x:v>
      </x:c>
      <x:c r="G314" s="70" t="str">
        <x:v>新加坡</x:v>
      </x:c>
      <x:c r="H314" s="70" t="str">
        <x:v>整门课程</x:v>
      </x:c>
      <x:c r="I314" s="70" t="str">
        <x:v>按学科大纲；未展开考核明细</x:v>
      </x:c>
      <x:c r="J314" s="72" t="str">
        <x:v>8655</x:v>
      </x:c>
      <x:c r="K314" s="70" t="str">
        <x:v>2026学校考生；2027启用须对照V3-SG27</x:v>
      </x:c>
      <x:c r="L314" s="73" t="n">
        <x:v>3130</x:v>
      </x:c>
      <x:c r="M314" s="70" t="str">
        <x:v>以SEAB学校考生清单为准；H1/H2/H3不是Cambridge International AS/A Level，不共享大纲或报考代码。 目录层条目；未预填并不代表没有考试/实践/校评。</x:v>
      </x:c>
      <x:c r="N314" s="70" t="str">
        <x:v>V3-SG26</x:v>
      </x:c>
    </x:row>
    <x:row r="315" ht="64" customHeight="1">
      <x:c r="A315" s="71" t="str">
        <x:v>C314</x:v>
      </x:c>
      <x:c r="B315" s="70" t="str">
        <x:v>S025</x:v>
      </x:c>
      <x:c r="C315" s="70" t="str">
        <x:v>Singapore A-Level Malay Language H1</x:v>
      </x:c>
      <x:c r="D315" s="70" t="str">
        <x:v>Singapore A-Level Malay Language H1</x:v>
      </x:c>
      <x:c r="E315" s="70" t="str">
        <x:v>Singapore Examinations and Assessment Board (SEAB)</x:v>
      </x:c>
      <x:c r="F315" s="70" t="str">
        <x:v>Singapore-Cambridge GCE A-Level</x:v>
      </x:c>
      <x:c r="G315" s="70" t="str">
        <x:v>新加坡</x:v>
      </x:c>
      <x:c r="H315" s="70" t="str">
        <x:v>整门课程</x:v>
      </x:c>
      <x:c r="I315" s="70" t="str">
        <x:v>按学科大纲；未展开考核明细</x:v>
      </x:c>
      <x:c r="J315" s="72" t="str">
        <x:v>8656</x:v>
      </x:c>
      <x:c r="K315" s="70" t="str">
        <x:v>2026学校考生；2027启用须对照V3-SG27</x:v>
      </x:c>
      <x:c r="L315" s="73" t="n">
        <x:v>3140</x:v>
      </x:c>
      <x:c r="M315" s="70" t="str">
        <x:v>以SEAB学校考生清单为准；H1/H2/H3不是Cambridge International AS/A Level，不共享大纲或报考代码。 目录层条目；未预填并不代表没有考试/实践/校评。</x:v>
      </x:c>
      <x:c r="N315" s="70" t="str">
        <x:v>V3-SG26</x:v>
      </x:c>
    </x:row>
    <x:row r="316" ht="64" customHeight="1">
      <x:c r="A316" s="71" t="str">
        <x:v>C315</x:v>
      </x:c>
      <x:c r="B316" s="70" t="str">
        <x:v>S025</x:v>
      </x:c>
      <x:c r="C316" s="70" t="str">
        <x:v>Singapore A-Level Tamil Language H1</x:v>
      </x:c>
      <x:c r="D316" s="70" t="str">
        <x:v>Singapore A-Level Tamil Language H1</x:v>
      </x:c>
      <x:c r="E316" s="70" t="str">
        <x:v>Singapore Examinations and Assessment Board (SEAB)</x:v>
      </x:c>
      <x:c r="F316" s="70" t="str">
        <x:v>Singapore-Cambridge GCE A-Level</x:v>
      </x:c>
      <x:c r="G316" s="70" t="str">
        <x:v>新加坡</x:v>
      </x:c>
      <x:c r="H316" s="70" t="str">
        <x:v>整门课程</x:v>
      </x:c>
      <x:c r="I316" s="70" t="str">
        <x:v>按学科大纲；未展开考核明细</x:v>
      </x:c>
      <x:c r="J316" s="72" t="str">
        <x:v>8657</x:v>
      </x:c>
      <x:c r="K316" s="70" t="str">
        <x:v>2026学校考生；2027启用须对照V3-SG27</x:v>
      </x:c>
      <x:c r="L316" s="73" t="n">
        <x:v>3150</x:v>
      </x:c>
      <x:c r="M316" s="70" t="str">
        <x:v>以SEAB学校考生清单为准；H1/H2/H3不是Cambridge International AS/A Level，不共享大纲或报考代码。 目录层条目；未预填并不代表没有考试/实践/校评。</x:v>
      </x:c>
      <x:c r="N316" s="70" t="str">
        <x:v>V3-SG26</x:v>
      </x:c>
    </x:row>
    <x:row r="317" ht="64" customHeight="1">
      <x:c r="A317" s="71" t="str">
        <x:v>C316</x:v>
      </x:c>
      <x:c r="B317" s="70" t="str">
        <x:v>S012</x:v>
      </x:c>
      <x:c r="C317" s="70" t="str">
        <x:v>Singapore A-Level Geography H2</x:v>
      </x:c>
      <x:c r="D317" s="70" t="str">
        <x:v>Singapore A-Level Geography H2</x:v>
      </x:c>
      <x:c r="E317" s="70" t="str">
        <x:v>Singapore Examinations and Assessment Board (SEAB)</x:v>
      </x:c>
      <x:c r="F317" s="70" t="str">
        <x:v>Singapore-Cambridge GCE A-Level</x:v>
      </x:c>
      <x:c r="G317" s="70" t="str">
        <x:v>新加坡</x:v>
      </x:c>
      <x:c r="H317" s="70" t="str">
        <x:v>整门课程</x:v>
      </x:c>
      <x:c r="I317" s="70" t="str">
        <x:v>按学科大纲；未展开考核明细</x:v>
      </x:c>
      <x:c r="J317" s="72" t="str">
        <x:v>9173</x:v>
      </x:c>
      <x:c r="K317" s="70" t="str">
        <x:v>2026学校考生；2027启用须对照V3-SG27</x:v>
      </x:c>
      <x:c r="L317" s="73" t="n">
        <x:v>3160</x:v>
      </x:c>
      <x:c r="M317" s="70" t="str">
        <x:v>以SEAB学校考生清单为准；H1/H2/H3不是Cambridge International AS/A Level，不共享大纲或报考代码。 目录层条目；未预填并不代表没有考试/实践/校评。</x:v>
      </x:c>
      <x:c r="N317" s="70" t="str">
        <x:v>V3-SG26</x:v>
      </x:c>
    </x:row>
    <x:row r="318" ht="64" customHeight="1">
      <x:c r="A318" s="71" t="str">
        <x:v>C317</x:v>
      </x:c>
      <x:c r="B318" s="70" t="str">
        <x:v>S011</x:v>
      </x:c>
      <x:c r="C318" s="70" t="str">
        <x:v>Singapore A-Level History H2</x:v>
      </x:c>
      <x:c r="D318" s="70" t="str">
        <x:v>Singapore A-Level History H2</x:v>
      </x:c>
      <x:c r="E318" s="70" t="str">
        <x:v>Singapore Examinations and Assessment Board (SEAB)</x:v>
      </x:c>
      <x:c r="F318" s="70" t="str">
        <x:v>Singapore-Cambridge GCE A-Level</x:v>
      </x:c>
      <x:c r="G318" s="70" t="str">
        <x:v>新加坡</x:v>
      </x:c>
      <x:c r="H318" s="70" t="str">
        <x:v>整门课程</x:v>
      </x:c>
      <x:c r="I318" s="70" t="str">
        <x:v>按学科大纲；未展开考核明细</x:v>
      </x:c>
      <x:c r="J318" s="72" t="str">
        <x:v>9174</x:v>
      </x:c>
      <x:c r="K318" s="70" t="str">
        <x:v>2026学校考生；2027启用须对照V3-SG27</x:v>
      </x:c>
      <x:c r="L318" s="73" t="n">
        <x:v>3170</x:v>
      </x:c>
      <x:c r="M318" s="70" t="str">
        <x:v>以SEAB学校考生清单为准；H1/H2/H3不是Cambridge International AS/A Level，不共享大纲或报考代码。 目录层条目；未预填并不代表没有考试/实践/校评。</x:v>
      </x:c>
      <x:c r="N318" s="70" t="str">
        <x:v>V3-SG26</x:v>
      </x:c>
    </x:row>
    <x:row r="319" ht="64" customHeight="1">
      <x:c r="A319" s="71" t="str">
        <x:v>C318</x:v>
      </x:c>
      <x:c r="B319" s="70" t="str">
        <x:v>S026</x:v>
      </x:c>
      <x:c r="C319" s="70" t="str">
        <x:v>Singapore A-Level Art H2</x:v>
      </x:c>
      <x:c r="D319" s="70" t="str">
        <x:v>Singapore A-Level Art H2</x:v>
      </x:c>
      <x:c r="E319" s="70" t="str">
        <x:v>Singapore Examinations and Assessment Board (SEAB)</x:v>
      </x:c>
      <x:c r="F319" s="70" t="str">
        <x:v>Singapore-Cambridge GCE A-Level</x:v>
      </x:c>
      <x:c r="G319" s="70" t="str">
        <x:v>新加坡</x:v>
      </x:c>
      <x:c r="H319" s="70" t="str">
        <x:v>整门课程</x:v>
      </x:c>
      <x:c r="I319" s="70" t="str">
        <x:v>按学科大纲；未展开考核明细</x:v>
      </x:c>
      <x:c r="J319" s="72" t="str">
        <x:v>9357</x:v>
      </x:c>
      <x:c r="K319" s="70" t="str">
        <x:v>2026学校考生；2027启用须对照V3-SG27</x:v>
      </x:c>
      <x:c r="L319" s="73" t="n">
        <x:v>3180</x:v>
      </x:c>
      <x:c r="M319" s="70" t="str">
        <x:v>以SEAB学校考生清单为准；H1/H2/H3不是Cambridge International AS/A Level，不共享大纲或报考代码。 目录层条目；未预填并不代表没有考试/实践/校评。</x:v>
      </x:c>
      <x:c r="N319" s="70" t="str">
        <x:v>V3-SG26</x:v>
      </x:c>
    </x:row>
    <x:row r="320" ht="64" customHeight="1">
      <x:c r="A320" s="71" t="str">
        <x:v>C319</x:v>
      </x:c>
      <x:c r="B320" s="70" t="str">
        <x:v>S003</x:v>
      </x:c>
      <x:c r="C320" s="70" t="str">
        <x:v>Singapore A-Level Chemistry H2</x:v>
      </x:c>
      <x:c r="D320" s="70" t="str">
        <x:v>Singapore A-Level Chemistry H2</x:v>
      </x:c>
      <x:c r="E320" s="70" t="str">
        <x:v>Singapore Examinations and Assessment Board (SEAB)</x:v>
      </x:c>
      <x:c r="F320" s="70" t="str">
        <x:v>Singapore-Cambridge GCE A-Level</x:v>
      </x:c>
      <x:c r="G320" s="70" t="str">
        <x:v>新加坡</x:v>
      </x:c>
      <x:c r="H320" s="70" t="str">
        <x:v>整门课程</x:v>
      </x:c>
      <x:c r="I320" s="70" t="str">
        <x:v>按学科大纲；未展开考核明细</x:v>
      </x:c>
      <x:c r="J320" s="72" t="str">
        <x:v>9476</x:v>
      </x:c>
      <x:c r="K320" s="70" t="str">
        <x:v>2026学校考生；2027启用须对照V3-SG27</x:v>
      </x:c>
      <x:c r="L320" s="73" t="n">
        <x:v>3190</x:v>
      </x:c>
      <x:c r="M320" s="70" t="str">
        <x:v>以SEAB学校考生清单为准；H1/H2/H3不是Cambridge International AS/A Level，不共享大纲或报考代码。 目录层条目；未预填并不代表没有考试/实践/校评。</x:v>
      </x:c>
      <x:c r="N320" s="70" t="str">
        <x:v>V3-SG26</x:v>
      </x:c>
    </x:row>
    <x:row r="321" ht="64" customHeight="1">
      <x:c r="A321" s="71" t="str">
        <x:v>C320</x:v>
      </x:c>
      <x:c r="B321" s="70" t="str">
        <x:v>S004</x:v>
      </x:c>
      <x:c r="C321" s="70" t="str">
        <x:v>Singapore A-Level Biology H2</x:v>
      </x:c>
      <x:c r="D321" s="70" t="str">
        <x:v>Singapore A-Level Biology H2</x:v>
      </x:c>
      <x:c r="E321" s="70" t="str">
        <x:v>Singapore Examinations and Assessment Board (SEAB)</x:v>
      </x:c>
      <x:c r="F321" s="70" t="str">
        <x:v>Singapore-Cambridge GCE A-Level</x:v>
      </x:c>
      <x:c r="G321" s="70" t="str">
        <x:v>新加坡</x:v>
      </x:c>
      <x:c r="H321" s="70" t="str">
        <x:v>整门课程</x:v>
      </x:c>
      <x:c r="I321" s="70" t="str">
        <x:v>按学科大纲；未展开考核明细</x:v>
      </x:c>
      <x:c r="J321" s="72" t="str">
        <x:v>9477</x:v>
      </x:c>
      <x:c r="K321" s="70" t="str">
        <x:v>2026学校考生；2027启用须对照V3-SG27</x:v>
      </x:c>
      <x:c r="L321" s="73" t="n">
        <x:v>3200</x:v>
      </x:c>
      <x:c r="M321" s="70" t="str">
        <x:v>以SEAB学校考生清单为准；H1/H2/H3不是Cambridge International AS/A Level，不共享大纲或报考代码。 目录层条目；未预填并不代表没有考试/实践/校评。</x:v>
      </x:c>
      <x:c r="N321" s="70" t="str">
        <x:v>V3-SG26</x:v>
      </x:c>
    </x:row>
    <x:row r="322" ht="64" customHeight="1">
      <x:c r="A322" s="71" t="str">
        <x:v>C321</x:v>
      </x:c>
      <x:c r="B322" s="70" t="str">
        <x:v>S002</x:v>
      </x:c>
      <x:c r="C322" s="70" t="str">
        <x:v>Singapore A-Level Physics H2</x:v>
      </x:c>
      <x:c r="D322" s="70" t="str">
        <x:v>Singapore A-Level Physics H2</x:v>
      </x:c>
      <x:c r="E322" s="70" t="str">
        <x:v>Singapore Examinations and Assessment Board (SEAB)</x:v>
      </x:c>
      <x:c r="F322" s="70" t="str">
        <x:v>Singapore-Cambridge GCE A-Level</x:v>
      </x:c>
      <x:c r="G322" s="70" t="str">
        <x:v>新加坡</x:v>
      </x:c>
      <x:c r="H322" s="70" t="str">
        <x:v>整门课程</x:v>
      </x:c>
      <x:c r="I322" s="70" t="str">
        <x:v>按学科大纲；未展开考核明细</x:v>
      </x:c>
      <x:c r="J322" s="72" t="str">
        <x:v>9478</x:v>
      </x:c>
      <x:c r="K322" s="70" t="str">
        <x:v>2026学校考生；2027启用须对照V3-SG27</x:v>
      </x:c>
      <x:c r="L322" s="73" t="n">
        <x:v>3210</x:v>
      </x:c>
      <x:c r="M322" s="70" t="str">
        <x:v>以SEAB学校考生清单为准；H1/H2/H3不是Cambridge International AS/A Level，不共享大纲或报考代码。 目录层条目；未预填并不代表没有考试/实践/校评。</x:v>
      </x:c>
      <x:c r="N322" s="70" t="str">
        <x:v>V3-SG26</x:v>
      </x:c>
    </x:row>
    <x:row r="323" ht="64" customHeight="1">
      <x:c r="A323" s="71" t="str">
        <x:v>C322</x:v>
      </x:c>
      <x:c r="B323" s="70" t="str">
        <x:v>S010</x:v>
      </x:c>
      <x:c r="C323" s="70" t="str">
        <x:v>Singapore A-Level English Language and Linguistics H2</x:v>
      </x:c>
      <x:c r="D323" s="70" t="str">
        <x:v>Singapore A-Level English Language and Linguistics H2</x:v>
      </x:c>
      <x:c r="E323" s="70" t="str">
        <x:v>Singapore Examinations and Assessment Board (SEAB)</x:v>
      </x:c>
      <x:c r="F323" s="70" t="str">
        <x:v>Singapore-Cambridge GCE A-Level</x:v>
      </x:c>
      <x:c r="G323" s="70" t="str">
        <x:v>新加坡</x:v>
      </x:c>
      <x:c r="H323" s="70" t="str">
        <x:v>整门课程</x:v>
      </x:c>
      <x:c r="I323" s="70" t="str">
        <x:v>按学科大纲；未展开考核明细</x:v>
      </x:c>
      <x:c r="J323" s="72" t="str">
        <x:v>9508</x:v>
      </x:c>
      <x:c r="K323" s="70" t="str">
        <x:v>2026学校考生；2027启用须对照V3-SG27</x:v>
      </x:c>
      <x:c r="L323" s="73" t="n">
        <x:v>3220</x:v>
      </x:c>
      <x:c r="M323" s="70" t="str">
        <x:v>以SEAB学校考生清单为准；H1/H2/H3不是Cambridge International AS/A Level，不共享大纲或报考代码。 2027另有修订大纲；即使代码相同也必须保留考试年份及版本；不得把2026旧版本用于新届。 目录层条目；未预填并不代表没有考试/实践/校评。</x:v>
      </x:c>
      <x:c r="N323" s="70" t="str">
        <x:v>V3-SG26</x:v>
      </x:c>
    </x:row>
    <x:row r="324" ht="64" customHeight="1">
      <x:c r="A324" s="71" t="str">
        <x:v>C323</x:v>
      </x:c>
      <x:c r="B324" s="70" t="str">
        <x:v>S028</x:v>
      </x:c>
      <x:c r="C324" s="70" t="str">
        <x:v>Singapore A-Level Theatre Studies and Drama H2</x:v>
      </x:c>
      <x:c r="D324" s="70" t="str">
        <x:v>Singapore A-Level Theatre Studies and Drama H2</x:v>
      </x:c>
      <x:c r="E324" s="70" t="str">
        <x:v>Singapore Examinations and Assessment Board (SEAB)</x:v>
      </x:c>
      <x:c r="F324" s="70" t="str">
        <x:v>Singapore-Cambridge GCE A-Level</x:v>
      </x:c>
      <x:c r="G324" s="70" t="str">
        <x:v>新加坡</x:v>
      </x:c>
      <x:c r="H324" s="70" t="str">
        <x:v>整门课程</x:v>
      </x:c>
      <x:c r="I324" s="70" t="str">
        <x:v>按学科大纲；未展开考核明细</x:v>
      </x:c>
      <x:c r="J324" s="72" t="str">
        <x:v>9519</x:v>
      </x:c>
      <x:c r="K324" s="70" t="str">
        <x:v>2026学校考生；2027启用须对照V3-SG27</x:v>
      </x:c>
      <x:c r="L324" s="73" t="n">
        <x:v>3230</x:v>
      </x:c>
      <x:c r="M324" s="70" t="str">
        <x:v>以SEAB学校考生清单为准；H1/H2/H3不是Cambridge International AS/A Level，不共享大纲或报考代码。 目录层条目；未预填并不代表没有考试/实践/校评。</x:v>
      </x:c>
      <x:c r="N324" s="70" t="str">
        <x:v>V3-SG26</x:v>
      </x:c>
    </x:row>
    <x:row r="325" ht="64" customHeight="1">
      <x:c r="A325" s="71" t="str">
        <x:v>C324</x:v>
      </x:c>
      <x:c r="B325" s="70" t="str">
        <x:v>S010</x:v>
      </x:c>
      <x:c r="C325" s="70" t="str">
        <x:v>Singapore A-Level Literature in English H2</x:v>
      </x:c>
      <x:c r="D325" s="70" t="str">
        <x:v>Singapore A-Level Literature in English H2</x:v>
      </x:c>
      <x:c r="E325" s="70" t="str">
        <x:v>Singapore Examinations and Assessment Board (SEAB)</x:v>
      </x:c>
      <x:c r="F325" s="70" t="str">
        <x:v>Singapore-Cambridge GCE A-Level</x:v>
      </x:c>
      <x:c r="G325" s="70" t="str">
        <x:v>新加坡</x:v>
      </x:c>
      <x:c r="H325" s="70" t="str">
        <x:v>整门课程</x:v>
      </x:c>
      <x:c r="I325" s="70" t="str">
        <x:v>按学科大纲；未展开考核明细</x:v>
      </x:c>
      <x:c r="J325" s="72" t="str">
        <x:v>9539</x:v>
      </x:c>
      <x:c r="K325" s="70" t="str">
        <x:v>2026学校考生；2027启用须对照V3-SG27</x:v>
      </x:c>
      <x:c r="L325" s="73" t="n">
        <x:v>3240</x:v>
      </x:c>
      <x:c r="M325" s="70" t="str">
        <x:v>以SEAB学校考生清单为准；H1/H2/H3不是Cambridge International AS/A Level，不共享大纲或报考代码。 目录层条目；未预填并不代表没有考试/实践/校评。</x:v>
      </x:c>
      <x:c r="N325" s="70" t="str">
        <x:v>V3-SG26</x:v>
      </x:c>
    </x:row>
    <x:row r="326" ht="64" customHeight="1">
      <x:c r="A326" s="71" t="str">
        <x:v>C325</x:v>
      </x:c>
      <x:c r="B326" s="70" t="str">
        <x:v>S005</x:v>
      </x:c>
      <x:c r="C326" s="70" t="str">
        <x:v>Singapore A-Level Computing H2</x:v>
      </x:c>
      <x:c r="D326" s="70" t="str">
        <x:v>Singapore A-Level Computing H2</x:v>
      </x:c>
      <x:c r="E326" s="70" t="str">
        <x:v>Singapore Examinations and Assessment Board (SEAB)</x:v>
      </x:c>
      <x:c r="F326" s="70" t="str">
        <x:v>Singapore-Cambridge GCE A-Level</x:v>
      </x:c>
      <x:c r="G326" s="70" t="str">
        <x:v>新加坡</x:v>
      </x:c>
      <x:c r="H326" s="70" t="str">
        <x:v>整门课程</x:v>
      </x:c>
      <x:c r="I326" s="70" t="str">
        <x:v>按学科大纲；未展开考核明细</x:v>
      </x:c>
      <x:c r="J326" s="72" t="str">
        <x:v>9569</x:v>
      </x:c>
      <x:c r="K326" s="70" t="str">
        <x:v>2026学校考生；2027启用须对照V3-SG27</x:v>
      </x:c>
      <x:c r="L326" s="73" t="n">
        <x:v>3250</x:v>
      </x:c>
      <x:c r="M326" s="70" t="str">
        <x:v>以SEAB学校考生清单为准；H1/H2/H3不是Cambridge International AS/A Level，不共享大纲或报考代码。 2027另有修订大纲；即使代码相同也必须保留考试年份及版本；不得把2026旧版本用于新届。 目录层条目；未预填并不代表没有考试/实践/校评。</x:v>
      </x:c>
      <x:c r="N326" s="70" t="str">
        <x:v>V3-SG26</x:v>
      </x:c>
    </x:row>
    <x:row r="327" ht="64" customHeight="1">
      <x:c r="A327" s="71" t="str">
        <x:v>C326</x:v>
      </x:c>
      <x:c r="B327" s="70" t="str">
        <x:v>S007</x:v>
      </x:c>
      <x:c r="C327" s="70" t="str">
        <x:v>Singapore A-Level Economics H2</x:v>
      </x:c>
      <x:c r="D327" s="70" t="str">
        <x:v>Singapore A-Level Economics H2</x:v>
      </x:c>
      <x:c r="E327" s="70" t="str">
        <x:v>Singapore Examinations and Assessment Board (SEAB)</x:v>
      </x:c>
      <x:c r="F327" s="70" t="str">
        <x:v>Singapore-Cambridge GCE A-Level</x:v>
      </x:c>
      <x:c r="G327" s="70" t="str">
        <x:v>新加坡</x:v>
      </x:c>
      <x:c r="H327" s="70" t="str">
        <x:v>整门课程</x:v>
      </x:c>
      <x:c r="I327" s="70" t="str">
        <x:v>按学科大纲；未展开考核明细</x:v>
      </x:c>
      <x:c r="J327" s="72" t="str">
        <x:v>9570</x:v>
      </x:c>
      <x:c r="K327" s="70" t="str">
        <x:v>2026学校考生；2027启用须对照V3-SG27</x:v>
      </x:c>
      <x:c r="L327" s="73" t="n">
        <x:v>3260</x:v>
      </x:c>
      <x:c r="M327" s="70" t="str">
        <x:v>以SEAB学校考生清单为准；H1/H2/H3不是Cambridge International AS/A Level，不共享大纲或报考代码。 目录层条目；未预填并不代表没有考试/实践/校评。</x:v>
      </x:c>
      <x:c r="N327" s="70" t="str">
        <x:v>V3-SG26</x:v>
      </x:c>
    </x:row>
    <x:row r="328" ht="64" customHeight="1">
      <x:c r="A328" s="71" t="str">
        <x:v>C327</x:v>
      </x:c>
      <x:c r="B328" s="70" t="str">
        <x:v>S018</x:v>
      </x:c>
      <x:c r="C328" s="70" t="str">
        <x:v>Singapore A-Level Spanish H2</x:v>
      </x:c>
      <x:c r="D328" s="70" t="str">
        <x:v>Singapore A-Level Spanish H2</x:v>
      </x:c>
      <x:c r="E328" s="70" t="str">
        <x:v>Singapore Examinations and Assessment Board (SEAB)</x:v>
      </x:c>
      <x:c r="F328" s="70" t="str">
        <x:v>Singapore-Cambridge GCE A-Level</x:v>
      </x:c>
      <x:c r="G328" s="70" t="str">
        <x:v>新加坡</x:v>
      </x:c>
      <x:c r="H328" s="70" t="str">
        <x:v>整门课程</x:v>
      </x:c>
      <x:c r="I328" s="70" t="str">
        <x:v>按学科大纲；未展开考核明细</x:v>
      </x:c>
      <x:c r="J328" s="72" t="str">
        <x:v>9578</x:v>
      </x:c>
      <x:c r="K328" s="70" t="str">
        <x:v>2026学校考生；2027启用须对照V3-SG27</x:v>
      </x:c>
      <x:c r="L328" s="73" t="n">
        <x:v>3270</x:v>
      </x:c>
      <x:c r="M328" s="70" t="str">
        <x:v>以SEAB学校考生清单为准；H1/H2/H3不是Cambridge International AS/A Level，不共享大纲或报考代码。 目录层条目；未预填并不代表没有考试/实践/校评。</x:v>
      </x:c>
      <x:c r="N328" s="70" t="str">
        <x:v>V3-SG26</x:v>
      </x:c>
    </x:row>
    <x:row r="329" ht="64" customHeight="1">
      <x:c r="A329" s="71" t="str">
        <x:v>C328</x:v>
      </x:c>
      <x:c r="B329" s="70" t="str">
        <x:v>S008</x:v>
      </x:c>
      <x:c r="C329" s="70" t="str">
        <x:v>Singapore A-Level Management of Business H2</x:v>
      </x:c>
      <x:c r="D329" s="70" t="str">
        <x:v>Singapore A-Level Management of Business H2</x:v>
      </x:c>
      <x:c r="E329" s="70" t="str">
        <x:v>Singapore Examinations and Assessment Board (SEAB)</x:v>
      </x:c>
      <x:c r="F329" s="70" t="str">
        <x:v>Singapore-Cambridge GCE A-Level</x:v>
      </x:c>
      <x:c r="G329" s="70" t="str">
        <x:v>新加坡</x:v>
      </x:c>
      <x:c r="H329" s="70" t="str">
        <x:v>整门课程</x:v>
      </x:c>
      <x:c r="I329" s="70" t="str">
        <x:v>按学科大纲；未展开考核明细</x:v>
      </x:c>
      <x:c r="J329" s="72" t="str">
        <x:v>9587</x:v>
      </x:c>
      <x:c r="K329" s="70" t="str">
        <x:v>2026学校考生；2027启用须对照V3-SG27</x:v>
      </x:c>
      <x:c r="L329" s="73" t="n">
        <x:v>3280</x:v>
      </x:c>
      <x:c r="M329" s="70" t="str">
        <x:v>以SEAB学校考生清单为准；H1/H2/H3不是Cambridge International AS/A Level，不共享大纲或报考代码。 目录层条目；未预填并不代表没有考试/实践/校评。</x:v>
      </x:c>
      <x:c r="N329" s="70" t="str">
        <x:v>V3-SG26</x:v>
      </x:c>
    </x:row>
    <x:row r="330" ht="64" customHeight="1">
      <x:c r="A330" s="71" t="str">
        <x:v>C329</x:v>
      </x:c>
      <x:c r="B330" s="70" t="str">
        <x:v>S009</x:v>
      </x:c>
      <x:c r="C330" s="70" t="str">
        <x:v>Singapore A-Level Principles of Accounting H2</x:v>
      </x:c>
      <x:c r="D330" s="70" t="str">
        <x:v>Singapore A-Level Principles of Accounting H2</x:v>
      </x:c>
      <x:c r="E330" s="70" t="str">
        <x:v>Singapore Examinations and Assessment Board (SEAB)</x:v>
      </x:c>
      <x:c r="F330" s="70" t="str">
        <x:v>Singapore-Cambridge GCE A-Level</x:v>
      </x:c>
      <x:c r="G330" s="70" t="str">
        <x:v>新加坡</x:v>
      </x:c>
      <x:c r="H330" s="70" t="str">
        <x:v>整门课程</x:v>
      </x:c>
      <x:c r="I330" s="70" t="str">
        <x:v>按学科大纲；未展开考核明细</x:v>
      </x:c>
      <x:c r="J330" s="72" t="str">
        <x:v>9593</x:v>
      </x:c>
      <x:c r="K330" s="70" t="str">
        <x:v>2026学校考生；2027启用须对照V3-SG27</x:v>
      </x:c>
      <x:c r="L330" s="73" t="n">
        <x:v>3290</x:v>
      </x:c>
      <x:c r="M330" s="70" t="str">
        <x:v>以SEAB学校考生清单为准；H1/H2/H3不是Cambridge International AS/A Level，不共享大纲或报考代码。 目录层条目；未预填并不代表没有考试/实践/校评。</x:v>
      </x:c>
      <x:c r="N330" s="70" t="str">
        <x:v>V3-SG26</x:v>
      </x:c>
    </x:row>
    <x:row r="331" ht="64" customHeight="1">
      <x:c r="A331" s="71" t="str">
        <x:v>C330</x:v>
      </x:c>
      <x:c r="B331" s="70" t="str">
        <x:v>S029</x:v>
      </x:c>
      <x:c r="C331" s="70" t="str">
        <x:v>Singapore A-Level China Studies in English H2</x:v>
      </x:c>
      <x:c r="D331" s="70" t="str">
        <x:v>Singapore A-Level China Studies in English H2</x:v>
      </x:c>
      <x:c r="E331" s="70" t="str">
        <x:v>Singapore Examinations and Assessment Board (SEAB)</x:v>
      </x:c>
      <x:c r="F331" s="70" t="str">
        <x:v>Singapore-Cambridge GCE A-Level</x:v>
      </x:c>
      <x:c r="G331" s="70" t="str">
        <x:v>新加坡</x:v>
      </x:c>
      <x:c r="H331" s="70" t="str">
        <x:v>整门课程</x:v>
      </x:c>
      <x:c r="I331" s="70" t="str">
        <x:v>按学科大纲；未展开考核明细</x:v>
      </x:c>
      <x:c r="J331" s="72" t="str">
        <x:v>9628</x:v>
      </x:c>
      <x:c r="K331" s="70" t="str">
        <x:v>2026学校考生；2027启用须对照V3-SG27</x:v>
      </x:c>
      <x:c r="L331" s="73" t="n">
        <x:v>3300</x:v>
      </x:c>
      <x:c r="M331" s="70" t="str">
        <x:v>以SEAB学校考生清单为准；H1/H2/H3不是Cambridge International AS/A Level，不共享大纲或报考代码。 目录层条目；未预填并不代表没有考试/实践/校评。</x:v>
      </x:c>
      <x:c r="N331" s="70" t="str">
        <x:v>V3-SG26</x:v>
      </x:c>
    </x:row>
    <x:row r="332" ht="64" customHeight="1">
      <x:c r="A332" s="71" t="str">
        <x:v>C331</x:v>
      </x:c>
      <x:c r="B332" s="70" t="str">
        <x:v>S001</x:v>
      </x:c>
      <x:c r="C332" s="70" t="str">
        <x:v>Singapore A-Level Further Mathematics H2</x:v>
      </x:c>
      <x:c r="D332" s="70" t="str">
        <x:v>Singapore A-Level Further Mathematics H2</x:v>
      </x:c>
      <x:c r="E332" s="70" t="str">
        <x:v>Singapore Examinations and Assessment Board (SEAB)</x:v>
      </x:c>
      <x:c r="F332" s="70" t="str">
        <x:v>Singapore-Cambridge GCE A-Level</x:v>
      </x:c>
      <x:c r="G332" s="70" t="str">
        <x:v>新加坡</x:v>
      </x:c>
      <x:c r="H332" s="70" t="str">
        <x:v>整门课程</x:v>
      </x:c>
      <x:c r="I332" s="70" t="str">
        <x:v>按学科大纲；未展开考核明细</x:v>
      </x:c>
      <x:c r="J332" s="72" t="str">
        <x:v>9649</x:v>
      </x:c>
      <x:c r="K332" s="70" t="str">
        <x:v>2026学校考生；2027启用须对照V3-SG27</x:v>
      </x:c>
      <x:c r="L332" s="73" t="n">
        <x:v>3310</x:v>
      </x:c>
      <x:c r="M332" s="70" t="str">
        <x:v>以SEAB学校考生清单为准；H1/H2/H3不是Cambridge International AS/A Level，不共享大纲或报考代码。 目录层条目；未预填并不代表没有考试/实践/校评。</x:v>
      </x:c>
      <x:c r="N332" s="70" t="str">
        <x:v>V3-SG26</x:v>
      </x:c>
    </x:row>
    <x:row r="333" ht="64" customHeight="1">
      <x:c r="A333" s="71" t="str">
        <x:v>C332</x:v>
      </x:c>
      <x:c r="B333" s="70" t="str">
        <x:v>S016</x:v>
      </x:c>
      <x:c r="C333" s="70" t="str">
        <x:v>Singapore A-Level French H2</x:v>
      </x:c>
      <x:c r="D333" s="70" t="str">
        <x:v>Singapore A-Level French H2</x:v>
      </x:c>
      <x:c r="E333" s="70" t="str">
        <x:v>Singapore Examinations and Assessment Board (SEAB)</x:v>
      </x:c>
      <x:c r="F333" s="70" t="str">
        <x:v>Singapore-Cambridge GCE A-Level</x:v>
      </x:c>
      <x:c r="G333" s="70" t="str">
        <x:v>新加坡</x:v>
      </x:c>
      <x:c r="H333" s="70" t="str">
        <x:v>整门课程</x:v>
      </x:c>
      <x:c r="I333" s="70" t="str">
        <x:v>按学科大纲；未展开考核明细</x:v>
      </x:c>
      <x:c r="J333" s="72" t="str">
        <x:v>9735</x:v>
      </x:c>
      <x:c r="K333" s="70" t="str">
        <x:v>2026学校考生；2027启用须对照V3-SG27</x:v>
      </x:c>
      <x:c r="L333" s="73" t="n">
        <x:v>3320</x:v>
      </x:c>
      <x:c r="M333" s="70" t="str">
        <x:v>以SEAB学校考生清单为准；H1/H2/H3不是Cambridge International AS/A Level，不共享大纲或报考代码。 目录层条目；未预填并不代表没有考试/实践/校评。</x:v>
      </x:c>
      <x:c r="N333" s="70" t="str">
        <x:v>V3-SG26</x:v>
      </x:c>
    </x:row>
    <x:row r="334" ht="64" customHeight="1">
      <x:c r="A334" s="71" t="str">
        <x:v>C333</x:v>
      </x:c>
      <x:c r="B334" s="70" t="str">
        <x:v>S017</x:v>
      </x:c>
      <x:c r="C334" s="70" t="str">
        <x:v>Singapore A-Level German H2</x:v>
      </x:c>
      <x:c r="D334" s="70" t="str">
        <x:v>Singapore A-Level German H2</x:v>
      </x:c>
      <x:c r="E334" s="70" t="str">
        <x:v>Singapore Examinations and Assessment Board (SEAB)</x:v>
      </x:c>
      <x:c r="F334" s="70" t="str">
        <x:v>Singapore-Cambridge GCE A-Level</x:v>
      </x:c>
      <x:c r="G334" s="70" t="str">
        <x:v>新加坡</x:v>
      </x:c>
      <x:c r="H334" s="70" t="str">
        <x:v>整门课程</x:v>
      </x:c>
      <x:c r="I334" s="70" t="str">
        <x:v>按学科大纲；未展开考核明细</x:v>
      </x:c>
      <x:c r="J334" s="72" t="str">
        <x:v>9736</x:v>
      </x:c>
      <x:c r="K334" s="70" t="str">
        <x:v>2026学校考生；2027启用须对照V3-SG27</x:v>
      </x:c>
      <x:c r="L334" s="73" t="n">
        <x:v>3330</x:v>
      </x:c>
      <x:c r="M334" s="70" t="str">
        <x:v>以SEAB学校考生清单为准；H1/H2/H3不是Cambridge International AS/A Level，不共享大纲或报考代码。 目录层条目；未预填并不代表没有考试/实践/校评。</x:v>
      </x:c>
      <x:c r="N334" s="70" t="str">
        <x:v>V3-SG26</x:v>
      </x:c>
    </x:row>
    <x:row r="335" ht="64" customHeight="1">
      <x:c r="A335" s="71" t="str">
        <x:v>C334</x:v>
      </x:c>
      <x:c r="B335" s="70" t="str">
        <x:v>S021</x:v>
      </x:c>
      <x:c r="C335" s="70" t="str">
        <x:v>Singapore A-Level Japanese H2</x:v>
      </x:c>
      <x:c r="D335" s="70" t="str">
        <x:v>Singapore A-Level Japanese H2</x:v>
      </x:c>
      <x:c r="E335" s="70" t="str">
        <x:v>Singapore Examinations and Assessment Board (SEAB)</x:v>
      </x:c>
      <x:c r="F335" s="70" t="str">
        <x:v>Singapore-Cambridge GCE A-Level</x:v>
      </x:c>
      <x:c r="G335" s="70" t="str">
        <x:v>新加坡</x:v>
      </x:c>
      <x:c r="H335" s="70" t="str">
        <x:v>整门课程</x:v>
      </x:c>
      <x:c r="I335" s="70" t="str">
        <x:v>按学科大纲；未展开考核明细</x:v>
      </x:c>
      <x:c r="J335" s="72" t="str">
        <x:v>9737</x:v>
      </x:c>
      <x:c r="K335" s="70" t="str">
        <x:v>2026学校考生；2027启用须对照V3-SG27</x:v>
      </x:c>
      <x:c r="L335" s="73" t="n">
        <x:v>3340</x:v>
      </x:c>
      <x:c r="M335" s="70" t="str">
        <x:v>以SEAB学校考生清单为准；H1/H2/H3不是Cambridge International AS/A Level，不共享大纲或报考代码。 目录层条目；未预填并不代表没有考试/实践/校评。</x:v>
      </x:c>
      <x:c r="N335" s="70" t="str">
        <x:v>V3-SG26</x:v>
      </x:c>
    </x:row>
    <x:row r="336" ht="64" customHeight="1">
      <x:c r="A336" s="71" t="str">
        <x:v>C335</x:v>
      </x:c>
      <x:c r="B336" s="70" t="str">
        <x:v>S027</x:v>
      </x:c>
      <x:c r="C336" s="70" t="str">
        <x:v>Singapore A-Level Music H2</x:v>
      </x:c>
      <x:c r="D336" s="70" t="str">
        <x:v>Singapore A-Level Music H2</x:v>
      </x:c>
      <x:c r="E336" s="70" t="str">
        <x:v>Singapore Examinations and Assessment Board (SEAB)</x:v>
      </x:c>
      <x:c r="F336" s="70" t="str">
        <x:v>Singapore-Cambridge GCE A-Level</x:v>
      </x:c>
      <x:c r="G336" s="70" t="str">
        <x:v>新加坡</x:v>
      </x:c>
      <x:c r="H336" s="70" t="str">
        <x:v>整门课程</x:v>
      </x:c>
      <x:c r="I336" s="70" t="str">
        <x:v>按学科大纲；未展开考核明细</x:v>
      </x:c>
      <x:c r="J336" s="72" t="str">
        <x:v>9753</x:v>
      </x:c>
      <x:c r="K336" s="70" t="str">
        <x:v>2026学校考生；2027启用须对照V3-SG27</x:v>
      </x:c>
      <x:c r="L336" s="73" t="n">
        <x:v>3350</x:v>
      </x:c>
      <x:c r="M336" s="70" t="str">
        <x:v>以SEAB学校考生清单为准；H1/H2/H3不是Cambridge International AS/A Level，不共享大纲或报考代码。 目录层条目；未预填并不代表没有考试/实践/校评。</x:v>
      </x:c>
      <x:c r="N336" s="70" t="str">
        <x:v>V3-SG26</x:v>
      </x:c>
    </x:row>
    <x:row r="337" ht="64" customHeight="1">
      <x:c r="A337" s="71" t="str">
        <x:v>C336</x:v>
      </x:c>
      <x:c r="B337" s="70" t="str">
        <x:v>S001</x:v>
      </x:c>
      <x:c r="C337" s="70" t="str">
        <x:v>Singapore A-Level Mathematics H2</x:v>
      </x:c>
      <x:c r="D337" s="70" t="str">
        <x:v>Singapore A-Level Mathematics H2</x:v>
      </x:c>
      <x:c r="E337" s="70" t="str">
        <x:v>Singapore Examinations and Assessment Board (SEAB)</x:v>
      </x:c>
      <x:c r="F337" s="70" t="str">
        <x:v>Singapore-Cambridge GCE A-Level</x:v>
      </x:c>
      <x:c r="G337" s="70" t="str">
        <x:v>新加坡</x:v>
      </x:c>
      <x:c r="H337" s="70" t="str">
        <x:v>整门课程</x:v>
      </x:c>
      <x:c r="I337" s="70" t="str">
        <x:v>按学科大纲；未展开考核明细</x:v>
      </x:c>
      <x:c r="J337" s="72" t="str">
        <x:v>9758</x:v>
      </x:c>
      <x:c r="K337" s="70" t="str">
        <x:v>2026学校考生；2027启用须对照V3-SG27</x:v>
      </x:c>
      <x:c r="L337" s="73" t="n">
        <x:v>3360</x:v>
      </x:c>
      <x:c r="M337" s="70" t="str">
        <x:v>以SEAB学校考生清单为准；H1/H2/H3不是Cambridge International AS/A Level，不共享大纲或报考代码。 目录层条目；未预填并不代表没有考试/实践/校评。</x:v>
      </x:c>
      <x:c r="N337" s="70" t="str">
        <x:v>V3-SG26</x:v>
      </x:c>
    </x:row>
    <x:row r="338" ht="64" customHeight="1">
      <x:c r="A338" s="71" t="str">
        <x:v>C337</x:v>
      </x:c>
      <x:c r="B338" s="70" t="str">
        <x:v>S036</x:v>
      </x:c>
      <x:c r="C338" s="70" t="str">
        <x:v>Singapore A-Level Knowledge and Inquiry H2</x:v>
      </x:c>
      <x:c r="D338" s="70" t="str">
        <x:v>Singapore A-Level Knowledge and Inquiry H2</x:v>
      </x:c>
      <x:c r="E338" s="70" t="str">
        <x:v>Singapore Examinations and Assessment Board (SEAB)</x:v>
      </x:c>
      <x:c r="F338" s="70" t="str">
        <x:v>Singapore-Cambridge GCE A-Level</x:v>
      </x:c>
      <x:c r="G338" s="70" t="str">
        <x:v>新加坡</x:v>
      </x:c>
      <x:c r="H338" s="70" t="str">
        <x:v>整门课程</x:v>
      </x:c>
      <x:c r="I338" s="70" t="str">
        <x:v>按学科大纲；未展开考核明细</x:v>
      </x:c>
      <x:c r="J338" s="72" t="str">
        <x:v>9759</x:v>
      </x:c>
      <x:c r="K338" s="70" t="str">
        <x:v>2026学校考生；2027启用须对照V3-SG27</x:v>
      </x:c>
      <x:c r="L338" s="73" t="n">
        <x:v>3370</x:v>
      </x:c>
      <x:c r="M338" s="70" t="str">
        <x:v>以SEAB学校考生清单为准；H1/H2/H3不是Cambridge International AS/A Level，不共享大纲或报考代码。 目录层条目；未预填并不代表没有考试/实践/校评。</x:v>
      </x:c>
      <x:c r="N338" s="70" t="str">
        <x:v>V3-SG26</x:v>
      </x:c>
    </x:row>
    <x:row r="339" ht="64" customHeight="1">
      <x:c r="A339" s="71" t="str">
        <x:v>C338</x:v>
      </x:c>
      <x:c r="B339" s="70" t="str">
        <x:v>S020</x:v>
      </x:c>
      <x:c r="C339" s="70" t="str">
        <x:v>Singapore A-Level Translation (Chinese) H2</x:v>
      </x:c>
      <x:c r="D339" s="70" t="str">
        <x:v>Singapore A-Level Translation (Chinese) H2</x:v>
      </x:c>
      <x:c r="E339" s="70" t="str">
        <x:v>Singapore Examinations and Assessment Board (SEAB)</x:v>
      </x:c>
      <x:c r="F339" s="70" t="str">
        <x:v>Singapore-Cambridge GCE A-Level</x:v>
      </x:c>
      <x:c r="G339" s="70" t="str">
        <x:v>新加坡</x:v>
      </x:c>
      <x:c r="H339" s="70" t="str">
        <x:v>整门课程</x:v>
      </x:c>
      <x:c r="I339" s="70" t="str">
        <x:v>按学科大纲；未展开考核明细</x:v>
      </x:c>
      <x:c r="J339" s="72" t="str">
        <x:v>9571</x:v>
      </x:c>
      <x:c r="K339" s="70" t="str">
        <x:v>2026学校考生；2027启用须对照V3-SG27</x:v>
      </x:c>
      <x:c r="L339" s="73" t="n">
        <x:v>3380</x:v>
      </x:c>
      <x:c r="M339" s="70" t="str">
        <x:v>以SEAB学校考生清单为准；H1/H2/H3不是Cambridge International AS/A Level，不共享大纲或报考代码。 目录层条目；未预填并不代表没有考试/实践/校评。</x:v>
      </x:c>
      <x:c r="N339" s="70" t="str">
        <x:v>V3-SG26</x:v>
      </x:c>
    </x:row>
    <x:row r="340" ht="64" customHeight="1">
      <x:c r="A340" s="71" t="str">
        <x:v>C339</x:v>
      </x:c>
      <x:c r="B340" s="70" t="str">
        <x:v>S020</x:v>
      </x:c>
      <x:c r="C340" s="70" t="str">
        <x:v>Singapore A-Level Chinese Language and Literature H2</x:v>
      </x:c>
      <x:c r="D340" s="70" t="str">
        <x:v>Singapore A-Level Chinese Language and Literature H2</x:v>
      </x:c>
      <x:c r="E340" s="70" t="str">
        <x:v>Singapore Examinations and Assessment Board (SEAB)</x:v>
      </x:c>
      <x:c r="F340" s="70" t="str">
        <x:v>Singapore-Cambridge GCE A-Level</x:v>
      </x:c>
      <x:c r="G340" s="70" t="str">
        <x:v>新加坡</x:v>
      </x:c>
      <x:c r="H340" s="70" t="str">
        <x:v>整门课程</x:v>
      </x:c>
      <x:c r="I340" s="70" t="str">
        <x:v>按学科大纲；未展开考核明细</x:v>
      </x:c>
      <x:c r="J340" s="72" t="str">
        <x:v>9575</x:v>
      </x:c>
      <x:c r="K340" s="70" t="str">
        <x:v>2026学校考生；2027启用须对照V3-SG27</x:v>
      </x:c>
      <x:c r="L340" s="73" t="n">
        <x:v>3390</x:v>
      </x:c>
      <x:c r="M340" s="70" t="str">
        <x:v>以SEAB学校考生清单为准；H1/H2/H3不是Cambridge International AS/A Level，不共享大纲或报考代码。 目录层条目；未预填并不代表没有考试/实践/校评。</x:v>
      </x:c>
      <x:c r="N340" s="70" t="str">
        <x:v>V3-SG26</x:v>
      </x:c>
    </x:row>
    <x:row r="341" ht="64" customHeight="1">
      <x:c r="A341" s="71" t="str">
        <x:v>C340</x:v>
      </x:c>
      <x:c r="B341" s="70" t="str">
        <x:v>S029</x:v>
      </x:c>
      <x:c r="C341" s="70" t="str">
        <x:v>Singapore A-Level China Studies in Chinese H2</x:v>
      </x:c>
      <x:c r="D341" s="70" t="str">
        <x:v>Singapore A-Level China Studies in Chinese H2</x:v>
      </x:c>
      <x:c r="E341" s="70" t="str">
        <x:v>Singapore Examinations and Assessment Board (SEAB)</x:v>
      </x:c>
      <x:c r="F341" s="70" t="str">
        <x:v>Singapore-Cambridge GCE A-Level</x:v>
      </x:c>
      <x:c r="G341" s="70" t="str">
        <x:v>新加坡</x:v>
      </x:c>
      <x:c r="H341" s="70" t="str">
        <x:v>整门课程</x:v>
      </x:c>
      <x:c r="I341" s="70" t="str">
        <x:v>按学科大纲；未展开考核明细</x:v>
      </x:c>
      <x:c r="J341" s="72" t="str">
        <x:v>9629</x:v>
      </x:c>
      <x:c r="K341" s="70" t="str">
        <x:v>2026学校考生；2027启用须对照V3-SG27</x:v>
      </x:c>
      <x:c r="L341" s="73" t="n">
        <x:v>3400</x:v>
      </x:c>
      <x:c r="M341" s="70" t="str">
        <x:v>以SEAB学校考生清单为准；H1/H2/H3不是Cambridge International AS/A Level，不共享大纲或报考代码。 目录层条目；未预填并不代表没有考试/实践/校评。</x:v>
      </x:c>
      <x:c r="N341" s="70" t="str">
        <x:v>V3-SG26</x:v>
      </x:c>
    </x:row>
    <x:row r="342" ht="64" customHeight="1">
      <x:c r="A342" s="71" t="str">
        <x:v>C341</x:v>
      </x:c>
      <x:c r="B342" s="70" t="str">
        <x:v>S025</x:v>
      </x:c>
      <x:c r="C342" s="70" t="str">
        <x:v>Singapore A-Level Malay Language and Literature H2</x:v>
      </x:c>
      <x:c r="D342" s="70" t="str">
        <x:v>Singapore A-Level Malay Language and Literature H2</x:v>
      </x:c>
      <x:c r="E342" s="70" t="str">
        <x:v>Singapore Examinations and Assessment Board (SEAB)</x:v>
      </x:c>
      <x:c r="F342" s="70" t="str">
        <x:v>Singapore-Cambridge GCE A-Level</x:v>
      </x:c>
      <x:c r="G342" s="70" t="str">
        <x:v>新加坡</x:v>
      </x:c>
      <x:c r="H342" s="70" t="str">
        <x:v>整门课程</x:v>
      </x:c>
      <x:c r="I342" s="70" t="str">
        <x:v>按学科大纲；未展开考核明细</x:v>
      </x:c>
      <x:c r="J342" s="72" t="str">
        <x:v>9576</x:v>
      </x:c>
      <x:c r="K342" s="70" t="str">
        <x:v>2026学校考生；2027启用须对照V3-SG27</x:v>
      </x:c>
      <x:c r="L342" s="73" t="n">
        <x:v>3410</x:v>
      </x:c>
      <x:c r="M342" s="70" t="str">
        <x:v>以SEAB学校考生清单为准；H1/H2/H3不是Cambridge International AS/A Level，不共享大纲或报考代码。 目录层条目；未预填并不代表没有考试/实践/校评。</x:v>
      </x:c>
      <x:c r="N342" s="70" t="str">
        <x:v>V3-SG26</x:v>
      </x:c>
    </x:row>
    <x:row r="343" ht="64" customHeight="1">
      <x:c r="A343" s="71" t="str">
        <x:v>C342</x:v>
      </x:c>
      <x:c r="B343" s="70" t="str">
        <x:v>S025</x:v>
      </x:c>
      <x:c r="C343" s="70" t="str">
        <x:v>Singapore A-Level Tamil Language and Literature H2</x:v>
      </x:c>
      <x:c r="D343" s="70" t="str">
        <x:v>Singapore A-Level Tamil Language and Literature H2</x:v>
      </x:c>
      <x:c r="E343" s="70" t="str">
        <x:v>Singapore Examinations and Assessment Board (SEAB)</x:v>
      </x:c>
      <x:c r="F343" s="70" t="str">
        <x:v>Singapore-Cambridge GCE A-Level</x:v>
      </x:c>
      <x:c r="G343" s="70" t="str">
        <x:v>新加坡</x:v>
      </x:c>
      <x:c r="H343" s="70" t="str">
        <x:v>整门课程</x:v>
      </x:c>
      <x:c r="I343" s="70" t="str">
        <x:v>按学科大纲；未展开考核明细</x:v>
      </x:c>
      <x:c r="J343" s="72" t="str">
        <x:v>9577</x:v>
      </x:c>
      <x:c r="K343" s="70" t="str">
        <x:v>2026学校考生；2027启用须对照V3-SG27</x:v>
      </x:c>
      <x:c r="L343" s="73" t="n">
        <x:v>3420</x:v>
      </x:c>
      <x:c r="M343" s="70" t="str">
        <x:v>以SEAB学校考生清单为准；H1/H2/H3不是Cambridge International AS/A Level，不共享大纲或报考代码。 目录层条目；未预填并不代表没有考试/实践/校评。</x:v>
      </x:c>
      <x:c r="N343" s="70" t="str">
        <x:v>V3-SG26</x:v>
      </x:c>
    </x:row>
    <x:row r="344" ht="64" customHeight="1">
      <x:c r="A344" s="71" t="str">
        <x:v>C343</x:v>
      </x:c>
      <x:c r="B344" s="70" t="str">
        <x:v>S010</x:v>
      </x:c>
      <x:c r="C344" s="70" t="str">
        <x:v>Singapore A-Level Literature in English H3</x:v>
      </x:c>
      <x:c r="D344" s="70" t="str">
        <x:v>Singapore A-Level Literature in English H3</x:v>
      </x:c>
      <x:c r="E344" s="70" t="str">
        <x:v>Singapore Examinations and Assessment Board (SEAB)</x:v>
      </x:c>
      <x:c r="F344" s="70" t="str">
        <x:v>Singapore-Cambridge GCE A-Level</x:v>
      </x:c>
      <x:c r="G344" s="70" t="str">
        <x:v>新加坡</x:v>
      </x:c>
      <x:c r="H344" s="70" t="str">
        <x:v>整门课程</x:v>
      </x:c>
      <x:c r="I344" s="70" t="str">
        <x:v>按学科大纲；未展开考核明细</x:v>
      </x:c>
      <x:c r="J344" s="72" t="str">
        <x:v>9805</x:v>
      </x:c>
      <x:c r="K344" s="70" t="str">
        <x:v>2026学校考生；2027启用须对照V3-SG27</x:v>
      </x:c>
      <x:c r="L344" s="73" t="n">
        <x:v>3430</x:v>
      </x:c>
      <x:c r="M344" s="70" t="str">
        <x:v>以SEAB学校考生清单为准；H1/H2/H3不是Cambridge International AS/A Level，不共享大纲或报考代码。 目录层条目；未预填并不代表没有考试/实践/校评。</x:v>
      </x:c>
      <x:c r="N344" s="70" t="str">
        <x:v>V3-SG26</x:v>
      </x:c>
    </x:row>
    <x:row r="345" ht="64" customHeight="1">
      <x:c r="A345" s="71" t="str">
        <x:v>C344</x:v>
      </x:c>
      <x:c r="B345" s="70" t="str">
        <x:v>S007</x:v>
      </x:c>
      <x:c r="C345" s="70" t="str">
        <x:v>Singapore A-Level Economics H3</x:v>
      </x:c>
      <x:c r="D345" s="70" t="str">
        <x:v>Singapore A-Level Economics H3</x:v>
      </x:c>
      <x:c r="E345" s="70" t="str">
        <x:v>Singapore Examinations and Assessment Board (SEAB)</x:v>
      </x:c>
      <x:c r="F345" s="70" t="str">
        <x:v>Singapore-Cambridge GCE A-Level</x:v>
      </x:c>
      <x:c r="G345" s="70" t="str">
        <x:v>新加坡</x:v>
      </x:c>
      <x:c r="H345" s="70" t="str">
        <x:v>整门课程</x:v>
      </x:c>
      <x:c r="I345" s="70" t="str">
        <x:v>按学科大纲；未展开考核明细</x:v>
      </x:c>
      <x:c r="J345" s="72" t="str">
        <x:v>9809</x:v>
      </x:c>
      <x:c r="K345" s="70" t="str">
        <x:v>2026学校考生；2027启用须对照V3-SG27</x:v>
      </x:c>
      <x:c r="L345" s="73" t="n">
        <x:v>3440</x:v>
      </x:c>
      <x:c r="M345" s="70" t="str">
        <x:v>以SEAB学校考生清单为准；H1/H2/H3不是Cambridge International AS/A Level，不共享大纲或报考代码。 目录层条目；未预填并不代表没有考试/实践/校评。</x:v>
      </x:c>
      <x:c r="N345" s="70" t="str">
        <x:v>V3-SG26</x:v>
      </x:c>
    </x:row>
    <x:row r="346" ht="64" customHeight="1">
      <x:c r="A346" s="71" t="str">
        <x:v>C345</x:v>
      </x:c>
      <x:c r="B346" s="70" t="str">
        <x:v>S003</x:v>
      </x:c>
      <x:c r="C346" s="70" t="str">
        <x:v>Singapore A-Level Chemistry H3</x:v>
      </x:c>
      <x:c r="D346" s="70" t="str">
        <x:v>Singapore A-Level Chemistry H3</x:v>
      </x:c>
      <x:c r="E346" s="70" t="str">
        <x:v>Singapore Examinations and Assessment Board (SEAB)</x:v>
      </x:c>
      <x:c r="F346" s="70" t="str">
        <x:v>Singapore-Cambridge GCE A-Level</x:v>
      </x:c>
      <x:c r="G346" s="70" t="str">
        <x:v>新加坡</x:v>
      </x:c>
      <x:c r="H346" s="70" t="str">
        <x:v>整门课程</x:v>
      </x:c>
      <x:c r="I346" s="70" t="str">
        <x:v>按学科大纲；未展开考核明细</x:v>
      </x:c>
      <x:c r="J346" s="72" t="str">
        <x:v>9813</x:v>
      </x:c>
      <x:c r="K346" s="70" t="str">
        <x:v>2026学校考生；2027启用须对照V3-SG27</x:v>
      </x:c>
      <x:c r="L346" s="73" t="n">
        <x:v>3450</x:v>
      </x:c>
      <x:c r="M346" s="70" t="str">
        <x:v>以SEAB学校考生清单为准；H1/H2/H3不是Cambridge International AS/A Level，不共享大纲或报考代码。 目录层条目；未预填并不代表没有考试/实践/校评。</x:v>
      </x:c>
      <x:c r="N346" s="70" t="str">
        <x:v>V3-SG26</x:v>
      </x:c>
    </x:row>
    <x:row r="347" ht="64" customHeight="1">
      <x:c r="A347" s="71" t="str">
        <x:v>C346</x:v>
      </x:c>
      <x:c r="B347" s="70" t="str">
        <x:v>S002</x:v>
      </x:c>
      <x:c r="C347" s="70" t="str">
        <x:v>Singapore A-Level Physics H3</x:v>
      </x:c>
      <x:c r="D347" s="70" t="str">
        <x:v>Singapore A-Level Physics H3</x:v>
      </x:c>
      <x:c r="E347" s="70" t="str">
        <x:v>Singapore Examinations and Assessment Board (SEAB)</x:v>
      </x:c>
      <x:c r="F347" s="70" t="str">
        <x:v>Singapore-Cambridge GCE A-Level</x:v>
      </x:c>
      <x:c r="G347" s="70" t="str">
        <x:v>新加坡</x:v>
      </x:c>
      <x:c r="H347" s="70" t="str">
        <x:v>整门课程</x:v>
      </x:c>
      <x:c r="I347" s="70" t="str">
        <x:v>按学科大纲；未展开考核明细</x:v>
      </x:c>
      <x:c r="J347" s="72" t="str">
        <x:v>9814</x:v>
      </x:c>
      <x:c r="K347" s="70" t="str">
        <x:v>2026学校考生；2027启用须对照V3-SG27</x:v>
      </x:c>
      <x:c r="L347" s="73" t="n">
        <x:v>3460</x:v>
      </x:c>
      <x:c r="M347" s="70" t="str">
        <x:v>以SEAB学校考生清单为准；H1/H2/H3不是Cambridge International AS/A Level，不共享大纲或报考代码。 目录层条目；未预填并不代表没有考试/实践/校评。</x:v>
      </x:c>
      <x:c r="N347" s="70" t="str">
        <x:v>V3-SG26</x:v>
      </x:c>
    </x:row>
    <x:row r="348" ht="64" customHeight="1">
      <x:c r="A348" s="71" t="str">
        <x:v>C347</x:v>
      </x:c>
      <x:c r="B348" s="70" t="str">
        <x:v>S004</x:v>
      </x:c>
      <x:c r="C348" s="70" t="str">
        <x:v>Singapore A-Level Biology H3</x:v>
      </x:c>
      <x:c r="D348" s="70" t="str">
        <x:v>Singapore A-Level Biology H3</x:v>
      </x:c>
      <x:c r="E348" s="70" t="str">
        <x:v>Singapore Examinations and Assessment Board (SEAB)</x:v>
      </x:c>
      <x:c r="F348" s="70" t="str">
        <x:v>Singapore-Cambridge GCE A-Level</x:v>
      </x:c>
      <x:c r="G348" s="70" t="str">
        <x:v>新加坡</x:v>
      </x:c>
      <x:c r="H348" s="70" t="str">
        <x:v>整门课程</x:v>
      </x:c>
      <x:c r="I348" s="70" t="str">
        <x:v>按学科大纲；未展开考核明细</x:v>
      </x:c>
      <x:c r="J348" s="72" t="str">
        <x:v>9816</x:v>
      </x:c>
      <x:c r="K348" s="70" t="str">
        <x:v>2026学校考生；2027启用须对照V3-SG27</x:v>
      </x:c>
      <x:c r="L348" s="73" t="n">
        <x:v>3470</x:v>
      </x:c>
      <x:c r="M348" s="70" t="str">
        <x:v>以SEAB学校考生清单为准；H1/H2/H3不是Cambridge International AS/A Level，不共享大纲或报考代码。 目录层条目；未预填并不代表没有考试/实践/校评。</x:v>
      </x:c>
      <x:c r="N348" s="70" t="str">
        <x:v>V3-SG26</x:v>
      </x:c>
    </x:row>
    <x:row r="349" ht="64" customHeight="1">
      <x:c r="A349" s="71" t="str">
        <x:v>C348</x:v>
      </x:c>
      <x:c r="B349" s="70" t="str">
        <x:v>S026</x:v>
      </x:c>
      <x:c r="C349" s="70" t="str">
        <x:v>Singapore A-Level Art H3</x:v>
      </x:c>
      <x:c r="D349" s="70" t="str">
        <x:v>Singapore A-Level Art H3</x:v>
      </x:c>
      <x:c r="E349" s="70" t="str">
        <x:v>Singapore Examinations and Assessment Board (SEAB)</x:v>
      </x:c>
      <x:c r="F349" s="70" t="str">
        <x:v>Singapore-Cambridge GCE A-Level</x:v>
      </x:c>
      <x:c r="G349" s="70" t="str">
        <x:v>新加坡</x:v>
      </x:c>
      <x:c r="H349" s="70" t="str">
        <x:v>整门课程</x:v>
      </x:c>
      <x:c r="I349" s="70" t="str">
        <x:v>按学科大纲；未展开考核明细</x:v>
      </x:c>
      <x:c r="J349" s="72" t="str">
        <x:v>9818</x:v>
      </x:c>
      <x:c r="K349" s="70" t="str">
        <x:v>2026学校考生；2027启用须对照V3-SG27</x:v>
      </x:c>
      <x:c r="L349" s="73" t="n">
        <x:v>3480</x:v>
      </x:c>
      <x:c r="M349" s="70" t="str">
        <x:v>以SEAB学校考生清单为准；H1/H2/H3不是Cambridge International AS/A Level，不共享大纲或报考代码。 目录层条目；未预填并不代表没有考试/实践/校评。</x:v>
      </x:c>
      <x:c r="N349" s="70" t="str">
        <x:v>V3-SG26</x:v>
      </x:c>
    </x:row>
    <x:row r="350" ht="64" customHeight="1">
      <x:c r="A350" s="71" t="str">
        <x:v>C349</x:v>
      </x:c>
      <x:c r="B350" s="70" t="str">
        <x:v>S027</x:v>
      </x:c>
      <x:c r="C350" s="70" t="str">
        <x:v>Singapore A-Level Music H3</x:v>
      </x:c>
      <x:c r="D350" s="70" t="str">
        <x:v>Singapore A-Level Music H3</x:v>
      </x:c>
      <x:c r="E350" s="70" t="str">
        <x:v>Singapore Examinations and Assessment Board (SEAB)</x:v>
      </x:c>
      <x:c r="F350" s="70" t="str">
        <x:v>Singapore-Cambridge GCE A-Level</x:v>
      </x:c>
      <x:c r="G350" s="70" t="str">
        <x:v>新加坡</x:v>
      </x:c>
      <x:c r="H350" s="70" t="str">
        <x:v>整门课程</x:v>
      </x:c>
      <x:c r="I350" s="70" t="str">
        <x:v>按学科大纲；未展开考核明细</x:v>
      </x:c>
      <x:c r="J350" s="72" t="str">
        <x:v>9819</x:v>
      </x:c>
      <x:c r="K350" s="70" t="str">
        <x:v>2026学校考生；2027启用须对照V3-SG27</x:v>
      </x:c>
      <x:c r="L350" s="73" t="n">
        <x:v>3490</x:v>
      </x:c>
      <x:c r="M350" s="70" t="str">
        <x:v>以SEAB学校考生清单为准；H1/H2/H3不是Cambridge International AS/A Level，不共享大纲或报考代码。 目录层条目；未预填并不代表没有考试/实践/校评。</x:v>
      </x:c>
      <x:c r="N350" s="70" t="str">
        <x:v>V3-SG26</x:v>
      </x:c>
    </x:row>
    <x:row r="351" ht="64" customHeight="1">
      <x:c r="A351" s="71" t="str">
        <x:v>C350</x:v>
      </x:c>
      <x:c r="B351" s="70" t="str">
        <x:v>S001</x:v>
      </x:c>
      <x:c r="C351" s="70" t="str">
        <x:v>Singapore A-Level Mathematics H3</x:v>
      </x:c>
      <x:c r="D351" s="70" t="str">
        <x:v>Singapore A-Level Mathematics H3</x:v>
      </x:c>
      <x:c r="E351" s="70" t="str">
        <x:v>Singapore Examinations and Assessment Board (SEAB)</x:v>
      </x:c>
      <x:c r="F351" s="70" t="str">
        <x:v>Singapore-Cambridge GCE A-Level</x:v>
      </x:c>
      <x:c r="G351" s="70" t="str">
        <x:v>新加坡</x:v>
      </x:c>
      <x:c r="H351" s="70" t="str">
        <x:v>整门课程</x:v>
      </x:c>
      <x:c r="I351" s="70" t="str">
        <x:v>按学科大纲；未展开考核明细</x:v>
      </x:c>
      <x:c r="J351" s="72" t="str">
        <x:v>9820</x:v>
      </x:c>
      <x:c r="K351" s="70" t="str">
        <x:v>2026学校考生；2027启用须对照V3-SG27</x:v>
      </x:c>
      <x:c r="L351" s="73" t="n">
        <x:v>3500</x:v>
      </x:c>
      <x:c r="M351" s="70" t="str">
        <x:v>以SEAB学校考生清单为准；H1/H2/H3不是Cambridge International AS/A Level，不共享大纲或报考代码。 目录层条目；未预填并不代表没有考试/实践/校评。</x:v>
      </x:c>
      <x:c r="N351" s="70" t="str">
        <x:v>V3-SG26</x:v>
      </x:c>
    </x:row>
    <x:row r="352" ht="64" customHeight="1">
      <x:c r="A352" s="71" t="str">
        <x:v>C351</x:v>
      </x:c>
      <x:c r="B352" s="70" t="str">
        <x:v>S012</x:v>
      </x:c>
      <x:c r="C352" s="70" t="str">
        <x:v>Singapore A-Level Geography H3</x:v>
      </x:c>
      <x:c r="D352" s="70" t="str">
        <x:v>Singapore A-Level Geography H3</x:v>
      </x:c>
      <x:c r="E352" s="70" t="str">
        <x:v>Singapore Examinations and Assessment Board (SEAB)</x:v>
      </x:c>
      <x:c r="F352" s="70" t="str">
        <x:v>Singapore-Cambridge GCE A-Level</x:v>
      </x:c>
      <x:c r="G352" s="70" t="str">
        <x:v>新加坡</x:v>
      </x:c>
      <x:c r="H352" s="70" t="str">
        <x:v>整门课程</x:v>
      </x:c>
      <x:c r="I352" s="70" t="str">
        <x:v>按学科大纲；未展开考核明细</x:v>
      </x:c>
      <x:c r="J352" s="72" t="str">
        <x:v>9822</x:v>
      </x:c>
      <x:c r="K352" s="70" t="str">
        <x:v>2026学校考生；2027启用须对照V3-SG27</x:v>
      </x:c>
      <x:c r="L352" s="73" t="n">
        <x:v>3510</x:v>
      </x:c>
      <x:c r="M352" s="70" t="str">
        <x:v>以SEAB学校考生清单为准；H1/H2/H3不是Cambridge International AS/A Level，不共享大纲或报考代码。 目录层条目；未预填并不代表没有考试/实践/校评。</x:v>
      </x:c>
      <x:c r="N352" s="70" t="str">
        <x:v>V3-SG26</x:v>
      </x:c>
    </x:row>
    <x:row r="353" ht="64" customHeight="1">
      <x:c r="A353" s="71" t="str">
        <x:v>C352</x:v>
      </x:c>
      <x:c r="B353" s="70" t="str">
        <x:v>S011</x:v>
      </x:c>
      <x:c r="C353" s="70" t="str">
        <x:v>Singapore A-Level History H3</x:v>
      </x:c>
      <x:c r="D353" s="70" t="str">
        <x:v>Singapore A-Level History H3</x:v>
      </x:c>
      <x:c r="E353" s="70" t="str">
        <x:v>Singapore Examinations and Assessment Board (SEAB)</x:v>
      </x:c>
      <x:c r="F353" s="70" t="str">
        <x:v>Singapore-Cambridge GCE A-Level</x:v>
      </x:c>
      <x:c r="G353" s="70" t="str">
        <x:v>新加坡</x:v>
      </x:c>
      <x:c r="H353" s="70" t="str">
        <x:v>整门课程</x:v>
      </x:c>
      <x:c r="I353" s="70" t="str">
        <x:v>按学科大纲；未展开考核明细</x:v>
      </x:c>
      <x:c r="J353" s="72" t="str">
        <x:v>9823</x:v>
      </x:c>
      <x:c r="K353" s="70" t="str">
        <x:v>2026学校考生；2027启用须对照V3-SG27</x:v>
      </x:c>
      <x:c r="L353" s="73" t="n">
        <x:v>3520</x:v>
      </x:c>
      <x:c r="M353" s="70" t="str">
        <x:v>以SEAB学校考生清单为准；H1/H2/H3不是Cambridge International AS/A Level，不共享大纲或报考代码。 目录层条目；未预填并不代表没有考试/实践/校评。</x:v>
      </x:c>
      <x:c r="N353" s="70" t="str">
        <x:v>V3-SG26</x:v>
      </x:c>
    </x:row>
    <x:row r="354" ht="64" customHeight="1">
      <x:c r="A354" s="71" t="str">
        <x:v>C353</x:v>
      </x:c>
      <x:c r="B354" s="70" t="str">
        <x:v>S020</x:v>
      </x:c>
      <x:c r="C354" s="70" t="str">
        <x:v>Singapore A-Level Chinese Language and Literature H3</x:v>
      </x:c>
      <x:c r="D354" s="70" t="str">
        <x:v>Singapore A-Level Chinese Language and Literature H3</x:v>
      </x:c>
      <x:c r="E354" s="70" t="str">
        <x:v>Singapore Examinations and Assessment Board (SEAB)</x:v>
      </x:c>
      <x:c r="F354" s="70" t="str">
        <x:v>Singapore-Cambridge GCE A-Level</x:v>
      </x:c>
      <x:c r="G354" s="70" t="str">
        <x:v>新加坡</x:v>
      </x:c>
      <x:c r="H354" s="70" t="str">
        <x:v>整门课程</x:v>
      </x:c>
      <x:c r="I354" s="70" t="str">
        <x:v>按学科大纲；未展开考核明细</x:v>
      </x:c>
      <x:c r="J354" s="72" t="str">
        <x:v>9901</x:v>
      </x:c>
      <x:c r="K354" s="70" t="str">
        <x:v>2026学校考生；2027启用须对照V3-SG27</x:v>
      </x:c>
      <x:c r="L354" s="73" t="n">
        <x:v>3530</x:v>
      </x:c>
      <x:c r="M354" s="70" t="str">
        <x:v>以SEAB学校考生清单为准；H1/H2/H3不是Cambridge International AS/A Level，不共享大纲或报考代码。 目录层条目；未预填并不代表没有考试/实践/校评。</x:v>
      </x:c>
      <x:c r="N354" s="70" t="str">
        <x:v>V3-SG26</x:v>
      </x:c>
    </x:row>
    <x:row r="355" ht="64" customHeight="1">
      <x:c r="A355" s="71" t="str">
        <x:v>C354</x:v>
      </x:c>
      <x:c r="B355" s="70" t="str">
        <x:v>S025</x:v>
      </x:c>
      <x:c r="C355" s="70" t="str">
        <x:v>Singapore A-Level Malay Language and Literature H3</x:v>
      </x:c>
      <x:c r="D355" s="70" t="str">
        <x:v>Singapore A-Level Malay Language and Literature H3</x:v>
      </x:c>
      <x:c r="E355" s="70" t="str">
        <x:v>Singapore Examinations and Assessment Board (SEAB)</x:v>
      </x:c>
      <x:c r="F355" s="70" t="str">
        <x:v>Singapore-Cambridge GCE A-Level</x:v>
      </x:c>
      <x:c r="G355" s="70" t="str">
        <x:v>新加坡</x:v>
      </x:c>
      <x:c r="H355" s="70" t="str">
        <x:v>整门课程</x:v>
      </x:c>
      <x:c r="I355" s="70" t="str">
        <x:v>按学科大纲；未展开考核明细</x:v>
      </x:c>
      <x:c r="J355" s="72" t="str">
        <x:v>9921</x:v>
      </x:c>
      <x:c r="K355" s="70" t="str">
        <x:v>2026学校考生；2027启用须对照V3-SG27</x:v>
      </x:c>
      <x:c r="L355" s="73" t="n">
        <x:v>3540</x:v>
      </x:c>
      <x:c r="M355" s="70" t="str">
        <x:v>以SEAB学校考生清单为准；H1/H2/H3不是Cambridge International AS/A Level，不共享大纲或报考代码。 目录层条目；未预填并不代表没有考试/实践/校评。</x:v>
      </x:c>
      <x:c r="N355" s="70" t="str">
        <x:v>V3-SG26</x:v>
      </x:c>
    </x:row>
    <x:row r="356" ht="64" customHeight="1">
      <x:c r="A356" s="71" t="str">
        <x:v>C355</x:v>
      </x:c>
      <x:c r="B356" s="70" t="str">
        <x:v>S025</x:v>
      </x:c>
      <x:c r="C356" s="70" t="str">
        <x:v>Singapore A-Level Tamil Language and Literature H3</x:v>
      </x:c>
      <x:c r="D356" s="70" t="str">
        <x:v>Singapore A-Level Tamil Language and Literature H3</x:v>
      </x:c>
      <x:c r="E356" s="70" t="str">
        <x:v>Singapore Examinations and Assessment Board (SEAB)</x:v>
      </x:c>
      <x:c r="F356" s="70" t="str">
        <x:v>Singapore-Cambridge GCE A-Level</x:v>
      </x:c>
      <x:c r="G356" s="70" t="str">
        <x:v>新加坡</x:v>
      </x:c>
      <x:c r="H356" s="70" t="str">
        <x:v>整门课程</x:v>
      </x:c>
      <x:c r="I356" s="70" t="str">
        <x:v>按学科大纲；未展开考核明细</x:v>
      </x:c>
      <x:c r="J356" s="72" t="str">
        <x:v>9941</x:v>
      </x:c>
      <x:c r="K356" s="70" t="str">
        <x:v>2026学校考生；2027启用须对照V3-SG27</x:v>
      </x:c>
      <x:c r="L356" s="73" t="n">
        <x:v>3550</x:v>
      </x:c>
      <x:c r="M356" s="70" t="str">
        <x:v>以SEAB学校考生清单为准；H1/H2/H3不是Cambridge International AS/A Level，不共享大纲或报考代码。 目录层条目；未预填并不代表没有考试/实践/校评。</x:v>
      </x:c>
      <x:c r="N356" s="70" t="str">
        <x:v>V3-SG26</x:v>
      </x:c>
    </x:row>
    <x:row r="357" ht="64" customHeight="1">
      <x:c r="A357" s="71" t="str">
        <x:v>C356</x:v>
      </x:c>
      <x:c r="B357" s="70" t="str">
        <x:v>S020</x:v>
      </x:c>
      <x:c r="C357" s="70" t="str">
        <x:v>Singapore A-Level Chinese B Other local</x:v>
      </x:c>
      <x:c r="D357" s="70" t="str">
        <x:v>Singapore A-Level Chinese B Other local</x:v>
      </x:c>
      <x:c r="E357" s="70" t="str">
        <x:v>Singapore Examinations and Assessment Board (SEAB)</x:v>
      </x:c>
      <x:c r="F357" s="70" t="str">
        <x:v>Singapore-Cambridge GCE A-Level</x:v>
      </x:c>
      <x:c r="G357" s="70" t="str">
        <x:v>新加坡</x:v>
      </x:c>
      <x:c r="H357" s="70" t="str">
        <x:v>整门课程</x:v>
      </x:c>
      <x:c r="I357" s="70" t="str">
        <x:v>按学科大纲；未展开考核明细</x:v>
      </x:c>
      <x:c r="J357" s="72" t="str">
        <x:v>8611</x:v>
      </x:c>
      <x:c r="K357" s="70" t="str">
        <x:v>2026学校考生；2027启用须对照V3-SG27</x:v>
      </x:c>
      <x:c r="L357" s="73" t="n">
        <x:v>3560</x:v>
      </x:c>
      <x:c r="M357" s="70" t="str">
        <x:v>以SEAB学校考生清单为准；H1/H2/H3不是Cambridge International AS/A Level，不共享大纲或报考代码。 目录层条目；未预填并不代表没有考试/实践/校评。</x:v>
      </x:c>
      <x:c r="N357" s="70" t="str">
        <x:v>V3-SG26</x:v>
      </x:c>
    </x:row>
    <x:row r="358" ht="64" customHeight="1">
      <x:c r="A358" s="71" t="str">
        <x:v>C357</x:v>
      </x:c>
      <x:c r="B358" s="70" t="str">
        <x:v>S025</x:v>
      </x:c>
      <x:c r="C358" s="70" t="str">
        <x:v>Singapore A-Level Malay B Other local</x:v>
      </x:c>
      <x:c r="D358" s="70" t="str">
        <x:v>Singapore A-Level Malay B Other local</x:v>
      </x:c>
      <x:c r="E358" s="70" t="str">
        <x:v>Singapore Examinations and Assessment Board (SEAB)</x:v>
      </x:c>
      <x:c r="F358" s="70" t="str">
        <x:v>Singapore-Cambridge GCE A-Level</x:v>
      </x:c>
      <x:c r="G358" s="70" t="str">
        <x:v>新加坡</x:v>
      </x:c>
      <x:c r="H358" s="70" t="str">
        <x:v>整门课程</x:v>
      </x:c>
      <x:c r="I358" s="70" t="str">
        <x:v>按学科大纲；未展开考核明细</x:v>
      </x:c>
      <x:c r="J358" s="72" t="str">
        <x:v>8613</x:v>
      </x:c>
      <x:c r="K358" s="70" t="str">
        <x:v>2026学校考生；2027启用须对照V3-SG27</x:v>
      </x:c>
      <x:c r="L358" s="73" t="n">
        <x:v>3570</x:v>
      </x:c>
      <x:c r="M358" s="70" t="str">
        <x:v>以SEAB学校考生清单为准；H1/H2/H3不是Cambridge International AS/A Level，不共享大纲或报考代码。 目录层条目；未预填并不代表没有考试/实践/校评。</x:v>
      </x:c>
      <x:c r="N358" s="70" t="str">
        <x:v>V3-SG26</x:v>
      </x:c>
    </x:row>
    <x:row r="359" ht="64" customHeight="1">
      <x:c r="A359" s="71" t="str">
        <x:v>C358</x:v>
      </x:c>
      <x:c r="B359" s="70" t="str">
        <x:v>S025</x:v>
      </x:c>
      <x:c r="C359" s="70" t="str">
        <x:v>Singapore A-Level Tamil B Other local</x:v>
      </x:c>
      <x:c r="D359" s="70" t="str">
        <x:v>Singapore A-Level Tamil B Other local</x:v>
      </x:c>
      <x:c r="E359" s="70" t="str">
        <x:v>Singapore Examinations and Assessment Board (SEAB)</x:v>
      </x:c>
      <x:c r="F359" s="70" t="str">
        <x:v>Singapore-Cambridge GCE A-Level</x:v>
      </x:c>
      <x:c r="G359" s="70" t="str">
        <x:v>新加坡</x:v>
      </x:c>
      <x:c r="H359" s="70" t="str">
        <x:v>整门课程</x:v>
      </x:c>
      <x:c r="I359" s="70" t="str">
        <x:v>按学科大纲；未展开考核明细</x:v>
      </x:c>
      <x:c r="J359" s="72" t="str">
        <x:v>8614</x:v>
      </x:c>
      <x:c r="K359" s="70" t="str">
        <x:v>2026学校考生；2027启用须对照V3-SG27</x:v>
      </x:c>
      <x:c r="L359" s="73" t="n">
        <x:v>3580</x:v>
      </x:c>
      <x:c r="M359" s="70" t="str">
        <x:v>以SEAB学校考生清单为准；H1/H2/H3不是Cambridge International AS/A Level，不共享大纲或报考代码。 目录层条目；未预填并不代表没有考试/实践/校评。</x:v>
      </x:c>
      <x:c r="N359" s="70" t="str">
        <x:v>V3-SG26</x:v>
      </x:c>
    </x:row>
    <x:row r="360" ht="64" customHeight="1">
      <x:c r="A360" s="71" t="str">
        <x:v>C359</x:v>
      </x:c>
      <x:c r="B360" s="70" t="str">
        <x:v>S036</x:v>
      </x:c>
      <x:c r="C360" s="70" t="str">
        <x:v>Singapore A-Level Project Work Other local</x:v>
      </x:c>
      <x:c r="D360" s="70" t="str">
        <x:v>Singapore A-Level Project Work Other local</x:v>
      </x:c>
      <x:c r="E360" s="70" t="str">
        <x:v>Singapore Examinations and Assessment Board (SEAB)</x:v>
      </x:c>
      <x:c r="F360" s="70" t="str">
        <x:v>Singapore-Cambridge GCE A-Level</x:v>
      </x:c>
      <x:c r="G360" s="70" t="str">
        <x:v>新加坡</x:v>
      </x:c>
      <x:c r="H360" s="70" t="str">
        <x:v>整门课程</x:v>
      </x:c>
      <x:c r="I360" s="70" t="str">
        <x:v>按学科大纲；未展开考核明细</x:v>
      </x:c>
      <x:c r="J360" s="72" t="str">
        <x:v>8882</x:v>
      </x:c>
      <x:c r="K360" s="70" t="str">
        <x:v>2026学校考生；2027启用须对照V3-SG27</x:v>
      </x:c>
      <x:c r="L360" s="73" t="n">
        <x:v>3590</x:v>
      </x:c>
      <x:c r="M360" s="70" t="str">
        <x:v>以SEAB学校考生清单为准；H1/H2/H3不是Cambridge International AS/A Level，不共享大纲或报考代码。 目录层条目；未预填并不代表没有考试/实践/校评。</x:v>
      </x:c>
      <x:c r="N360" s="70" t="str">
        <x:v>V3-SG26</x:v>
      </x:c>
    </x:row>
    <x:row r="361" ht="64" customHeight="1">
      <x:c r="A361" s="71" t="str">
        <x:v>C360</x:v>
      </x:c>
      <x:c r="B361" s="70" t="str">
        <x:v>S020</x:v>
      </x:c>
      <x:c r="C361" s="70" t="str">
        <x:v>HKDSE 中国语文 Category A</x:v>
      </x:c>
      <x:c r="D361" s="70" t="str">
        <x:v>HKDSE Chinese Language Category A</x:v>
      </x:c>
      <x:c r="E361" s="70" t="str">
        <x:v>Hong Kong Examinations and Assessment Authority (HKEAA)</x:v>
      </x:c>
      <x:c r="F361" s="70" t="str">
        <x:v>HKDSE Category A</x:v>
      </x:c>
      <x:c r="G361" s="70" t="str">
        <x:v>香港</x:v>
      </x:c>
      <x:c r="H361" s="70" t="str">
        <x:v>整门课程</x:v>
      </x:c>
      <x:c r="I361" s="70" t="str">
        <x:v>按学科大纲；未展开考核明细</x:v>
      </x:c>
      <x:c r="J361" s="72"/>
      <x:c r="K361" s="70" t="str">
        <x:v>2026目录核对；2024后框架</x:v>
      </x:c>
      <x:c r="L361" s="73" t="n">
        <x:v>3600</x:v>
      </x:c>
      <x:c r="M361" s="70" t="str">
        <x:v>科目目录层；具体选项、SBA、试卷及报考限制未逐科录入。 目录层条目；未预填并不代表没有考试/实践/校评。</x:v>
      </x:c>
      <x:c r="N361" s="70" t="str">
        <x:v>V3-HK-A-INDEX</x:v>
      </x:c>
    </x:row>
    <x:row r="362" ht="64" customHeight="1">
      <x:c r="A362" s="71" t="str">
        <x:v>C361</x:v>
      </x:c>
      <x:c r="B362" s="70" t="str">
        <x:v>S010</x:v>
      </x:c>
      <x:c r="C362" s="70" t="str">
        <x:v>HKDSE 英国语文 Category A</x:v>
      </x:c>
      <x:c r="D362" s="70" t="str">
        <x:v>HKDSE English Language Category A</x:v>
      </x:c>
      <x:c r="E362" s="70" t="str">
        <x:v>Hong Kong Examinations and Assessment Authority (HKEAA)</x:v>
      </x:c>
      <x:c r="F362" s="70" t="str">
        <x:v>HKDSE Category A</x:v>
      </x:c>
      <x:c r="G362" s="70" t="str">
        <x:v>香港</x:v>
      </x:c>
      <x:c r="H362" s="70" t="str">
        <x:v>整门课程</x:v>
      </x:c>
      <x:c r="I362" s="70" t="str">
        <x:v>按学科大纲；未展开考核明细</x:v>
      </x:c>
      <x:c r="J362" s="72"/>
      <x:c r="K362" s="70" t="str">
        <x:v>2026目录核对；2024后框架</x:v>
      </x:c>
      <x:c r="L362" s="73" t="n">
        <x:v>3610</x:v>
      </x:c>
      <x:c r="M362" s="70" t="str">
        <x:v>科目目录层；具体选项、SBA、试卷及报考限制未逐科录入。 目录层条目；未预填并不代表没有考试/实践/校评。</x:v>
      </x:c>
      <x:c r="N362" s="70" t="str">
        <x:v>V3-HK-A-INDEX</x:v>
      </x:c>
    </x:row>
    <x:row r="363" ht="64" customHeight="1">
      <x:c r="A363" s="71" t="str">
        <x:v>C362</x:v>
      </x:c>
      <x:c r="B363" s="70" t="str">
        <x:v>S001</x:v>
      </x:c>
      <x:c r="C363" s="70" t="str">
        <x:v>HKDSE 数学 Category A</x:v>
      </x:c>
      <x:c r="D363" s="70" t="str">
        <x:v>HKDSE Mathematics Category A</x:v>
      </x:c>
      <x:c r="E363" s="70" t="str">
        <x:v>Hong Kong Examinations and Assessment Authority (HKEAA)</x:v>
      </x:c>
      <x:c r="F363" s="70" t="str">
        <x:v>HKDSE Category A</x:v>
      </x:c>
      <x:c r="G363" s="70" t="str">
        <x:v>香港</x:v>
      </x:c>
      <x:c r="H363" s="70" t="str">
        <x:v>分单元教学</x:v>
      </x:c>
      <x:c r="I363" s="70" t="str">
        <x:v>按学科大纲；未展开考核明细</x:v>
      </x:c>
      <x:c r="J363" s="72"/>
      <x:c r="K363" s="70" t="str">
        <x:v>2026目录核对；2024后框架</x:v>
      </x:c>
      <x:c r="L363" s="73" t="n">
        <x:v>3620</x:v>
      </x:c>
      <x:c r="M363" s="70" t="str">
        <x:v>科目目录层；具体选项、SBA、试卷及报考限制未逐科录入。 必修部分与延伸M1/M2见03/04；M1/M2不制造两门额外HKDSE学科。 目录层条目；未预填并不代表没有考试/实践/校评。</x:v>
      </x:c>
      <x:c r="N363" s="70" t="str">
        <x:v>V3-HK-A-INDEX</x:v>
      </x:c>
    </x:row>
    <x:row r="364" ht="64" customHeight="1">
      <x:c r="A364" s="71" t="str">
        <x:v>C363</x:v>
      </x:c>
      <x:c r="B364" s="70" t="str">
        <x:v>S029</x:v>
      </x:c>
      <x:c r="C364" s="70" t="str">
        <x:v>HKDSE 公民与社会发展 Category A</x:v>
      </x:c>
      <x:c r="D364" s="70" t="str">
        <x:v>HKDSE Citizenship and Social Development Category A</x:v>
      </x:c>
      <x:c r="E364" s="70" t="str">
        <x:v>Hong Kong Examinations and Assessment Authority (HKEAA)</x:v>
      </x:c>
      <x:c r="F364" s="70" t="str">
        <x:v>HKDSE Category A</x:v>
      </x:c>
      <x:c r="G364" s="70" t="str">
        <x:v>香港</x:v>
      </x:c>
      <x:c r="H364" s="70" t="str">
        <x:v>整门课程</x:v>
      </x:c>
      <x:c r="I364" s="70" t="str">
        <x:v>按学科大纲；未展开考核明细</x:v>
      </x:c>
      <x:c r="J364" s="72"/>
      <x:c r="K364" s="70" t="str">
        <x:v>2026目录核对；2024后框架</x:v>
      </x:c>
      <x:c r="L364" s="73" t="n">
        <x:v>3630</x:v>
      </x:c>
      <x:c r="M364" s="70" t="str">
        <x:v>科目目录层；具体选项、SBA、试卷及报考限制未逐科录入。 不沿用旧通识教育名称及等级结构；成绩规则独立配置。 目录层条目；未预填并不代表没有考试/实践/校评。</x:v>
      </x:c>
      <x:c r="N364" s="70" t="str">
        <x:v>V3-HK-A-INDEX</x:v>
      </x:c>
    </x:row>
    <x:row r="365" ht="64" customHeight="1">
      <x:c r="A365" s="71" t="str">
        <x:v>C364</x:v>
      </x:c>
      <x:c r="B365" s="70" t="str">
        <x:v>S020</x:v>
      </x:c>
      <x:c r="C365" s="70" t="str">
        <x:v>HKDSE 中国文学 Category A</x:v>
      </x:c>
      <x:c r="D365" s="70" t="str">
        <x:v>HKDSE Chinese Literature Category A</x:v>
      </x:c>
      <x:c r="E365" s="70" t="str">
        <x:v>Hong Kong Examinations and Assessment Authority (HKEAA)</x:v>
      </x:c>
      <x:c r="F365" s="70" t="str">
        <x:v>HKDSE Category A</x:v>
      </x:c>
      <x:c r="G365" s="70" t="str">
        <x:v>香港</x:v>
      </x:c>
      <x:c r="H365" s="70" t="str">
        <x:v>整门课程</x:v>
      </x:c>
      <x:c r="I365" s="70" t="str">
        <x:v>按学科大纲；未展开考核明细</x:v>
      </x:c>
      <x:c r="J365" s="72"/>
      <x:c r="K365" s="70" t="str">
        <x:v>2026目录核对；2024后框架</x:v>
      </x:c>
      <x:c r="L365" s="73" t="n">
        <x:v>3640</x:v>
      </x:c>
      <x:c r="M365" s="70" t="str">
        <x:v>科目目录层；具体选项、SBA、试卷及报考限制未逐科录入。 目录层条目；未预填并不代表没有考试/实践/校评。</x:v>
      </x:c>
      <x:c r="N365" s="70" t="str">
        <x:v>V3-HK-A-INDEX</x:v>
      </x:c>
    </x:row>
    <x:row r="366" ht="64" customHeight="1">
      <x:c r="A366" s="71" t="str">
        <x:v>C365</x:v>
      </x:c>
      <x:c r="B366" s="70" t="str">
        <x:v>S010</x:v>
      </x:c>
      <x:c r="C366" s="70" t="str">
        <x:v>HKDSE 英语文学 Category A</x:v>
      </x:c>
      <x:c r="D366" s="70" t="str">
        <x:v>HKDSE Literature in English Category A</x:v>
      </x:c>
      <x:c r="E366" s="70" t="str">
        <x:v>Hong Kong Examinations and Assessment Authority (HKEAA)</x:v>
      </x:c>
      <x:c r="F366" s="70" t="str">
        <x:v>HKDSE Category A</x:v>
      </x:c>
      <x:c r="G366" s="70" t="str">
        <x:v>香港</x:v>
      </x:c>
      <x:c r="H366" s="70" t="str">
        <x:v>整门课程</x:v>
      </x:c>
      <x:c r="I366" s="70" t="str">
        <x:v>按学科大纲；未展开考核明细</x:v>
      </x:c>
      <x:c r="J366" s="72"/>
      <x:c r="K366" s="70" t="str">
        <x:v>2026目录核对；2024后框架</x:v>
      </x:c>
      <x:c r="L366" s="73" t="n">
        <x:v>3650</x:v>
      </x:c>
      <x:c r="M366" s="70" t="str">
        <x:v>科目目录层；具体选项、SBA、试卷及报考限制未逐科录入。 目录层条目；未预填并不代表没有考试/实践/校评。</x:v>
      </x:c>
      <x:c r="N366" s="70" t="str">
        <x:v>V3-HK-A-INDEX</x:v>
      </x:c>
    </x:row>
    <x:row r="367" ht="64" customHeight="1">
      <x:c r="A367" s="71" t="str">
        <x:v>C366</x:v>
      </x:c>
      <x:c r="B367" s="70" t="str">
        <x:v>S011</x:v>
      </x:c>
      <x:c r="C367" s="70" t="str">
        <x:v>HKDSE 中国历史 Category A</x:v>
      </x:c>
      <x:c r="D367" s="70" t="str">
        <x:v>HKDSE Chinese History Category A</x:v>
      </x:c>
      <x:c r="E367" s="70" t="str">
        <x:v>Hong Kong Examinations and Assessment Authority (HKEAA)</x:v>
      </x:c>
      <x:c r="F367" s="70" t="str">
        <x:v>HKDSE Category A</x:v>
      </x:c>
      <x:c r="G367" s="70" t="str">
        <x:v>香港</x:v>
      </x:c>
      <x:c r="H367" s="70" t="str">
        <x:v>整门课程</x:v>
      </x:c>
      <x:c r="I367" s="70" t="str">
        <x:v>按学科大纲；未展开考核明细</x:v>
      </x:c>
      <x:c r="J367" s="72"/>
      <x:c r="K367" s="70" t="str">
        <x:v>2026目录核对；2024后框架</x:v>
      </x:c>
      <x:c r="L367" s="73" t="n">
        <x:v>3660</x:v>
      </x:c>
      <x:c r="M367" s="70" t="str">
        <x:v>科目目录层；具体选项、SBA、试卷及报考限制未逐科录入。 目录层条目；未预填并不代表没有考试/实践/校评。</x:v>
      </x:c>
      <x:c r="N367" s="70" t="str">
        <x:v>V3-HK-A-INDEX</x:v>
      </x:c>
    </x:row>
    <x:row r="368" ht="64" customHeight="1">
      <x:c r="A368" s="71" t="str">
        <x:v>C367</x:v>
      </x:c>
      <x:c r="B368" s="70" t="str">
        <x:v>S007</x:v>
      </x:c>
      <x:c r="C368" s="70" t="str">
        <x:v>HKDSE 经济 Category A</x:v>
      </x:c>
      <x:c r="D368" s="70" t="str">
        <x:v>HKDSE Economics Category A</x:v>
      </x:c>
      <x:c r="E368" s="70" t="str">
        <x:v>Hong Kong Examinations and Assessment Authority (HKEAA)</x:v>
      </x:c>
      <x:c r="F368" s="70" t="str">
        <x:v>HKDSE Category A</x:v>
      </x:c>
      <x:c r="G368" s="70" t="str">
        <x:v>香港</x:v>
      </x:c>
      <x:c r="H368" s="70" t="str">
        <x:v>整门课程</x:v>
      </x:c>
      <x:c r="I368" s="70" t="str">
        <x:v>按学科大纲；未展开考核明细</x:v>
      </x:c>
      <x:c r="J368" s="72"/>
      <x:c r="K368" s="70" t="str">
        <x:v>2026目录核对；2024后框架</x:v>
      </x:c>
      <x:c r="L368" s="73" t="n">
        <x:v>3670</x:v>
      </x:c>
      <x:c r="M368" s="70" t="str">
        <x:v>科目目录层；具体选项、SBA、试卷及报考限制未逐科录入。 目录层条目；未预填并不代表没有考试/实践/校评。</x:v>
      </x:c>
      <x:c r="N368" s="70" t="str">
        <x:v>V3-HK-A-INDEX</x:v>
      </x:c>
    </x:row>
    <x:row r="369" ht="64" customHeight="1">
      <x:c r="A369" s="71" t="str">
        <x:v>C368</x:v>
      </x:c>
      <x:c r="B369" s="70" t="str">
        <x:v>S012</x:v>
      </x:c>
      <x:c r="C369" s="70" t="str">
        <x:v>HKDSE 地理 Category A</x:v>
      </x:c>
      <x:c r="D369" s="70" t="str">
        <x:v>HKDSE Geography Category A</x:v>
      </x:c>
      <x:c r="E369" s="70" t="str">
        <x:v>Hong Kong Examinations and Assessment Authority (HKEAA)</x:v>
      </x:c>
      <x:c r="F369" s="70" t="str">
        <x:v>HKDSE Category A</x:v>
      </x:c>
      <x:c r="G369" s="70" t="str">
        <x:v>香港</x:v>
      </x:c>
      <x:c r="H369" s="70" t="str">
        <x:v>整门课程</x:v>
      </x:c>
      <x:c r="I369" s="70" t="str">
        <x:v>按学科大纲；未展开考核明细</x:v>
      </x:c>
      <x:c r="J369" s="72"/>
      <x:c r="K369" s="70" t="str">
        <x:v>2026目录核对；2024后框架</x:v>
      </x:c>
      <x:c r="L369" s="73" t="n">
        <x:v>3680</x:v>
      </x:c>
      <x:c r="M369" s="70" t="str">
        <x:v>科目目录层；具体选项、SBA、试卷及报考限制未逐科录入。 目录层条目；未预填并不代表没有考试/实践/校评。</x:v>
      </x:c>
      <x:c r="N369" s="70" t="str">
        <x:v>V3-HK-A-INDEX</x:v>
      </x:c>
    </x:row>
    <x:row r="370" ht="64" customHeight="1">
      <x:c r="A370" s="71" t="str">
        <x:v>C369</x:v>
      </x:c>
      <x:c r="B370" s="70" t="str">
        <x:v>S011</x:v>
      </x:c>
      <x:c r="C370" s="70" t="str">
        <x:v>HKDSE 历史 Category A</x:v>
      </x:c>
      <x:c r="D370" s="70" t="str">
        <x:v>HKDSE History Category A</x:v>
      </x:c>
      <x:c r="E370" s="70" t="str">
        <x:v>Hong Kong Examinations and Assessment Authority (HKEAA)</x:v>
      </x:c>
      <x:c r="F370" s="70" t="str">
        <x:v>HKDSE Category A</x:v>
      </x:c>
      <x:c r="G370" s="70" t="str">
        <x:v>香港</x:v>
      </x:c>
      <x:c r="H370" s="70" t="str">
        <x:v>整门课程</x:v>
      </x:c>
      <x:c r="I370" s="70" t="str">
        <x:v>按学科大纲；未展开考核明细</x:v>
      </x:c>
      <x:c r="J370" s="72"/>
      <x:c r="K370" s="70" t="str">
        <x:v>2026目录核对；2024后框架</x:v>
      </x:c>
      <x:c r="L370" s="73" t="n">
        <x:v>3690</x:v>
      </x:c>
      <x:c r="M370" s="70" t="str">
        <x:v>科目目录层；具体选项、SBA、试卷及报考限制未逐科录入。 目录层条目；未预填并不代表没有考试/实践/校评。</x:v>
      </x:c>
      <x:c r="N370" s="70" t="str">
        <x:v>V3-HK-A-INDEX</x:v>
      </x:c>
    </x:row>
    <x:row r="371" ht="64" customHeight="1">
      <x:c r="A371" s="71" t="str">
        <x:v>C370</x:v>
      </x:c>
      <x:c r="B371" s="70" t="str">
        <x:v>S004</x:v>
      </x:c>
      <x:c r="C371" s="70" t="str">
        <x:v>HKDSE 生物 Category A</x:v>
      </x:c>
      <x:c r="D371" s="70" t="str">
        <x:v>HKDSE Biology Category A</x:v>
      </x:c>
      <x:c r="E371" s="70" t="str">
        <x:v>Hong Kong Examinations and Assessment Authority (HKEAA)</x:v>
      </x:c>
      <x:c r="F371" s="70" t="str">
        <x:v>HKDSE Category A</x:v>
      </x:c>
      <x:c r="G371" s="70" t="str">
        <x:v>香港</x:v>
      </x:c>
      <x:c r="H371" s="70" t="str">
        <x:v>整门课程</x:v>
      </x:c>
      <x:c r="I371" s="70" t="str">
        <x:v>按学科大纲；未展开考核明细</x:v>
      </x:c>
      <x:c r="J371" s="72"/>
      <x:c r="K371" s="70" t="str">
        <x:v>2026目录核对；2024后框架</x:v>
      </x:c>
      <x:c r="L371" s="73" t="n">
        <x:v>3700</x:v>
      </x:c>
      <x:c r="M371" s="70" t="str">
        <x:v>科目目录层；具体选项、SBA、试卷及报考限制未逐科录入。 目录层条目；未预填并不代表没有考试/实践/校评。</x:v>
      </x:c>
      <x:c r="N371" s="70" t="str">
        <x:v>V3-HK-A-INDEX</x:v>
      </x:c>
    </x:row>
    <x:row r="372" ht="64" customHeight="1">
      <x:c r="A372" s="71" t="str">
        <x:v>C371</x:v>
      </x:c>
      <x:c r="B372" s="70" t="str">
        <x:v>S003</x:v>
      </x:c>
      <x:c r="C372" s="70" t="str">
        <x:v>HKDSE 化学 Category A</x:v>
      </x:c>
      <x:c r="D372" s="70" t="str">
        <x:v>HKDSE Chemistry Category A</x:v>
      </x:c>
      <x:c r="E372" s="70" t="str">
        <x:v>Hong Kong Examinations and Assessment Authority (HKEAA)</x:v>
      </x:c>
      <x:c r="F372" s="70" t="str">
        <x:v>HKDSE Category A</x:v>
      </x:c>
      <x:c r="G372" s="70" t="str">
        <x:v>香港</x:v>
      </x:c>
      <x:c r="H372" s="70" t="str">
        <x:v>整门课程</x:v>
      </x:c>
      <x:c r="I372" s="70" t="str">
        <x:v>按学科大纲；未展开考核明细</x:v>
      </x:c>
      <x:c r="J372" s="72"/>
      <x:c r="K372" s="70" t="str">
        <x:v>2026目录核对；2024后框架</x:v>
      </x:c>
      <x:c r="L372" s="73" t="n">
        <x:v>3710</x:v>
      </x:c>
      <x:c r="M372" s="70" t="str">
        <x:v>科目目录层；具体选项、SBA、试卷及报考限制未逐科录入。 目录层条目；未预填并不代表没有考试/实践/校评。</x:v>
      </x:c>
      <x:c r="N372" s="70" t="str">
        <x:v>V3-HK-A-INDEX</x:v>
      </x:c>
    </x:row>
    <x:row r="373" ht="64" customHeight="1">
      <x:c r="A373" s="71" t="str">
        <x:v>C372</x:v>
      </x:c>
      <x:c r="B373" s="70" t="str">
        <x:v>S002</x:v>
      </x:c>
      <x:c r="C373" s="70" t="str">
        <x:v>HKDSE 物理 Category A</x:v>
      </x:c>
      <x:c r="D373" s="70" t="str">
        <x:v>HKDSE Physics Category A</x:v>
      </x:c>
      <x:c r="E373" s="70" t="str">
        <x:v>Hong Kong Examinations and Assessment Authority (HKEAA)</x:v>
      </x:c>
      <x:c r="F373" s="70" t="str">
        <x:v>HKDSE Category A</x:v>
      </x:c>
      <x:c r="G373" s="70" t="str">
        <x:v>香港</x:v>
      </x:c>
      <x:c r="H373" s="70" t="str">
        <x:v>整门课程</x:v>
      </x:c>
      <x:c r="I373" s="70" t="str">
        <x:v>按学科大纲；未展开考核明细</x:v>
      </x:c>
      <x:c r="J373" s="72"/>
      <x:c r="K373" s="70" t="str">
        <x:v>2026目录核对；2024后框架</x:v>
      </x:c>
      <x:c r="L373" s="73" t="n">
        <x:v>3720</x:v>
      </x:c>
      <x:c r="M373" s="70" t="str">
        <x:v>科目目录层；具体选项、SBA、试卷及报考限制未逐科录入。 目录层条目；未预填并不代表没有考试/实践/校评。</x:v>
      </x:c>
      <x:c r="N373" s="70" t="str">
        <x:v>V3-HK-A-INDEX</x:v>
      </x:c>
    </x:row>
    <x:row r="374" ht="64" customHeight="1">
      <x:c r="A374" s="71" t="str">
        <x:v>C373</x:v>
      </x:c>
      <x:c r="B374" s="70" t="str">
        <x:v>S035</x:v>
      </x:c>
      <x:c r="C374" s="70" t="str">
        <x:v>HKDSE 旅游与款待 Category A</x:v>
      </x:c>
      <x:c r="D374" s="70" t="str">
        <x:v>HKDSE Tourism and Hospitality Studies Category A</x:v>
      </x:c>
      <x:c r="E374" s="70" t="str">
        <x:v>Hong Kong Examinations and Assessment Authority (HKEAA)</x:v>
      </x:c>
      <x:c r="F374" s="70" t="str">
        <x:v>HKDSE Category A</x:v>
      </x:c>
      <x:c r="G374" s="70" t="str">
        <x:v>香港</x:v>
      </x:c>
      <x:c r="H374" s="70" t="str">
        <x:v>整门课程</x:v>
      </x:c>
      <x:c r="I374" s="70" t="str">
        <x:v>按学科大纲；未展开考核明细</x:v>
      </x:c>
      <x:c r="J374" s="72"/>
      <x:c r="K374" s="70" t="str">
        <x:v>2026目录核对；2024后框架</x:v>
      </x:c>
      <x:c r="L374" s="73" t="n">
        <x:v>3730</x:v>
      </x:c>
      <x:c r="M374" s="70" t="str">
        <x:v>科目目录层；具体选项、SBA、试卷及报考限制未逐科录入。 目录层条目；未预填并不代表没有考试/实践/校评。</x:v>
      </x:c>
      <x:c r="N374" s="70" t="str">
        <x:v>V3-HK-A-INDEX</x:v>
      </x:c>
    </x:row>
    <x:row r="375" ht="64" customHeight="1">
      <x:c r="A375" s="71" t="str">
        <x:v>C374</x:v>
      </x:c>
      <x:c r="B375" s="70" t="str">
        <x:v>S008</x:v>
      </x:c>
      <x:c r="C375" s="70" t="str">
        <x:v>HKDSE 企业、会计与财务概论 Category A</x:v>
      </x:c>
      <x:c r="D375" s="70" t="str">
        <x:v>HKDSE Business, Accounting and Financial Studies Category A</x:v>
      </x:c>
      <x:c r="E375" s="70" t="str">
        <x:v>Hong Kong Examinations and Assessment Authority (HKEAA)</x:v>
      </x:c>
      <x:c r="F375" s="70" t="str">
        <x:v>HKDSE Category A</x:v>
      </x:c>
      <x:c r="G375" s="70" t="str">
        <x:v>香港</x:v>
      </x:c>
      <x:c r="H375" s="70" t="str">
        <x:v>整门课程</x:v>
      </x:c>
      <x:c r="I375" s="70" t="str">
        <x:v>按学科大纲；未展开考核明细</x:v>
      </x:c>
      <x:c r="J375" s="72"/>
      <x:c r="K375" s="70" t="str">
        <x:v>2026目录核对；2024后框架</x:v>
      </x:c>
      <x:c r="L375" s="73" t="n">
        <x:v>3740</x:v>
      </x:c>
      <x:c r="M375" s="70" t="str">
        <x:v>科目目录层；具体选项、SBA、试卷及报考限制未逐科录入。 目录层条目；未预填并不代表没有考试/实践/校评。</x:v>
      </x:c>
      <x:c r="N375" s="70" t="str">
        <x:v>V3-HK-A-INDEX</x:v>
      </x:c>
    </x:row>
    <x:row r="376" ht="64" customHeight="1">
      <x:c r="A376" s="71" t="str">
        <x:v>C375</x:v>
      </x:c>
      <x:c r="B376" s="70" t="str">
        <x:v>S033</x:v>
      </x:c>
      <x:c r="C376" s="70" t="str">
        <x:v>HKDSE 设计与应用科技 Category A</x:v>
      </x:c>
      <x:c r="D376" s="70" t="str">
        <x:v>HKDSE Design and Applied Technology Category A</x:v>
      </x:c>
      <x:c r="E376" s="70" t="str">
        <x:v>Hong Kong Examinations and Assessment Authority (HKEAA)</x:v>
      </x:c>
      <x:c r="F376" s="70" t="str">
        <x:v>HKDSE Category A</x:v>
      </x:c>
      <x:c r="G376" s="70" t="str">
        <x:v>香港</x:v>
      </x:c>
      <x:c r="H376" s="70" t="str">
        <x:v>整门课程</x:v>
      </x:c>
      <x:c r="I376" s="70" t="str">
        <x:v>按学科大纲；未展开考核明细</x:v>
      </x:c>
      <x:c r="J376" s="72"/>
      <x:c r="K376" s="70" t="str">
        <x:v>2026目录核对；2024后框架</x:v>
      </x:c>
      <x:c r="L376" s="73" t="n">
        <x:v>3750</x:v>
      </x:c>
      <x:c r="M376" s="70" t="str">
        <x:v>科目目录层；具体选项、SBA、试卷及报考限制未逐科录入。 目录层条目；未预填并不代表没有考试/实践/校评。</x:v>
      </x:c>
      <x:c r="N376" s="70" t="str">
        <x:v>V3-HK-A-INDEX</x:v>
      </x:c>
    </x:row>
    <x:row r="377" ht="64" customHeight="1">
      <x:c r="A377" s="71" t="str">
        <x:v>C376</x:v>
      </x:c>
      <x:c r="B377" s="70" t="str">
        <x:v>S032</x:v>
      </x:c>
      <x:c r="C377" s="70" t="str">
        <x:v>HKDSE 健康管理与社会关怀 Category A</x:v>
      </x:c>
      <x:c r="D377" s="70" t="str">
        <x:v>HKDSE Health Management and Social Care Category A</x:v>
      </x:c>
      <x:c r="E377" s="70" t="str">
        <x:v>Hong Kong Examinations and Assessment Authority (HKEAA)</x:v>
      </x:c>
      <x:c r="F377" s="70" t="str">
        <x:v>HKDSE Category A</x:v>
      </x:c>
      <x:c r="G377" s="70" t="str">
        <x:v>香港</x:v>
      </x:c>
      <x:c r="H377" s="70" t="str">
        <x:v>整门课程</x:v>
      </x:c>
      <x:c r="I377" s="70" t="str">
        <x:v>按学科大纲；未展开考核明细</x:v>
      </x:c>
      <x:c r="J377" s="72"/>
      <x:c r="K377" s="70" t="str">
        <x:v>2026目录核对；2024后框架</x:v>
      </x:c>
      <x:c r="L377" s="73" t="n">
        <x:v>3760</x:v>
      </x:c>
      <x:c r="M377" s="70" t="str">
        <x:v>科目目录层；具体选项、SBA、试卷及报考限制未逐科录入。 目录层条目；未预填并不代表没有考试/实践/校评。</x:v>
      </x:c>
      <x:c r="N377" s="70" t="str">
        <x:v>V3-HK-A-INDEX</x:v>
      </x:c>
    </x:row>
    <x:row r="378" ht="64" customHeight="1">
      <x:c r="A378" s="71" t="str">
        <x:v>C377</x:v>
      </x:c>
      <x:c r="B378" s="70" t="str">
        <x:v>S039</x:v>
      </x:c>
      <x:c r="C378" s="70" t="str">
        <x:v>HKDSE 科技与生活 Category A</x:v>
      </x:c>
      <x:c r="D378" s="70" t="str">
        <x:v>HKDSE Technology and Living Category A</x:v>
      </x:c>
      <x:c r="E378" s="70" t="str">
        <x:v>Hong Kong Examinations and Assessment Authority (HKEAA)</x:v>
      </x:c>
      <x:c r="F378" s="70" t="str">
        <x:v>HKDSE Category A</x:v>
      </x:c>
      <x:c r="G378" s="70" t="str">
        <x:v>香港</x:v>
      </x:c>
      <x:c r="H378" s="70" t="str">
        <x:v>整门课程</x:v>
      </x:c>
      <x:c r="I378" s="70" t="str">
        <x:v>按学科大纲；未展开考核明细</x:v>
      </x:c>
      <x:c r="J378" s="72"/>
      <x:c r="K378" s="70" t="str">
        <x:v>2026目录核对；2024后框架</x:v>
      </x:c>
      <x:c r="L378" s="73" t="n">
        <x:v>3770</x:v>
      </x:c>
      <x:c r="M378" s="70" t="str">
        <x:v>科目目录层；具体选项、SBA、试卷及报考限制未逐科录入。 目录层条目；未预填并不代表没有考试/实践/校评。</x:v>
      </x:c>
      <x:c r="N378" s="70" t="str">
        <x:v>V3-HK-A-INDEX</x:v>
      </x:c>
    </x:row>
    <x:row r="379" ht="64" customHeight="1">
      <x:c r="A379" s="71" t="str">
        <x:v>C378</x:v>
      </x:c>
      <x:c r="B379" s="70" t="str">
        <x:v>S006</x:v>
      </x:c>
      <x:c r="C379" s="70" t="str">
        <x:v>HKDSE 资讯及通讯科技 Category A</x:v>
      </x:c>
      <x:c r="D379" s="70" t="str">
        <x:v>HKDSE Information and Communication Technology Category A</x:v>
      </x:c>
      <x:c r="E379" s="70" t="str">
        <x:v>Hong Kong Examinations and Assessment Authority (HKEAA)</x:v>
      </x:c>
      <x:c r="F379" s="70" t="str">
        <x:v>HKDSE Category A</x:v>
      </x:c>
      <x:c r="G379" s="70" t="str">
        <x:v>香港</x:v>
      </x:c>
      <x:c r="H379" s="70" t="str">
        <x:v>整门课程</x:v>
      </x:c>
      <x:c r="I379" s="70" t="str">
        <x:v>按学科大纲；未展开考核明细</x:v>
      </x:c>
      <x:c r="J379" s="72"/>
      <x:c r="K379" s="70" t="str">
        <x:v>2026目录核对；2024后框架</x:v>
      </x:c>
      <x:c r="L379" s="73" t="n">
        <x:v>3780</x:v>
      </x:c>
      <x:c r="M379" s="70" t="str">
        <x:v>科目目录层；具体选项、SBA、试卷及报考限制未逐科录入。 目录层条目；未预填并不代表没有考试/实践/校评。</x:v>
      </x:c>
      <x:c r="N379" s="70" t="str">
        <x:v>V3-HK-A-INDEX</x:v>
      </x:c>
    </x:row>
    <x:row r="380" ht="64" customHeight="1">
      <x:c r="A380" s="71" t="str">
        <x:v>C379</x:v>
      </x:c>
      <x:c r="B380" s="70" t="str">
        <x:v>S030</x:v>
      </x:c>
      <x:c r="C380" s="70" t="str">
        <x:v>HKDSE 伦理与宗教 Category A</x:v>
      </x:c>
      <x:c r="D380" s="70" t="str">
        <x:v>HKDSE Ethics and Religious Studies Category A</x:v>
      </x:c>
      <x:c r="E380" s="70" t="str">
        <x:v>Hong Kong Examinations and Assessment Authority (HKEAA)</x:v>
      </x:c>
      <x:c r="F380" s="70" t="str">
        <x:v>HKDSE Category A</x:v>
      </x:c>
      <x:c r="G380" s="70" t="str">
        <x:v>香港</x:v>
      </x:c>
      <x:c r="H380" s="70" t="str">
        <x:v>整门课程</x:v>
      </x:c>
      <x:c r="I380" s="70" t="str">
        <x:v>按学科大纲；未展开考核明细</x:v>
      </x:c>
      <x:c r="J380" s="72"/>
      <x:c r="K380" s="70" t="str">
        <x:v>2026目录核对；2024后框架</x:v>
      </x:c>
      <x:c r="L380" s="73" t="n">
        <x:v>3790</x:v>
      </x:c>
      <x:c r="M380" s="70" t="str">
        <x:v>科目目录层；具体选项、SBA、试卷及报考限制未逐科录入。 目录层条目；未预填并不代表没有考试/实践/校评。</x:v>
      </x:c>
      <x:c r="N380" s="70" t="str">
        <x:v>V3-HK-A-INDEX</x:v>
      </x:c>
    </x:row>
    <x:row r="381" ht="64" customHeight="1">
      <x:c r="A381" s="71" t="str">
        <x:v>C380</x:v>
      </x:c>
      <x:c r="B381" s="70" t="str">
        <x:v>S027</x:v>
      </x:c>
      <x:c r="C381" s="70" t="str">
        <x:v>HKDSE 音乐 Category A</x:v>
      </x:c>
      <x:c r="D381" s="70" t="str">
        <x:v>HKDSE Music Category A</x:v>
      </x:c>
      <x:c r="E381" s="70" t="str">
        <x:v>Hong Kong Examinations and Assessment Authority (HKEAA)</x:v>
      </x:c>
      <x:c r="F381" s="70" t="str">
        <x:v>HKDSE Category A</x:v>
      </x:c>
      <x:c r="G381" s="70" t="str">
        <x:v>香港</x:v>
      </x:c>
      <x:c r="H381" s="70" t="str">
        <x:v>整门课程</x:v>
      </x:c>
      <x:c r="I381" s="70" t="str">
        <x:v>按学科大纲；未展开考核明细</x:v>
      </x:c>
      <x:c r="J381" s="72"/>
      <x:c r="K381" s="70" t="str">
        <x:v>2026目录核对；2024后框架</x:v>
      </x:c>
      <x:c r="L381" s="73" t="n">
        <x:v>3800</x:v>
      </x:c>
      <x:c r="M381" s="70" t="str">
        <x:v>科目目录层；具体选项、SBA、试卷及报考限制未逐科录入。 目录层条目；未预填并不代表没有考试/实践/校评。</x:v>
      </x:c>
      <x:c r="N381" s="70" t="str">
        <x:v>V3-HK-A-INDEX</x:v>
      </x:c>
    </x:row>
    <x:row r="382" ht="64" customHeight="1">
      <x:c r="A382" s="71" t="str">
        <x:v>C381</x:v>
      </x:c>
      <x:c r="B382" s="70" t="str">
        <x:v>S026</x:v>
      </x:c>
      <x:c r="C382" s="70" t="str">
        <x:v>HKDSE 视觉艺术 Category A</x:v>
      </x:c>
      <x:c r="D382" s="70" t="str">
        <x:v>HKDSE Visual Arts Category A</x:v>
      </x:c>
      <x:c r="E382" s="70" t="str">
        <x:v>Hong Kong Examinations and Assessment Authority (HKEAA)</x:v>
      </x:c>
      <x:c r="F382" s="70" t="str">
        <x:v>HKDSE Category A</x:v>
      </x:c>
      <x:c r="G382" s="70" t="str">
        <x:v>香港</x:v>
      </x:c>
      <x:c r="H382" s="70" t="str">
        <x:v>整门课程</x:v>
      </x:c>
      <x:c r="I382" s="70" t="str">
        <x:v>按学科大纲；未展开考核明细</x:v>
      </x:c>
      <x:c r="J382" s="72"/>
      <x:c r="K382" s="70" t="str">
        <x:v>2026目录核对；2024后框架</x:v>
      </x:c>
      <x:c r="L382" s="73" t="n">
        <x:v>3810</x:v>
      </x:c>
      <x:c r="M382" s="70" t="str">
        <x:v>科目目录层；具体选项、SBA、试卷及报考限制未逐科录入。 目录层条目；未预填并不代表没有考试/实践/校评。</x:v>
      </x:c>
      <x:c r="N382" s="70" t="str">
        <x:v>V3-HK-A-INDEX</x:v>
      </x:c>
    </x:row>
    <x:row r="383" ht="64" customHeight="1">
      <x:c r="A383" s="71" t="str">
        <x:v>C382</x:v>
      </x:c>
      <x:c r="B383" s="70" t="str">
        <x:v>S032</x:v>
      </x:c>
      <x:c r="C383" s="70" t="str">
        <x:v>HKDSE 体育 Category A</x:v>
      </x:c>
      <x:c r="D383" s="70" t="str">
        <x:v>HKDSE Physical Education Category A</x:v>
      </x:c>
      <x:c r="E383" s="70" t="str">
        <x:v>Hong Kong Examinations and Assessment Authority (HKEAA)</x:v>
      </x:c>
      <x:c r="F383" s="70" t="str">
        <x:v>HKDSE Category A</x:v>
      </x:c>
      <x:c r="G383" s="70" t="str">
        <x:v>香港</x:v>
      </x:c>
      <x:c r="H383" s="70" t="str">
        <x:v>整门课程</x:v>
      </x:c>
      <x:c r="I383" s="70" t="str">
        <x:v>按学科大纲；未展开考核明细</x:v>
      </x:c>
      <x:c r="J383" s="72"/>
      <x:c r="K383" s="70" t="str">
        <x:v>2026目录核对；2024后框架</x:v>
      </x:c>
      <x:c r="L383" s="73" t="n">
        <x:v>3820</x:v>
      </x:c>
      <x:c r="M383" s="70" t="str">
        <x:v>科目目录层；具体选项、SBA、试卷及报考限制未逐科录入。 目录层条目；未预填并不代表没有考试/实践/校评。</x:v>
      </x:c>
      <x:c r="N383" s="70" t="str">
        <x:v>V3-HK-A-INDEX</x:v>
      </x:c>
    </x:row>
    <x:row r="384" ht="64" customHeight="1">
      <x:c r="A384" s="71" t="str">
        <x:v>C383</x:v>
      </x:c>
      <x:c r="B384" s="70" t="str">
        <x:v>S016</x:v>
      </x:c>
      <x:c r="C384" s="70" t="str">
        <x:v>HKDSE Category C French Category C</x:v>
      </x:c>
      <x:c r="D384" s="70" t="str">
        <x:v>HKDSE Category C French Category C</x:v>
      </x:c>
      <x:c r="E384" s="70" t="str">
        <x:v>HKEAA／指定语言考试机构</x:v>
      </x:c>
      <x:c r="F384" s="70" t="str">
        <x:v>HKDSE Category C</x:v>
      </x:c>
      <x:c r="G384" s="70" t="str">
        <x:v>香港</x:v>
      </x:c>
      <x:c r="H384" s="70" t="str">
        <x:v>整门课程</x:v>
      </x:c>
      <x:c r="I384" s="70" t="str">
        <x:v>指定外部语言考试成绩报告</x:v>
      </x:c>
      <x:c r="J384" s="72"/>
      <x:c r="K384" s="70" t="str">
        <x:v>2025起新安排；Urdu自2026</x:v>
      </x:c>
      <x:c r="L384" s="73" t="n">
        <x:v>3830</x:v>
      </x:c>
      <x:c r="M384" s="70" t="str">
        <x:v>采用指定外部语言考试结果；不是继续统一采用Cambridge AS考卷。官方考试名称、等级与有效窗口在实际登记时确认。 目录层条目；未预填并不代表没有考试/实践/校评。</x:v>
      </x:c>
      <x:c r="N384" s="70" t="str">
        <x:v>V3-HK-C</x:v>
      </x:c>
    </x:row>
    <x:row r="385" ht="64" customHeight="1">
      <x:c r="A385" s="71" t="str">
        <x:v>C384</x:v>
      </x:c>
      <x:c r="B385" s="70" t="str">
        <x:v>S017</x:v>
      </x:c>
      <x:c r="C385" s="70" t="str">
        <x:v>HKDSE Category C German Category C</x:v>
      </x:c>
      <x:c r="D385" s="70" t="str">
        <x:v>HKDSE Category C German Category C</x:v>
      </x:c>
      <x:c r="E385" s="70" t="str">
        <x:v>HKEAA／指定语言考试机构</x:v>
      </x:c>
      <x:c r="F385" s="70" t="str">
        <x:v>HKDSE Category C</x:v>
      </x:c>
      <x:c r="G385" s="70" t="str">
        <x:v>香港</x:v>
      </x:c>
      <x:c r="H385" s="70" t="str">
        <x:v>整门课程</x:v>
      </x:c>
      <x:c r="I385" s="70" t="str">
        <x:v>指定外部语言考试成绩报告</x:v>
      </x:c>
      <x:c r="J385" s="72"/>
      <x:c r="K385" s="70" t="str">
        <x:v>2025起新安排；Urdu自2026</x:v>
      </x:c>
      <x:c r="L385" s="73" t="n">
        <x:v>3840</x:v>
      </x:c>
      <x:c r="M385" s="70" t="str">
        <x:v>采用指定外部语言考试结果；不是继续统一采用Cambridge AS考卷。官方考试名称、等级与有效窗口在实际登记时确认。 目录层条目；未预填并不代表没有考试/实践/校评。</x:v>
      </x:c>
      <x:c r="N385" s="70" t="str">
        <x:v>V3-HK-C</x:v>
      </x:c>
    </x:row>
    <x:row r="386" ht="64" customHeight="1">
      <x:c r="A386" s="71" t="str">
        <x:v>C385</x:v>
      </x:c>
      <x:c r="B386" s="70" t="str">
        <x:v>S021</x:v>
      </x:c>
      <x:c r="C386" s="70" t="str">
        <x:v>HKDSE Category C Japanese Category C</x:v>
      </x:c>
      <x:c r="D386" s="70" t="str">
        <x:v>HKDSE Category C Japanese Category C</x:v>
      </x:c>
      <x:c r="E386" s="70" t="str">
        <x:v>HKEAA／指定语言考试机构</x:v>
      </x:c>
      <x:c r="F386" s="70" t="str">
        <x:v>HKDSE Category C</x:v>
      </x:c>
      <x:c r="G386" s="70" t="str">
        <x:v>香港</x:v>
      </x:c>
      <x:c r="H386" s="70" t="str">
        <x:v>整门课程</x:v>
      </x:c>
      <x:c r="I386" s="70" t="str">
        <x:v>指定外部语言考试成绩报告</x:v>
      </x:c>
      <x:c r="J386" s="72"/>
      <x:c r="K386" s="70" t="str">
        <x:v>2025起新安排；Urdu自2026</x:v>
      </x:c>
      <x:c r="L386" s="73" t="n">
        <x:v>3850</x:v>
      </x:c>
      <x:c r="M386" s="70" t="str">
        <x:v>采用指定外部语言考试结果；不是继续统一采用Cambridge AS考卷。官方考试名称、等级与有效窗口在实际登记时确认。 目录层条目；未预填并不代表没有考试/实践/校评。</x:v>
      </x:c>
      <x:c r="N386" s="70" t="str">
        <x:v>V3-HK-C</x:v>
      </x:c>
    </x:row>
    <x:row r="387" ht="64" customHeight="1">
      <x:c r="A387" s="71" t="str">
        <x:v>C386</x:v>
      </x:c>
      <x:c r="B387" s="70" t="str">
        <x:v>S022</x:v>
      </x:c>
      <x:c r="C387" s="70" t="str">
        <x:v>HKDSE Category C Korean Category C</x:v>
      </x:c>
      <x:c r="D387" s="70" t="str">
        <x:v>HKDSE Category C Korean Category C</x:v>
      </x:c>
      <x:c r="E387" s="70" t="str">
        <x:v>HKEAA／指定语言考试机构</x:v>
      </x:c>
      <x:c r="F387" s="70" t="str">
        <x:v>HKDSE Category C</x:v>
      </x:c>
      <x:c r="G387" s="70" t="str">
        <x:v>香港</x:v>
      </x:c>
      <x:c r="H387" s="70" t="str">
        <x:v>整门课程</x:v>
      </x:c>
      <x:c r="I387" s="70" t="str">
        <x:v>指定外部语言考试成绩报告</x:v>
      </x:c>
      <x:c r="J387" s="72"/>
      <x:c r="K387" s="70" t="str">
        <x:v>2025起新安排；Urdu自2026</x:v>
      </x:c>
      <x:c r="L387" s="73" t="n">
        <x:v>3860</x:v>
      </x:c>
      <x:c r="M387" s="70" t="str">
        <x:v>采用指定外部语言考试结果；不是继续统一采用Cambridge AS考卷。官方考试名称、等级与有效窗口在实际登记时确认。 目录层条目；未预填并不代表没有考试/实践/校评。</x:v>
      </x:c>
      <x:c r="N387" s="70" t="str">
        <x:v>V3-HK-C</x:v>
      </x:c>
    </x:row>
    <x:row r="388" ht="64" customHeight="1">
      <x:c r="A388" s="71" t="str">
        <x:v>C387</x:v>
      </x:c>
      <x:c r="B388" s="70" t="str">
        <x:v>S018</x:v>
      </x:c>
      <x:c r="C388" s="70" t="str">
        <x:v>HKDSE Category C Spanish Category C</x:v>
      </x:c>
      <x:c r="D388" s="70" t="str">
        <x:v>HKDSE Category C Spanish Category C</x:v>
      </x:c>
      <x:c r="E388" s="70" t="str">
        <x:v>HKEAA／指定语言考试机构</x:v>
      </x:c>
      <x:c r="F388" s="70" t="str">
        <x:v>HKDSE Category C</x:v>
      </x:c>
      <x:c r="G388" s="70" t="str">
        <x:v>香港</x:v>
      </x:c>
      <x:c r="H388" s="70" t="str">
        <x:v>整门课程</x:v>
      </x:c>
      <x:c r="I388" s="70" t="str">
        <x:v>指定外部语言考试成绩报告</x:v>
      </x:c>
      <x:c r="J388" s="72"/>
      <x:c r="K388" s="70" t="str">
        <x:v>2025起新安排；Urdu自2026</x:v>
      </x:c>
      <x:c r="L388" s="73" t="n">
        <x:v>3870</x:v>
      </x:c>
      <x:c r="M388" s="70" t="str">
        <x:v>采用指定外部语言考试结果；不是继续统一采用Cambridge AS考卷。官方考试名称、等级与有效窗口在实际登记时确认。 目录层条目；未预填并不代表没有考试/实践/校评。</x:v>
      </x:c>
      <x:c r="N388" s="70" t="str">
        <x:v>V3-HK-C</x:v>
      </x:c>
    </x:row>
    <x:row r="389" ht="64" customHeight="1">
      <x:c r="A389" s="71" t="str">
        <x:v>C388</x:v>
      </x:c>
      <x:c r="B389" s="70" t="str">
        <x:v>S025</x:v>
      </x:c>
      <x:c r="C389" s="70" t="str">
        <x:v>HKDSE Category C Urdu Category C</x:v>
      </x:c>
      <x:c r="D389" s="70" t="str">
        <x:v>HKDSE Category C Urdu Category C</x:v>
      </x:c>
      <x:c r="E389" s="70" t="str">
        <x:v>HKEAA／指定语言考试机构</x:v>
      </x:c>
      <x:c r="F389" s="70" t="str">
        <x:v>HKDSE Category C</x:v>
      </x:c>
      <x:c r="G389" s="70" t="str">
        <x:v>香港</x:v>
      </x:c>
      <x:c r="H389" s="70" t="str">
        <x:v>整门课程</x:v>
      </x:c>
      <x:c r="I389" s="70" t="str">
        <x:v>指定外部语言考试成绩报告</x:v>
      </x:c>
      <x:c r="J389" s="72"/>
      <x:c r="K389" s="70" t="str">
        <x:v>2025起新安排；Urdu自2026</x:v>
      </x:c>
      <x:c r="L389" s="73" t="n">
        <x:v>3880</x:v>
      </x:c>
      <x:c r="M389" s="70" t="str">
        <x:v>采用指定外部语言考试结果；不是继续统一采用Cambridge AS考卷。官方考试名称、等级与有效窗口在实际登记时确认。 目录层条目；未预填并不代表没有考试/实践/校评。</x:v>
      </x:c>
      <x:c r="N389" s="70" t="str">
        <x:v>V3-HK-C-2026</x:v>
      </x:c>
    </x:row>
    <x:row r="390" ht="64" customHeight="1">
      <x:c r="A390" s="71" t="str">
        <x:v>C389</x:v>
      </x:c>
      <x:c r="B390" s="70" t="str">
        <x:v>S004</x:v>
      </x:c>
      <x:c r="C390" s="70" t="str">
        <x:v>BC Anatomy and Physiology Grade 12</x:v>
      </x:c>
      <x:c r="D390" s="70" t="str">
        <x:v>BC Anatomy and Physiology Grade 12</x:v>
      </x:c>
      <x:c r="E390" s="70" t="str">
        <x:v>British Columbia Ministry of Education and Child Care</x:v>
      </x:c>
      <x:c r="F390" s="70" t="str">
        <x:v>BC Graduation Programme</x:v>
      </x:c>
      <x:c r="G390" s="70" t="str">
        <x:v>加拿大／不列颠哥伦比亚</x:v>
      </x:c>
      <x:c r="H390" s="70" t="str">
        <x:v>整门课程</x:v>
      </x:c>
      <x:c r="I390" s="70" t="str">
        <x:v>按学科大纲；未展开考核明细</x:v>
      </x:c>
      <x:c r="J390" s="72"/>
      <x:c r="K390" s="70" t="str">
        <x:v>2026-09-17目录快照；按开课/考试年份复核</x:v>
      </x:c>
      <x:c r="L390" s="73" t="n">
        <x:v>3890</x:v>
      </x:c>
      <x:c r="M390" s="70" t="str">
        <x:v>省课程目录；毕业学分与省级评估规则未在本表建模。 目录层条目；未预填并不代表没有考试/实践/校评。</x:v>
      </x:c>
      <x:c r="N390" s="70" t="str">
        <x:v>V3-BC-SC</x:v>
      </x:c>
    </x:row>
    <x:row r="391" ht="64" customHeight="1">
      <x:c r="A391" s="71" t="str">
        <x:v>C390</x:v>
      </x:c>
      <x:c r="B391" s="70" t="str">
        <x:v>S003</x:v>
      </x:c>
      <x:c r="C391" s="70" t="str">
        <x:v>BC Chemistry Grade 12</x:v>
      </x:c>
      <x:c r="D391" s="70" t="str">
        <x:v>BC Chemistry Grade 12</x:v>
      </x:c>
      <x:c r="E391" s="70" t="str">
        <x:v>British Columbia Ministry of Education and Child Care</x:v>
      </x:c>
      <x:c r="F391" s="70" t="str">
        <x:v>BC Graduation Programme</x:v>
      </x:c>
      <x:c r="G391" s="70" t="str">
        <x:v>加拿大／不列颠哥伦比亚</x:v>
      </x:c>
      <x:c r="H391" s="70" t="str">
        <x:v>整门课程</x:v>
      </x:c>
      <x:c r="I391" s="70" t="str">
        <x:v>按学科大纲；未展开考核明细</x:v>
      </x:c>
      <x:c r="J391" s="72"/>
      <x:c r="K391" s="70" t="str">
        <x:v>2026-09-17目录快照；按开课/考试年份复核</x:v>
      </x:c>
      <x:c r="L391" s="73" t="n">
        <x:v>3900</x:v>
      </x:c>
      <x:c r="M391" s="70" t="str">
        <x:v>省课程目录；毕业学分与省级评估规则未在本表建模。 目录层条目；未预填并不代表没有考试/实践/校评。</x:v>
      </x:c>
      <x:c r="N391" s="70" t="str">
        <x:v>V3-BC-SC</x:v>
      </x:c>
    </x:row>
    <x:row r="392" ht="64" customHeight="1">
      <x:c r="A392" s="71" t="str">
        <x:v>C391</x:v>
      </x:c>
      <x:c r="B392" s="70" t="str">
        <x:v>S031</x:v>
      </x:c>
      <x:c r="C392" s="70" t="str">
        <x:v>BC Environmental Science Grade 12</x:v>
      </x:c>
      <x:c r="D392" s="70" t="str">
        <x:v>BC Environmental Science Grade 12</x:v>
      </x:c>
      <x:c r="E392" s="70" t="str">
        <x:v>British Columbia Ministry of Education and Child Care</x:v>
      </x:c>
      <x:c r="F392" s="70" t="str">
        <x:v>BC Graduation Programme</x:v>
      </x:c>
      <x:c r="G392" s="70" t="str">
        <x:v>加拿大／不列颠哥伦比亚</x:v>
      </x:c>
      <x:c r="H392" s="70" t="str">
        <x:v>整门课程</x:v>
      </x:c>
      <x:c r="I392" s="70" t="str">
        <x:v>按学科大纲；未展开考核明细</x:v>
      </x:c>
      <x:c r="J392" s="72"/>
      <x:c r="K392" s="70" t="str">
        <x:v>2026-09-17目录快照；按开课/考试年份复核</x:v>
      </x:c>
      <x:c r="L392" s="73" t="n">
        <x:v>3910</x:v>
      </x:c>
      <x:c r="M392" s="70" t="str">
        <x:v>省课程目录；毕业学分与省级评估规则未在本表建模。 目录层条目；未预填并不代表没有考试/实践/校评。</x:v>
      </x:c>
      <x:c r="N392" s="70" t="str">
        <x:v>V3-BC-SC</x:v>
      </x:c>
    </x:row>
    <x:row r="393" ht="64" customHeight="1">
      <x:c r="A393" s="71" t="str">
        <x:v>C392</x:v>
      </x:c>
      <x:c r="B393" s="70" t="str">
        <x:v>S031</x:v>
      </x:c>
      <x:c r="C393" s="70" t="str">
        <x:v>BC Geology Grade 12</x:v>
      </x:c>
      <x:c r="D393" s="70" t="str">
        <x:v>BC Geology Grade 12</x:v>
      </x:c>
      <x:c r="E393" s="70" t="str">
        <x:v>British Columbia Ministry of Education and Child Care</x:v>
      </x:c>
      <x:c r="F393" s="70" t="str">
        <x:v>BC Graduation Programme</x:v>
      </x:c>
      <x:c r="G393" s="70" t="str">
        <x:v>加拿大／不列颠哥伦比亚</x:v>
      </x:c>
      <x:c r="H393" s="70" t="str">
        <x:v>整门课程</x:v>
      </x:c>
      <x:c r="I393" s="70" t="str">
        <x:v>按学科大纲；未展开考核明细</x:v>
      </x:c>
      <x:c r="J393" s="72"/>
      <x:c r="K393" s="70" t="str">
        <x:v>2026-09-17目录快照；按开课/考试年份复核</x:v>
      </x:c>
      <x:c r="L393" s="73" t="n">
        <x:v>3920</x:v>
      </x:c>
      <x:c r="M393" s="70" t="str">
        <x:v>省课程目录；毕业学分与省级评估规则未在本表建模。 目录层条目；未预填并不代表没有考试/实践/校评。</x:v>
      </x:c>
      <x:c r="N393" s="70" t="str">
        <x:v>V3-BC-SC</x:v>
      </x:c>
    </x:row>
    <x:row r="394" ht="64" customHeight="1">
      <x:c r="A394" s="71" t="str">
        <x:v>C393</x:v>
      </x:c>
      <x:c r="B394" s="70" t="str">
        <x:v>S002</x:v>
      </x:c>
      <x:c r="C394" s="70" t="str">
        <x:v>BC Physics Grade 12</x:v>
      </x:c>
      <x:c r="D394" s="70" t="str">
        <x:v>BC Physics Grade 12</x:v>
      </x:c>
      <x:c r="E394" s="70" t="str">
        <x:v>British Columbia Ministry of Education and Child Care</x:v>
      </x:c>
      <x:c r="F394" s="70" t="str">
        <x:v>BC Graduation Programme</x:v>
      </x:c>
      <x:c r="G394" s="70" t="str">
        <x:v>加拿大／不列颠哥伦比亚</x:v>
      </x:c>
      <x:c r="H394" s="70" t="str">
        <x:v>整门课程</x:v>
      </x:c>
      <x:c r="I394" s="70" t="str">
        <x:v>按学科大纲；未展开考核明细</x:v>
      </x:c>
      <x:c r="J394" s="72"/>
      <x:c r="K394" s="70" t="str">
        <x:v>2026-09-17目录快照；按开课/考试年份复核</x:v>
      </x:c>
      <x:c r="L394" s="73" t="n">
        <x:v>3930</x:v>
      </x:c>
      <x:c r="M394" s="70" t="str">
        <x:v>省课程目录；毕业学分与省级评估规则未在本表建模。 目录层条目；未预填并不代表没有考试/实践/校评。</x:v>
      </x:c>
      <x:c r="N394" s="70" t="str">
        <x:v>V3-BC-SC</x:v>
      </x:c>
    </x:row>
    <x:row r="395" ht="64" customHeight="1">
      <x:c r="A395" s="71" t="str">
        <x:v>C394</x:v>
      </x:c>
      <x:c r="B395" s="70" t="str">
        <x:v>S031</x:v>
      </x:c>
      <x:c r="C395" s="70" t="str">
        <x:v>BC Specialized Science Grade 12</x:v>
      </x:c>
      <x:c r="D395" s="70" t="str">
        <x:v>BC Specialized Science Grade 12</x:v>
      </x:c>
      <x:c r="E395" s="70" t="str">
        <x:v>British Columbia Ministry of Education and Child Care</x:v>
      </x:c>
      <x:c r="F395" s="70" t="str">
        <x:v>BC Graduation Programme</x:v>
      </x:c>
      <x:c r="G395" s="70" t="str">
        <x:v>加拿大／不列颠哥伦比亚</x:v>
      </x:c>
      <x:c r="H395" s="70" t="str">
        <x:v>整门课程</x:v>
      </x:c>
      <x:c r="I395" s="70" t="str">
        <x:v>按学科大纲；未展开考核明细</x:v>
      </x:c>
      <x:c r="J395" s="72"/>
      <x:c r="K395" s="70" t="str">
        <x:v>2026-09-17目录快照；按开课/考试年份复核</x:v>
      </x:c>
      <x:c r="L395" s="73" t="n">
        <x:v>3940</x:v>
      </x:c>
      <x:c r="M395" s="70" t="str">
        <x:v>省课程目录；毕业学分与省级评估规则未在本表建模。 目录层条目；未预填并不代表没有考试/实践/校评。</x:v>
      </x:c>
      <x:c r="N395" s="70" t="str">
        <x:v>V3-BC-SC</x:v>
      </x:c>
    </x:row>
    <x:row r="396" ht="64" customHeight="1">
      <x:c r="A396" s="71" t="str">
        <x:v>C395</x:v>
      </x:c>
      <x:c r="B396" s="70" t="str">
        <x:v>S001</x:v>
      </x:c>
      <x:c r="C396" s="70" t="str">
        <x:v>BC Apprenticeship Mathematics Grade 12</x:v>
      </x:c>
      <x:c r="D396" s="70" t="str">
        <x:v>BC Apprenticeship Mathematics Grade 12</x:v>
      </x:c>
      <x:c r="E396" s="70" t="str">
        <x:v>British Columbia Ministry of Education and Child Care</x:v>
      </x:c>
      <x:c r="F396" s="70" t="str">
        <x:v>BC Graduation Programme</x:v>
      </x:c>
      <x:c r="G396" s="70" t="str">
        <x:v>加拿大／不列颠哥伦比亚</x:v>
      </x:c>
      <x:c r="H396" s="70" t="str">
        <x:v>整门课程</x:v>
      </x:c>
      <x:c r="I396" s="70" t="str">
        <x:v>按学科大纲；未展开考核明细</x:v>
      </x:c>
      <x:c r="J396" s="72"/>
      <x:c r="K396" s="70" t="str">
        <x:v>2026-09-17目录快照；按开课/考试年份复核</x:v>
      </x:c>
      <x:c r="L396" s="73" t="n">
        <x:v>3950</x:v>
      </x:c>
      <x:c r="M396" s="70" t="str">
        <x:v>目录层条目；未预填并不代表没有考试/实践/校评。</x:v>
      </x:c>
      <x:c r="N396" s="70" t="str">
        <x:v>V3-BC-MA</x:v>
      </x:c>
    </x:row>
    <x:row r="397" ht="64" customHeight="1">
      <x:c r="A397" s="71" t="str">
        <x:v>C396</x:v>
      </x:c>
      <x:c r="B397" s="70" t="str">
        <x:v>S001</x:v>
      </x:c>
      <x:c r="C397" s="70" t="str">
        <x:v>BC Calculus Grade 12</x:v>
      </x:c>
      <x:c r="D397" s="70" t="str">
        <x:v>BC Calculus Grade 12</x:v>
      </x:c>
      <x:c r="E397" s="70" t="str">
        <x:v>British Columbia Ministry of Education and Child Care</x:v>
      </x:c>
      <x:c r="F397" s="70" t="str">
        <x:v>BC Graduation Programme</x:v>
      </x:c>
      <x:c r="G397" s="70" t="str">
        <x:v>加拿大／不列颠哥伦比亚</x:v>
      </x:c>
      <x:c r="H397" s="70" t="str">
        <x:v>整门课程</x:v>
      </x:c>
      <x:c r="I397" s="70" t="str">
        <x:v>按学科大纲；未展开考核明细</x:v>
      </x:c>
      <x:c r="J397" s="72"/>
      <x:c r="K397" s="70" t="str">
        <x:v>2026-09-17目录快照；按开课/考试年份复核</x:v>
      </x:c>
      <x:c r="L397" s="73" t="n">
        <x:v>3960</x:v>
      </x:c>
      <x:c r="M397" s="70" t="str">
        <x:v>目录层条目；未预填并不代表没有考试/实践/校评。</x:v>
      </x:c>
      <x:c r="N397" s="70" t="str">
        <x:v>V3-BC-MA</x:v>
      </x:c>
    </x:row>
    <x:row r="398" ht="64" customHeight="1">
      <x:c r="A398" s="71" t="str">
        <x:v>C397</x:v>
      </x:c>
      <x:c r="B398" s="70" t="str">
        <x:v>S001</x:v>
      </x:c>
      <x:c r="C398" s="70" t="str">
        <x:v>BC Foundations of Mathematics Grade 12</x:v>
      </x:c>
      <x:c r="D398" s="70" t="str">
        <x:v>BC Foundations of Mathematics Grade 12</x:v>
      </x:c>
      <x:c r="E398" s="70" t="str">
        <x:v>British Columbia Ministry of Education and Child Care</x:v>
      </x:c>
      <x:c r="F398" s="70" t="str">
        <x:v>BC Graduation Programme</x:v>
      </x:c>
      <x:c r="G398" s="70" t="str">
        <x:v>加拿大／不列颠哥伦比亚</x:v>
      </x:c>
      <x:c r="H398" s="70" t="str">
        <x:v>整门课程</x:v>
      </x:c>
      <x:c r="I398" s="70" t="str">
        <x:v>按学科大纲；未展开考核明细</x:v>
      </x:c>
      <x:c r="J398" s="72"/>
      <x:c r="K398" s="70" t="str">
        <x:v>2026-09-17目录快照；按开课/考试年份复核</x:v>
      </x:c>
      <x:c r="L398" s="73" t="n">
        <x:v>3970</x:v>
      </x:c>
      <x:c r="M398" s="70" t="str">
        <x:v>目录层条目；未预填并不代表没有考试/实践/校评。</x:v>
      </x:c>
      <x:c r="N398" s="70" t="str">
        <x:v>V3-BC-MA</x:v>
      </x:c>
    </x:row>
    <x:row r="399" ht="64" customHeight="1">
      <x:c r="A399" s="71" t="str">
        <x:v>C398</x:v>
      </x:c>
      <x:c r="B399" s="70" t="str">
        <x:v>S001</x:v>
      </x:c>
      <x:c r="C399" s="70" t="str">
        <x:v>BC Geometry Grade 12</x:v>
      </x:c>
      <x:c r="D399" s="70" t="str">
        <x:v>BC Geometry Grade 12</x:v>
      </x:c>
      <x:c r="E399" s="70" t="str">
        <x:v>British Columbia Ministry of Education and Child Care</x:v>
      </x:c>
      <x:c r="F399" s="70" t="str">
        <x:v>BC Graduation Programme</x:v>
      </x:c>
      <x:c r="G399" s="70" t="str">
        <x:v>加拿大／不列颠哥伦比亚</x:v>
      </x:c>
      <x:c r="H399" s="70" t="str">
        <x:v>整门课程</x:v>
      </x:c>
      <x:c r="I399" s="70" t="str">
        <x:v>按学科大纲；未展开考核明细</x:v>
      </x:c>
      <x:c r="J399" s="72"/>
      <x:c r="K399" s="70" t="str">
        <x:v>2026-09-17目录快照；按开课/考试年份复核</x:v>
      </x:c>
      <x:c r="L399" s="73" t="n">
        <x:v>3980</x:v>
      </x:c>
      <x:c r="M399" s="70" t="str">
        <x:v>目录层条目；未预填并不代表没有考试/实践/校评。</x:v>
      </x:c>
      <x:c r="N399" s="70" t="str">
        <x:v>V3-BC-MA</x:v>
      </x:c>
    </x:row>
    <x:row r="400" ht="64" customHeight="1">
      <x:c r="A400" s="71" t="str">
        <x:v>C399</x:v>
      </x:c>
      <x:c r="B400" s="70" t="str">
        <x:v>S001</x:v>
      </x:c>
      <x:c r="C400" s="70" t="str">
        <x:v>BC Pre-calculus Grade 12</x:v>
      </x:c>
      <x:c r="D400" s="70" t="str">
        <x:v>BC Pre-calculus Grade 12</x:v>
      </x:c>
      <x:c r="E400" s="70" t="str">
        <x:v>British Columbia Ministry of Education and Child Care</x:v>
      </x:c>
      <x:c r="F400" s="70" t="str">
        <x:v>BC Graduation Programme</x:v>
      </x:c>
      <x:c r="G400" s="70" t="str">
        <x:v>加拿大／不列颠哥伦比亚</x:v>
      </x:c>
      <x:c r="H400" s="70" t="str">
        <x:v>整门课程</x:v>
      </x:c>
      <x:c r="I400" s="70" t="str">
        <x:v>按学科大纲；未展开考核明细</x:v>
      </x:c>
      <x:c r="J400" s="72"/>
      <x:c r="K400" s="70" t="str">
        <x:v>2026-09-17目录快照；按开课/考试年份复核</x:v>
      </x:c>
      <x:c r="L400" s="73" t="n">
        <x:v>3990</x:v>
      </x:c>
      <x:c r="M400" s="70" t="str">
        <x:v>目录层条目；未预填并不代表没有考试/实践/校评。</x:v>
      </x:c>
      <x:c r="N400" s="70" t="str">
        <x:v>V3-BC-MA</x:v>
      </x:c>
    </x:row>
    <x:row r="401" ht="64" customHeight="1">
      <x:c r="A401" s="71" t="str">
        <x:v>C400</x:v>
      </x:c>
      <x:c r="B401" s="70" t="str">
        <x:v>S001</x:v>
      </x:c>
      <x:c r="C401" s="70" t="str">
        <x:v>BC Statistics Grade 12</x:v>
      </x:c>
      <x:c r="D401" s="70" t="str">
        <x:v>BC Statistics Grade 12</x:v>
      </x:c>
      <x:c r="E401" s="70" t="str">
        <x:v>British Columbia Ministry of Education and Child Care</x:v>
      </x:c>
      <x:c r="F401" s="70" t="str">
        <x:v>BC Graduation Programme</x:v>
      </x:c>
      <x:c r="G401" s="70" t="str">
        <x:v>加拿大／不列颠哥伦比亚</x:v>
      </x:c>
      <x:c r="H401" s="70" t="str">
        <x:v>整门课程</x:v>
      </x:c>
      <x:c r="I401" s="70" t="str">
        <x:v>按学科大纲；未展开考核明细</x:v>
      </x:c>
      <x:c r="J401" s="72"/>
      <x:c r="K401" s="70" t="str">
        <x:v>2026-09-17目录快照；按开课/考试年份复核</x:v>
      </x:c>
      <x:c r="L401" s="73" t="n">
        <x:v>4000</x:v>
      </x:c>
      <x:c r="M401" s="70" t="str">
        <x:v>目录层条目；未预填并不代表没有考试/实践/校评。</x:v>
      </x:c>
      <x:c r="N401" s="70" t="str">
        <x:v>V3-BC-MA</x:v>
      </x:c>
    </x:row>
    <x:row r="402" ht="64" customHeight="1">
      <x:c r="A402" s="71" t="str">
        <x:v>C401</x:v>
      </x:c>
      <x:c r="B402" s="70" t="str">
        <x:v>S005</x:v>
      </x:c>
      <x:c r="C402" s="70" t="str">
        <x:v>BC Computer Science Grade 12</x:v>
      </x:c>
      <x:c r="D402" s="70" t="str">
        <x:v>BC Computer Science Grade 12</x:v>
      </x:c>
      <x:c r="E402" s="70" t="str">
        <x:v>British Columbia Ministry of Education and Child Care</x:v>
      </x:c>
      <x:c r="F402" s="70" t="str">
        <x:v>BC Graduation Programme</x:v>
      </x:c>
      <x:c r="G402" s="70" t="str">
        <x:v>加拿大／不列颠哥伦比亚</x:v>
      </x:c>
      <x:c r="H402" s="70" t="str">
        <x:v>整门课程</x:v>
      </x:c>
      <x:c r="I402" s="70" t="str">
        <x:v>按学科大纲；未展开考核明细</x:v>
      </x:c>
      <x:c r="J402" s="72"/>
      <x:c r="K402" s="70" t="str">
        <x:v>2026-09-17目录快照；按开课/考试年份复核</x:v>
      </x:c>
      <x:c r="L402" s="73" t="n">
        <x:v>4010</x:v>
      </x:c>
      <x:c r="M402" s="70" t="str">
        <x:v>目录层条目；未预填并不代表没有考试/实践/校评。</x:v>
      </x:c>
      <x:c r="N402" s="70" t="str">
        <x:v>V3-BC-MA</x:v>
      </x:c>
    </x:row>
    <x:row r="403" ht="64" customHeight="1">
      <x:c r="A403" s="71" t="str">
        <x:v>C402</x:v>
      </x:c>
      <x:c r="B403" s="70" t="str">
        <x:v>S010</x:v>
      </x:c>
      <x:c r="C403" s="70" t="str">
        <x:v>BC Composition Grade 12</x:v>
      </x:c>
      <x:c r="D403" s="70" t="str">
        <x:v>BC Composition Grade 12</x:v>
      </x:c>
      <x:c r="E403" s="70" t="str">
        <x:v>British Columbia Ministry of Education and Child Care</x:v>
      </x:c>
      <x:c r="F403" s="70" t="str">
        <x:v>BC Graduation Programme</x:v>
      </x:c>
      <x:c r="G403" s="70" t="str">
        <x:v>加拿大／不列颠哥伦比亚</x:v>
      </x:c>
      <x:c r="H403" s="70" t="str">
        <x:v>整门课程</x:v>
      </x:c>
      <x:c r="I403" s="70" t="str">
        <x:v>按学科大纲；未展开考核明细</x:v>
      </x:c>
      <x:c r="J403" s="72"/>
      <x:c r="K403" s="70" t="str">
        <x:v>2026-09-17目录快照；按开课/考试年份复核</x:v>
      </x:c>
      <x:c r="L403" s="73" t="n">
        <x:v>4020</x:v>
      </x:c>
      <x:c r="M403" s="70" t="str">
        <x:v>不同英语选修/必修路径不得因同为英语而视为可自动替代。 目录层条目；未预填并不代表没有考试/实践/校评。</x:v>
      </x:c>
      <x:c r="N403" s="70" t="str">
        <x:v>V3-BC-EN</x:v>
      </x:c>
    </x:row>
    <x:row r="404" ht="64" customHeight="1">
      <x:c r="A404" s="71" t="str">
        <x:v>C403</x:v>
      </x:c>
      <x:c r="B404" s="70" t="str">
        <x:v>S010</x:v>
      </x:c>
      <x:c r="C404" s="70" t="str">
        <x:v>BC Creative Writing Grade 12</x:v>
      </x:c>
      <x:c r="D404" s="70" t="str">
        <x:v>BC Creative Writing Grade 12</x:v>
      </x:c>
      <x:c r="E404" s="70" t="str">
        <x:v>British Columbia Ministry of Education and Child Care</x:v>
      </x:c>
      <x:c r="F404" s="70" t="str">
        <x:v>BC Graduation Programme</x:v>
      </x:c>
      <x:c r="G404" s="70" t="str">
        <x:v>加拿大／不列颠哥伦比亚</x:v>
      </x:c>
      <x:c r="H404" s="70" t="str">
        <x:v>整门课程</x:v>
      </x:c>
      <x:c r="I404" s="70" t="str">
        <x:v>按学科大纲；未展开考核明细</x:v>
      </x:c>
      <x:c r="J404" s="72"/>
      <x:c r="K404" s="70" t="str">
        <x:v>2026-09-17目录快照；按开课/考试年份复核</x:v>
      </x:c>
      <x:c r="L404" s="73" t="n">
        <x:v>4030</x:v>
      </x:c>
      <x:c r="M404" s="70" t="str">
        <x:v>不同英语选修/必修路径不得因同为英语而视为可自动替代。 目录层条目；未预填并不代表没有考试/实践/校评。</x:v>
      </x:c>
      <x:c r="N404" s="70" t="str">
        <x:v>V3-BC-EN</x:v>
      </x:c>
    </x:row>
    <x:row r="405" ht="64" customHeight="1">
      <x:c r="A405" s="71" t="str">
        <x:v>C404</x:v>
      </x:c>
      <x:c r="B405" s="70" t="str">
        <x:v>S010</x:v>
      </x:c>
      <x:c r="C405" s="70" t="str">
        <x:v>BC English Studies Grade 12</x:v>
      </x:c>
      <x:c r="D405" s="70" t="str">
        <x:v>BC English Studies Grade 12</x:v>
      </x:c>
      <x:c r="E405" s="70" t="str">
        <x:v>British Columbia Ministry of Education and Child Care</x:v>
      </x:c>
      <x:c r="F405" s="70" t="str">
        <x:v>BC Graduation Programme</x:v>
      </x:c>
      <x:c r="G405" s="70" t="str">
        <x:v>加拿大／不列颠哥伦比亚</x:v>
      </x:c>
      <x:c r="H405" s="70" t="str">
        <x:v>整门课程</x:v>
      </x:c>
      <x:c r="I405" s="70" t="str">
        <x:v>按学科大纲；未展开考核明细</x:v>
      </x:c>
      <x:c r="J405" s="72"/>
      <x:c r="K405" s="70" t="str">
        <x:v>2026-09-17目录快照；按开课/考试年份复核</x:v>
      </x:c>
      <x:c r="L405" s="73" t="n">
        <x:v>4040</x:v>
      </x:c>
      <x:c r="M405" s="70" t="str">
        <x:v>不同英语选修/必修路径不得因同为英语而视为可自动替代。 目录层条目；未预填并不代表没有考试/实践/校评。</x:v>
      </x:c>
      <x:c r="N405" s="70" t="str">
        <x:v>V3-BC-EN</x:v>
      </x:c>
    </x:row>
    <x:row r="406" ht="64" customHeight="1">
      <x:c r="A406" s="71" t="str">
        <x:v>C405</x:v>
      </x:c>
      <x:c r="B406" s="70" t="str">
        <x:v>S010</x:v>
      </x:c>
      <x:c r="C406" s="70" t="str">
        <x:v>BC Literary Studies Grade 12</x:v>
      </x:c>
      <x:c r="D406" s="70" t="str">
        <x:v>BC Literary Studies Grade 12</x:v>
      </x:c>
      <x:c r="E406" s="70" t="str">
        <x:v>British Columbia Ministry of Education and Child Care</x:v>
      </x:c>
      <x:c r="F406" s="70" t="str">
        <x:v>BC Graduation Programme</x:v>
      </x:c>
      <x:c r="G406" s="70" t="str">
        <x:v>加拿大／不列颠哥伦比亚</x:v>
      </x:c>
      <x:c r="H406" s="70" t="str">
        <x:v>整门课程</x:v>
      </x:c>
      <x:c r="I406" s="70" t="str">
        <x:v>按学科大纲；未展开考核明细</x:v>
      </x:c>
      <x:c r="J406" s="72"/>
      <x:c r="K406" s="70" t="str">
        <x:v>2026-09-17目录快照；按开课/考试年份复核</x:v>
      </x:c>
      <x:c r="L406" s="73" t="n">
        <x:v>4050</x:v>
      </x:c>
      <x:c r="M406" s="70" t="str">
        <x:v>不同英语选修/必修路径不得因同为英语而视为可自动替代。 目录层条目；未预填并不代表没有考试/实践/校评。</x:v>
      </x:c>
      <x:c r="N406" s="70" t="str">
        <x:v>V3-BC-EN</x:v>
      </x:c>
    </x:row>
    <x:row r="407" ht="64" customHeight="1">
      <x:c r="A407" s="71" t="str">
        <x:v>C406</x:v>
      </x:c>
      <x:c r="B407" s="70" t="str">
        <x:v>S010</x:v>
      </x:c>
      <x:c r="C407" s="70" t="str">
        <x:v>BC New Media Grade 12</x:v>
      </x:c>
      <x:c r="D407" s="70" t="str">
        <x:v>BC New Media Grade 12</x:v>
      </x:c>
      <x:c r="E407" s="70" t="str">
        <x:v>British Columbia Ministry of Education and Child Care</x:v>
      </x:c>
      <x:c r="F407" s="70" t="str">
        <x:v>BC Graduation Programme</x:v>
      </x:c>
      <x:c r="G407" s="70" t="str">
        <x:v>加拿大／不列颠哥伦比亚</x:v>
      </x:c>
      <x:c r="H407" s="70" t="str">
        <x:v>整门课程</x:v>
      </x:c>
      <x:c r="I407" s="70" t="str">
        <x:v>按学科大纲；未展开考核明细</x:v>
      </x:c>
      <x:c r="J407" s="72"/>
      <x:c r="K407" s="70" t="str">
        <x:v>2026-09-17目录快照；按开课/考试年份复核</x:v>
      </x:c>
      <x:c r="L407" s="73" t="n">
        <x:v>4060</x:v>
      </x:c>
      <x:c r="M407" s="70" t="str">
        <x:v>不同英语选修/必修路径不得因同为英语而视为可自动替代。 目录层条目；未预填并不代表没有考试/实践/校评。</x:v>
      </x:c>
      <x:c r="N407" s="70" t="str">
        <x:v>V3-BC-EN</x:v>
      </x:c>
    </x:row>
    <x:row r="408" ht="64" customHeight="1">
      <x:c r="A408" s="71" t="str">
        <x:v>C407</x:v>
      </x:c>
      <x:c r="B408" s="70" t="str">
        <x:v>S010</x:v>
      </x:c>
      <x:c r="C408" s="70" t="str">
        <x:v>BC Spoken Language Grade 12</x:v>
      </x:c>
      <x:c r="D408" s="70" t="str">
        <x:v>BC Spoken Language Grade 12</x:v>
      </x:c>
      <x:c r="E408" s="70" t="str">
        <x:v>British Columbia Ministry of Education and Child Care</x:v>
      </x:c>
      <x:c r="F408" s="70" t="str">
        <x:v>BC Graduation Programme</x:v>
      </x:c>
      <x:c r="G408" s="70" t="str">
        <x:v>加拿大／不列颠哥伦比亚</x:v>
      </x:c>
      <x:c r="H408" s="70" t="str">
        <x:v>整门课程</x:v>
      </x:c>
      <x:c r="I408" s="70" t="str">
        <x:v>按学科大纲；未展开考核明细</x:v>
      </x:c>
      <x:c r="J408" s="72"/>
      <x:c r="K408" s="70" t="str">
        <x:v>2026-09-17目录快照；按开课/考试年份复核</x:v>
      </x:c>
      <x:c r="L408" s="73" t="n">
        <x:v>4070</x:v>
      </x:c>
      <x:c r="M408" s="70" t="str">
        <x:v>不同英语选修/必修路径不得因同为英语而视为可自动替代。 目录层条目；未预填并不代表没有考试/实践/校评。</x:v>
      </x:c>
      <x:c r="N408" s="70" t="str">
        <x:v>V3-BC-EN</x:v>
      </x:c>
    </x:row>
    <x:row r="409" ht="64" customHeight="1">
      <x:c r="A409" s="71" t="str">
        <x:v>C408</x:v>
      </x:c>
      <x:c r="B409" s="70" t="str">
        <x:v>S010</x:v>
      </x:c>
      <x:c r="C409" s="70" t="str">
        <x:v>BC English First Peoples Grade 12</x:v>
      </x:c>
      <x:c r="D409" s="70" t="str">
        <x:v>BC English First Peoples Grade 12</x:v>
      </x:c>
      <x:c r="E409" s="70" t="str">
        <x:v>British Columbia Ministry of Education and Child Care</x:v>
      </x:c>
      <x:c r="F409" s="70" t="str">
        <x:v>BC Graduation Programme</x:v>
      </x:c>
      <x:c r="G409" s="70" t="str">
        <x:v>加拿大／不列颠哥伦比亚</x:v>
      </x:c>
      <x:c r="H409" s="70" t="str">
        <x:v>整门课程</x:v>
      </x:c>
      <x:c r="I409" s="70" t="str">
        <x:v>按学科大纲；未展开考核明细</x:v>
      </x:c>
      <x:c r="J409" s="72"/>
      <x:c r="K409" s="70" t="str">
        <x:v>2026-09-17目录快照；按开课/考试年份复核</x:v>
      </x:c>
      <x:c r="L409" s="73" t="n">
        <x:v>4080</x:v>
      </x:c>
      <x:c r="M409" s="70" t="str">
        <x:v>不同英语选修/必修路径不得因同为英语而视为可自动替代。 目录层条目；未预填并不代表没有考试/实践/校评。</x:v>
      </x:c>
      <x:c r="N409" s="70" t="str">
        <x:v>V3-BC-EN</x:v>
      </x:c>
    </x:row>
    <x:row r="410" ht="64" customHeight="1">
      <x:c r="A410" s="71" t="str">
        <x:v>C409</x:v>
      </x:c>
      <x:c r="B410" s="70" t="str">
        <x:v>S010</x:v>
      </x:c>
      <x:c r="C410" s="70" t="str">
        <x:v>OSSD English Grade 12 University</x:v>
      </x:c>
      <x:c r="D410" s="70" t="str">
        <x:v>OSSD English Grade 12 University</x:v>
      </x:c>
      <x:c r="E410" s="70" t="str">
        <x:v>Ontario Ministry of Education</x:v>
      </x:c>
      <x:c r="F410" s="70" t="str">
        <x:v>OSSD</x:v>
      </x:c>
      <x:c r="G410" s="70" t="str">
        <x:v>加拿大／安大略</x:v>
      </x:c>
      <x:c r="H410" s="70" t="str">
        <x:v>整门课程</x:v>
      </x:c>
      <x:c r="I410" s="70" t="str">
        <x:v>按学科大纲；未展开考核明细</x:v>
      </x:c>
      <x:c r="J410" s="72" t="str">
        <x:v>ENG4U</x:v>
      </x:c>
      <x:c r="K410" s="70" t="str">
        <x:v>2026-09-17目录快照；按开课/考试年份复核</x:v>
      </x:c>
      <x:c r="L410" s="73" t="n">
        <x:v>4090</x:v>
      </x:c>
      <x:c r="M410" s="70" t="str">
        <x:v>OSSD不是统一考试局；本版仅纳入所核对的安省部分大学预备课程。 目录层条目；未预填并不代表没有考试/实践/校评。</x:v>
      </x:c>
      <x:c r="N410" s="70" t="str">
        <x:v>V3-ON-EN</x:v>
      </x:c>
    </x:row>
    <x:row r="411" ht="64" customHeight="1">
      <x:c r="A411" s="71" t="str">
        <x:v>C410</x:v>
      </x:c>
      <x:c r="B411" s="70" t="str">
        <x:v>S001</x:v>
      </x:c>
      <x:c r="C411" s="70" t="str">
        <x:v>OSSD Advanced Functions Grade 12 University</x:v>
      </x:c>
      <x:c r="D411" s="70" t="str">
        <x:v>OSSD Advanced Functions Grade 12 University</x:v>
      </x:c>
      <x:c r="E411" s="70" t="str">
        <x:v>Ontario Ministry of Education</x:v>
      </x:c>
      <x:c r="F411" s="70" t="str">
        <x:v>OSSD</x:v>
      </x:c>
      <x:c r="G411" s="70" t="str">
        <x:v>加拿大／安大略</x:v>
      </x:c>
      <x:c r="H411" s="70" t="str">
        <x:v>整门课程</x:v>
      </x:c>
      <x:c r="I411" s="70" t="str">
        <x:v>按学科大纲；未展开考核明细</x:v>
      </x:c>
      <x:c r="J411" s="72" t="str">
        <x:v>MHF4U</x:v>
      </x:c>
      <x:c r="K411" s="70" t="str">
        <x:v>2026-09-17目录快照；按开课/考试年份复核</x:v>
      </x:c>
      <x:c r="L411" s="73" t="n">
        <x:v>4100</x:v>
      </x:c>
      <x:c r="M411" s="70" t="str">
        <x:v>目录层条目；未预填并不代表没有考试/实践/校评。</x:v>
      </x:c>
      <x:c r="N411" s="70" t="str">
        <x:v>V3-ON-MA</x:v>
      </x:c>
    </x:row>
    <x:row r="412" ht="64" customHeight="1">
      <x:c r="A412" s="71" t="str">
        <x:v>C411</x:v>
      </x:c>
      <x:c r="B412" s="70" t="str">
        <x:v>S001</x:v>
      </x:c>
      <x:c r="C412" s="70" t="str">
        <x:v>OSSD Calculus and Vectors Grade 12 University</x:v>
      </x:c>
      <x:c r="D412" s="70" t="str">
        <x:v>OSSD Calculus and Vectors Grade 12 University</x:v>
      </x:c>
      <x:c r="E412" s="70" t="str">
        <x:v>Ontario Ministry of Education</x:v>
      </x:c>
      <x:c r="F412" s="70" t="str">
        <x:v>OSSD</x:v>
      </x:c>
      <x:c r="G412" s="70" t="str">
        <x:v>加拿大／安大略</x:v>
      </x:c>
      <x:c r="H412" s="70" t="str">
        <x:v>整门课程</x:v>
      </x:c>
      <x:c r="I412" s="70" t="str">
        <x:v>按学科大纲；未展开考核明细</x:v>
      </x:c>
      <x:c r="J412" s="72" t="str">
        <x:v>MCV4U</x:v>
      </x:c>
      <x:c r="K412" s="70" t="str">
        <x:v>2026-09-17目录快照；按开课/考试年份复核</x:v>
      </x:c>
      <x:c r="L412" s="73" t="n">
        <x:v>4110</x:v>
      </x:c>
      <x:c r="M412" s="70" t="str">
        <x:v>目录层条目；未预填并不代表没有考试/实践/校评。</x:v>
      </x:c>
      <x:c r="N412" s="70" t="str">
        <x:v>V3-ON-MA</x:v>
      </x:c>
    </x:row>
    <x:row r="413" ht="64" customHeight="1">
      <x:c r="A413" s="71" t="str">
        <x:v>C412</x:v>
      </x:c>
      <x:c r="B413" s="70" t="str">
        <x:v>S001</x:v>
      </x:c>
      <x:c r="C413" s="70" t="str">
        <x:v>OSSD Mathematics of Data Management Grade 12 University</x:v>
      </x:c>
      <x:c r="D413" s="70" t="str">
        <x:v>OSSD Mathematics of Data Management Grade 12 University</x:v>
      </x:c>
      <x:c r="E413" s="70" t="str">
        <x:v>Ontario Ministry of Education</x:v>
      </x:c>
      <x:c r="F413" s="70" t="str">
        <x:v>OSSD</x:v>
      </x:c>
      <x:c r="G413" s="70" t="str">
        <x:v>加拿大／安大略</x:v>
      </x:c>
      <x:c r="H413" s="70" t="str">
        <x:v>整门课程</x:v>
      </x:c>
      <x:c r="I413" s="70" t="str">
        <x:v>按学科大纲；未展开考核明细</x:v>
      </x:c>
      <x:c r="J413" s="72" t="str">
        <x:v>MDM4U</x:v>
      </x:c>
      <x:c r="K413" s="70" t="str">
        <x:v>2026-09-17目录快照；按开课/考试年份复核</x:v>
      </x:c>
      <x:c r="L413" s="73" t="n">
        <x:v>4120</x:v>
      </x:c>
      <x:c r="M413" s="70" t="str">
        <x:v>目录层条目；未预填并不代表没有考试/实践/校评。</x:v>
      </x:c>
      <x:c r="N413" s="70" t="str">
        <x:v>V3-ON-MA</x:v>
      </x:c>
    </x:row>
    <x:row r="414" ht="64" customHeight="1">
      <x:c r="A414" s="71" t="str">
        <x:v>C413</x:v>
      </x:c>
      <x:c r="B414" s="70" t="str">
        <x:v>S009</x:v>
      </x:c>
      <x:c r="C414" s="70" t="str">
        <x:v>VCE Accounting VCE study</x:v>
      </x:c>
      <x:c r="D414" s="70" t="str">
        <x:v>VCE Accounting VCE study</x:v>
      </x:c>
      <x:c r="E414" s="70" t="str">
        <x:v>Victorian Curriculum and Assessment Authority (VCAA)</x:v>
      </x:c>
      <x:c r="F414" s="70" t="str">
        <x:v>VCE</x:v>
      </x:c>
      <x:c r="G414" s="70" t="str">
        <x:v>澳大利亚／维多利亚</x:v>
      </x:c>
      <x:c r="H414" s="70" t="str">
        <x:v>整门课程</x:v>
      </x:c>
      <x:c r="I414" s="70" t="str">
        <x:v>按学科大纲；未展开考核明细</x:v>
      </x:c>
      <x:c r="J414" s="72"/>
      <x:c r="K414" s="70" t="str">
        <x:v>2026-09-17目录快照；按开课/考试年份复核</x:v>
      </x:c>
      <x:c r="L414" s="73" t="n">
        <x:v>4130</x:v>
      </x:c>
      <x:c r="M414" s="70" t="str">
        <x:v>VCE study层级；本版未展开Units 1–4、SAC/SAT或高等教育参与条件。ATAR不作为课程。 目录层条目；未预填并不代表没有考试/实践/校评。</x:v>
      </x:c>
      <x:c r="N414" s="70" t="str">
        <x:v>V3-VCE</x:v>
      </x:c>
    </x:row>
    <x:row r="415" ht="64" customHeight="1">
      <x:c r="A415" s="71" t="str">
        <x:v>C414</x:v>
      </x:c>
      <x:c r="B415" s="70" t="str">
        <x:v>S008</x:v>
      </x:c>
      <x:c r="C415" s="70" t="str">
        <x:v>VCE Business Management VCE study</x:v>
      </x:c>
      <x:c r="D415" s="70" t="str">
        <x:v>VCE Business Management VCE study</x:v>
      </x:c>
      <x:c r="E415" s="70" t="str">
        <x:v>Victorian Curriculum and Assessment Authority (VCAA)</x:v>
      </x:c>
      <x:c r="F415" s="70" t="str">
        <x:v>VCE</x:v>
      </x:c>
      <x:c r="G415" s="70" t="str">
        <x:v>澳大利亚／维多利亚</x:v>
      </x:c>
      <x:c r="H415" s="70" t="str">
        <x:v>整门课程</x:v>
      </x:c>
      <x:c r="I415" s="70" t="str">
        <x:v>按学科大纲；未展开考核明细</x:v>
      </x:c>
      <x:c r="J415" s="72"/>
      <x:c r="K415" s="70" t="str">
        <x:v>2026-09-17目录快照；按开课/考试年份复核</x:v>
      </x:c>
      <x:c r="L415" s="73" t="n">
        <x:v>4140</x:v>
      </x:c>
      <x:c r="M415" s="70" t="str">
        <x:v>VCE study层级；本版未展开Units 1–4、SAC/SAT或高等教育参与条件。ATAR不作为课程。 目录层条目；未预填并不代表没有考试/实践/校评。</x:v>
      </x:c>
      <x:c r="N415" s="70" t="str">
        <x:v>V3-VCE</x:v>
      </x:c>
    </x:row>
    <x:row r="416" ht="64" customHeight="1">
      <x:c r="A416" s="71" t="str">
        <x:v>C415</x:v>
      </x:c>
      <x:c r="B416" s="70" t="str">
        <x:v>S007</x:v>
      </x:c>
      <x:c r="C416" s="70" t="str">
        <x:v>VCE Economics VCE study</x:v>
      </x:c>
      <x:c r="D416" s="70" t="str">
        <x:v>VCE Economics VCE study</x:v>
      </x:c>
      <x:c r="E416" s="70" t="str">
        <x:v>Victorian Curriculum and Assessment Authority (VCAA)</x:v>
      </x:c>
      <x:c r="F416" s="70" t="str">
        <x:v>VCE</x:v>
      </x:c>
      <x:c r="G416" s="70" t="str">
        <x:v>澳大利亚／维多利亚</x:v>
      </x:c>
      <x:c r="H416" s="70" t="str">
        <x:v>整门课程</x:v>
      </x:c>
      <x:c r="I416" s="70" t="str">
        <x:v>按学科大纲；未展开考核明细</x:v>
      </x:c>
      <x:c r="J416" s="72"/>
      <x:c r="K416" s="70" t="str">
        <x:v>2026-09-17目录快照；按开课/考试年份复核</x:v>
      </x:c>
      <x:c r="L416" s="73" t="n">
        <x:v>4150</x:v>
      </x:c>
      <x:c r="M416" s="70" t="str">
        <x:v>VCE study层级；本版未展开Units 1–4、SAC/SAT或高等教育参与条件。ATAR不作为课程。 目录层条目；未预填并不代表没有考试/实践/校评。</x:v>
      </x:c>
      <x:c r="N416" s="70" t="str">
        <x:v>V3-VCE</x:v>
      </x:c>
    </x:row>
    <x:row r="417" ht="64" customHeight="1">
      <x:c r="A417" s="71" t="str">
        <x:v>C416</x:v>
      </x:c>
      <x:c r="B417" s="70" t="str">
        <x:v>S014</x:v>
      </x:c>
      <x:c r="C417" s="70" t="str">
        <x:v>VCE Legal Studies VCE study</x:v>
      </x:c>
      <x:c r="D417" s="70" t="str">
        <x:v>VCE Legal Studies VCE study</x:v>
      </x:c>
      <x:c r="E417" s="70" t="str">
        <x:v>Victorian Curriculum and Assessment Authority (VCAA)</x:v>
      </x:c>
      <x:c r="F417" s="70" t="str">
        <x:v>VCE</x:v>
      </x:c>
      <x:c r="G417" s="70" t="str">
        <x:v>澳大利亚／维多利亚</x:v>
      </x:c>
      <x:c r="H417" s="70" t="str">
        <x:v>整门课程</x:v>
      </x:c>
      <x:c r="I417" s="70" t="str">
        <x:v>按学科大纲；未展开考核明细</x:v>
      </x:c>
      <x:c r="J417" s="72"/>
      <x:c r="K417" s="70" t="str">
        <x:v>2026-09-17目录快照；按开课/考试年份复核</x:v>
      </x:c>
      <x:c r="L417" s="73" t="n">
        <x:v>4160</x:v>
      </x:c>
      <x:c r="M417" s="70" t="str">
        <x:v>VCE study层级；本版未展开Units 1–4、SAC/SAT或高等教育参与条件。ATAR不作为课程。 目录层条目；未预填并不代表没有考试/实践/校评。</x:v>
      </x:c>
      <x:c r="N417" s="70" t="str">
        <x:v>V3-VCE</x:v>
      </x:c>
    </x:row>
    <x:row r="418" ht="64" customHeight="1">
      <x:c r="A418" s="71" t="str">
        <x:v>C417</x:v>
      </x:c>
      <x:c r="B418" s="70" t="str">
        <x:v>S004</x:v>
      </x:c>
      <x:c r="C418" s="70" t="str">
        <x:v>VCE Biology VCE study</x:v>
      </x:c>
      <x:c r="D418" s="70" t="str">
        <x:v>VCE Biology VCE study</x:v>
      </x:c>
      <x:c r="E418" s="70" t="str">
        <x:v>Victorian Curriculum and Assessment Authority (VCAA)</x:v>
      </x:c>
      <x:c r="F418" s="70" t="str">
        <x:v>VCE</x:v>
      </x:c>
      <x:c r="G418" s="70" t="str">
        <x:v>澳大利亚／维多利亚</x:v>
      </x:c>
      <x:c r="H418" s="70" t="str">
        <x:v>整门课程</x:v>
      </x:c>
      <x:c r="I418" s="70" t="str">
        <x:v>按学科大纲；未展开考核明细</x:v>
      </x:c>
      <x:c r="J418" s="72"/>
      <x:c r="K418" s="70" t="str">
        <x:v>2026-09-17目录快照；按开课/考试年份复核</x:v>
      </x:c>
      <x:c r="L418" s="73" t="n">
        <x:v>4170</x:v>
      </x:c>
      <x:c r="M418" s="70" t="str">
        <x:v>VCE study层级；本版未展开Units 1–4、SAC/SAT或高等教育参与条件。ATAR不作为课程。 目录层条目；未预填并不代表没有考试/实践/校评。</x:v>
      </x:c>
      <x:c r="N418" s="70" t="str">
        <x:v>V3-VCE</x:v>
      </x:c>
    </x:row>
    <x:row r="419" ht="64" customHeight="1">
      <x:c r="A419" s="71" t="str">
        <x:v>C418</x:v>
      </x:c>
      <x:c r="B419" s="70" t="str">
        <x:v>S003</x:v>
      </x:c>
      <x:c r="C419" s="70" t="str">
        <x:v>VCE Chemistry VCE study</x:v>
      </x:c>
      <x:c r="D419" s="70" t="str">
        <x:v>VCE Chemistry VCE study</x:v>
      </x:c>
      <x:c r="E419" s="70" t="str">
        <x:v>Victorian Curriculum and Assessment Authority (VCAA)</x:v>
      </x:c>
      <x:c r="F419" s="70" t="str">
        <x:v>VCE</x:v>
      </x:c>
      <x:c r="G419" s="70" t="str">
        <x:v>澳大利亚／维多利亚</x:v>
      </x:c>
      <x:c r="H419" s="70" t="str">
        <x:v>整门课程</x:v>
      </x:c>
      <x:c r="I419" s="70" t="str">
        <x:v>按学科大纲；未展开考核明细</x:v>
      </x:c>
      <x:c r="J419" s="72"/>
      <x:c r="K419" s="70" t="str">
        <x:v>2026-09-17目录快照；按开课/考试年份复核</x:v>
      </x:c>
      <x:c r="L419" s="73" t="n">
        <x:v>4180</x:v>
      </x:c>
      <x:c r="M419" s="70" t="str">
        <x:v>VCE study层级；本版未展开Units 1–4、SAC/SAT或高等教育参与条件。ATAR不作为课程。 目录层条目；未预填并不代表没有考试/实践/校评。</x:v>
      </x:c>
      <x:c r="N419" s="70" t="str">
        <x:v>V3-VCE</x:v>
      </x:c>
    </x:row>
    <x:row r="420" ht="64" customHeight="1">
      <x:c r="A420" s="71" t="str">
        <x:v>C419</x:v>
      </x:c>
      <x:c r="B420" s="70" t="str">
        <x:v>S031</x:v>
      </x:c>
      <x:c r="C420" s="70" t="str">
        <x:v>VCE Environmental Science VCE study</x:v>
      </x:c>
      <x:c r="D420" s="70" t="str">
        <x:v>VCE Environmental Science VCE study</x:v>
      </x:c>
      <x:c r="E420" s="70" t="str">
        <x:v>Victorian Curriculum and Assessment Authority (VCAA)</x:v>
      </x:c>
      <x:c r="F420" s="70" t="str">
        <x:v>VCE</x:v>
      </x:c>
      <x:c r="G420" s="70" t="str">
        <x:v>澳大利亚／维多利亚</x:v>
      </x:c>
      <x:c r="H420" s="70" t="str">
        <x:v>整门课程</x:v>
      </x:c>
      <x:c r="I420" s="70" t="str">
        <x:v>按学科大纲；未展开考核明细</x:v>
      </x:c>
      <x:c r="J420" s="72"/>
      <x:c r="K420" s="70" t="str">
        <x:v>2026-09-17目录快照；按开课/考试年份复核</x:v>
      </x:c>
      <x:c r="L420" s="73" t="n">
        <x:v>4190</x:v>
      </x:c>
      <x:c r="M420" s="70" t="str">
        <x:v>VCE study层级；本版未展开Units 1–4、SAC/SAT或高等教育参与条件。ATAR不作为课程。 目录层条目；未预填并不代表没有考试/实践/校评。</x:v>
      </x:c>
      <x:c r="N420" s="70" t="str">
        <x:v>V3-VCE</x:v>
      </x:c>
    </x:row>
    <x:row r="421" ht="64" customHeight="1">
      <x:c r="A421" s="71" t="str">
        <x:v>C420</x:v>
      </x:c>
      <x:c r="B421" s="70" t="str">
        <x:v>S002</x:v>
      </x:c>
      <x:c r="C421" s="70" t="str">
        <x:v>VCE Physics VCE study</x:v>
      </x:c>
      <x:c r="D421" s="70" t="str">
        <x:v>VCE Physics VCE study</x:v>
      </x:c>
      <x:c r="E421" s="70" t="str">
        <x:v>Victorian Curriculum and Assessment Authority (VCAA)</x:v>
      </x:c>
      <x:c r="F421" s="70" t="str">
        <x:v>VCE</x:v>
      </x:c>
      <x:c r="G421" s="70" t="str">
        <x:v>澳大利亚／维多利亚</x:v>
      </x:c>
      <x:c r="H421" s="70" t="str">
        <x:v>整门课程</x:v>
      </x:c>
      <x:c r="I421" s="70" t="str">
        <x:v>按学科大纲；未展开考核明细</x:v>
      </x:c>
      <x:c r="J421" s="72"/>
      <x:c r="K421" s="70" t="str">
        <x:v>2026-09-17目录快照；按开课/考试年份复核</x:v>
      </x:c>
      <x:c r="L421" s="73" t="n">
        <x:v>4200</x:v>
      </x:c>
      <x:c r="M421" s="70" t="str">
        <x:v>VCE study层级；本版未展开Units 1–4、SAC/SAT或高等教育参与条件。ATAR不作为课程。 目录层条目；未预填并不代表没有考试/实践/校评。</x:v>
      </x:c>
      <x:c r="N421" s="70" t="str">
        <x:v>V3-VCE</x:v>
      </x:c>
    </x:row>
    <x:row r="422" ht="64" customHeight="1">
      <x:c r="A422" s="71" t="str">
        <x:v>C421</x:v>
      </x:c>
      <x:c r="B422" s="70" t="str">
        <x:v>S013</x:v>
      </x:c>
      <x:c r="C422" s="70" t="str">
        <x:v>VCE Psychology VCE study</x:v>
      </x:c>
      <x:c r="D422" s="70" t="str">
        <x:v>VCE Psychology VCE study</x:v>
      </x:c>
      <x:c r="E422" s="70" t="str">
        <x:v>Victorian Curriculum and Assessment Authority (VCAA)</x:v>
      </x:c>
      <x:c r="F422" s="70" t="str">
        <x:v>VCE</x:v>
      </x:c>
      <x:c r="G422" s="70" t="str">
        <x:v>澳大利亚／维多利亚</x:v>
      </x:c>
      <x:c r="H422" s="70" t="str">
        <x:v>整门课程</x:v>
      </x:c>
      <x:c r="I422" s="70" t="str">
        <x:v>按学科大纲；未展开考核明细</x:v>
      </x:c>
      <x:c r="J422" s="72"/>
      <x:c r="K422" s="70" t="str">
        <x:v>2026-09-17目录快照；按开课/考试年份复核</x:v>
      </x:c>
      <x:c r="L422" s="73" t="n">
        <x:v>4210</x:v>
      </x:c>
      <x:c r="M422" s="70" t="str">
        <x:v>VCE study层级；本版未展开Units 1–4、SAC/SAT或高等教育参与条件。ATAR不作为课程。 目录层条目；未预填并不代表没有考试/实践/校评。</x:v>
      </x:c>
      <x:c r="N422" s="70" t="str">
        <x:v>V3-VCE</x:v>
      </x:c>
    </x:row>
    <x:row r="423" ht="64" customHeight="1">
      <x:c r="A423" s="71" t="str">
        <x:v>C422</x:v>
      </x:c>
      <x:c r="B423" s="70" t="str">
        <x:v>S001</x:v>
      </x:c>
      <x:c r="C423" s="70" t="str">
        <x:v>VCE Foundation Mathematics VCE study</x:v>
      </x:c>
      <x:c r="D423" s="70" t="str">
        <x:v>VCE Foundation Mathematics VCE study</x:v>
      </x:c>
      <x:c r="E423" s="70" t="str">
        <x:v>Victorian Curriculum and Assessment Authority (VCAA)</x:v>
      </x:c>
      <x:c r="F423" s="70" t="str">
        <x:v>VCE</x:v>
      </x:c>
      <x:c r="G423" s="70" t="str">
        <x:v>澳大利亚／维多利亚</x:v>
      </x:c>
      <x:c r="H423" s="70" t="str">
        <x:v>整门课程</x:v>
      </x:c>
      <x:c r="I423" s="70" t="str">
        <x:v>按学科大纲；未展开考核明细</x:v>
      </x:c>
      <x:c r="J423" s="72"/>
      <x:c r="K423" s="70" t="str">
        <x:v>2026-09-17目录快照；按开课/考试年份复核</x:v>
      </x:c>
      <x:c r="L423" s="73" t="n">
        <x:v>4220</x:v>
      </x:c>
      <x:c r="M423" s="70" t="str">
        <x:v>VCE study层级；本版未展开Units 1–4、SAC/SAT或高等教育参与条件。ATAR不作为课程。 目录层条目；未预填并不代表没有考试/实践/校评。</x:v>
      </x:c>
      <x:c r="N423" s="70" t="str">
        <x:v>V3-VCE</x:v>
      </x:c>
    </x:row>
    <x:row r="424" ht="64" customHeight="1">
      <x:c r="A424" s="71" t="str">
        <x:v>C423</x:v>
      </x:c>
      <x:c r="B424" s="70" t="str">
        <x:v>S001</x:v>
      </x:c>
      <x:c r="C424" s="70" t="str">
        <x:v>VCE General Mathematics VCE study</x:v>
      </x:c>
      <x:c r="D424" s="70" t="str">
        <x:v>VCE General Mathematics VCE study</x:v>
      </x:c>
      <x:c r="E424" s="70" t="str">
        <x:v>Victorian Curriculum and Assessment Authority (VCAA)</x:v>
      </x:c>
      <x:c r="F424" s="70" t="str">
        <x:v>VCE</x:v>
      </x:c>
      <x:c r="G424" s="70" t="str">
        <x:v>澳大利亚／维多利亚</x:v>
      </x:c>
      <x:c r="H424" s="70" t="str">
        <x:v>整门课程</x:v>
      </x:c>
      <x:c r="I424" s="70" t="str">
        <x:v>按学科大纲；未展开考核明细</x:v>
      </x:c>
      <x:c r="J424" s="72"/>
      <x:c r="K424" s="70" t="str">
        <x:v>2026-09-17目录快照；按开课/考试年份复核</x:v>
      </x:c>
      <x:c r="L424" s="73" t="n">
        <x:v>4230</x:v>
      </x:c>
      <x:c r="M424" s="70" t="str">
        <x:v>VCE study层级；本版未展开Units 1–4、SAC/SAT或高等教育参与条件。ATAR不作为课程。 目录层条目；未预填并不代表没有考试/实践/校评。</x:v>
      </x:c>
      <x:c r="N424" s="70" t="str">
        <x:v>V3-VCE</x:v>
      </x:c>
    </x:row>
    <x:row r="425" ht="64" customHeight="1">
      <x:c r="A425" s="71" t="str">
        <x:v>C424</x:v>
      </x:c>
      <x:c r="B425" s="70" t="str">
        <x:v>S001</x:v>
      </x:c>
      <x:c r="C425" s="70" t="str">
        <x:v>VCE Mathematical Methods VCE study</x:v>
      </x:c>
      <x:c r="D425" s="70" t="str">
        <x:v>VCE Mathematical Methods VCE study</x:v>
      </x:c>
      <x:c r="E425" s="70" t="str">
        <x:v>Victorian Curriculum and Assessment Authority (VCAA)</x:v>
      </x:c>
      <x:c r="F425" s="70" t="str">
        <x:v>VCE</x:v>
      </x:c>
      <x:c r="G425" s="70" t="str">
        <x:v>澳大利亚／维多利亚</x:v>
      </x:c>
      <x:c r="H425" s="70" t="str">
        <x:v>整门课程</x:v>
      </x:c>
      <x:c r="I425" s="70" t="str">
        <x:v>按学科大纲；未展开考核明细</x:v>
      </x:c>
      <x:c r="J425" s="72"/>
      <x:c r="K425" s="70" t="str">
        <x:v>2026-09-17目录快照；按开课/考试年份复核</x:v>
      </x:c>
      <x:c r="L425" s="73" t="n">
        <x:v>4240</x:v>
      </x:c>
      <x:c r="M425" s="70" t="str">
        <x:v>VCE study层级；本版未展开Units 1–4、SAC/SAT或高等教育参与条件。ATAR不作为课程。 目录层条目；未预填并不代表没有考试/实践/校评。</x:v>
      </x:c>
      <x:c r="N425" s="70" t="str">
        <x:v>V3-VCE</x:v>
      </x:c>
    </x:row>
    <x:row r="426" ht="64" customHeight="1">
      <x:c r="A426" s="71" t="str">
        <x:v>C425</x:v>
      </x:c>
      <x:c r="B426" s="70" t="str">
        <x:v>S001</x:v>
      </x:c>
      <x:c r="C426" s="70" t="str">
        <x:v>VCE Specialist Mathematics VCE study</x:v>
      </x:c>
      <x:c r="D426" s="70" t="str">
        <x:v>VCE Specialist Mathematics VCE study</x:v>
      </x:c>
      <x:c r="E426" s="70" t="str">
        <x:v>Victorian Curriculum and Assessment Authority (VCAA)</x:v>
      </x:c>
      <x:c r="F426" s="70" t="str">
        <x:v>VCE</x:v>
      </x:c>
      <x:c r="G426" s="70" t="str">
        <x:v>澳大利亚／维多利亚</x:v>
      </x:c>
      <x:c r="H426" s="70" t="str">
        <x:v>整门课程</x:v>
      </x:c>
      <x:c r="I426" s="70" t="str">
        <x:v>按学科大纲；未展开考核明细</x:v>
      </x:c>
      <x:c r="J426" s="72"/>
      <x:c r="K426" s="70" t="str">
        <x:v>2026-09-17目录快照；按开课/考试年份复核</x:v>
      </x:c>
      <x:c r="L426" s="73" t="n">
        <x:v>4250</x:v>
      </x:c>
      <x:c r="M426" s="70" t="str">
        <x:v>VCE study层级；本版未展开Units 1–4、SAC/SAT或高等教育参与条件。ATAR不作为课程。 目录层条目；未预填并不代表没有考试/实践/校评。</x:v>
      </x:c>
      <x:c r="N426" s="70" t="str">
        <x:v>V3-VCE</x:v>
      </x:c>
    </x:row>
    <x:row r="427" ht="64" customHeight="1">
      <x:c r="A427" s="71" t="str">
        <x:v>C426</x:v>
      </x:c>
      <x:c r="B427" s="70" t="str">
        <x:v>S010</x:v>
      </x:c>
      <x:c r="C427" s="70" t="str">
        <x:v>VCE English Language VCE study</x:v>
      </x:c>
      <x:c r="D427" s="70" t="str">
        <x:v>VCE English Language VCE study</x:v>
      </x:c>
      <x:c r="E427" s="70" t="str">
        <x:v>Victorian Curriculum and Assessment Authority (VCAA)</x:v>
      </x:c>
      <x:c r="F427" s="70" t="str">
        <x:v>VCE</x:v>
      </x:c>
      <x:c r="G427" s="70" t="str">
        <x:v>澳大利亚／维多利亚</x:v>
      </x:c>
      <x:c r="H427" s="70" t="str">
        <x:v>整门课程</x:v>
      </x:c>
      <x:c r="I427" s="70" t="str">
        <x:v>按学科大纲；未展开考核明细</x:v>
      </x:c>
      <x:c r="J427" s="72"/>
      <x:c r="K427" s="70" t="str">
        <x:v>2026-09-17目录快照；按开课/考试年份复核</x:v>
      </x:c>
      <x:c r="L427" s="73" t="n">
        <x:v>4260</x:v>
      </x:c>
      <x:c r="M427" s="70" t="str">
        <x:v>VCE study层级；本版未展开Units 1–4、SAC/SAT或高等教育参与条件。ATAR不作为课程。 目录层条目；未预填并不代表没有考试/实践/校评。</x:v>
      </x:c>
      <x:c r="N427" s="70" t="str">
        <x:v>V3-VCE</x:v>
      </x:c>
    </x:row>
    <x:row r="428" ht="64" customHeight="1">
      <x:c r="A428" s="71" t="str">
        <x:v>C427</x:v>
      </x:c>
      <x:c r="B428" s="70" t="str">
        <x:v>S010</x:v>
      </x:c>
      <x:c r="C428" s="70" t="str">
        <x:v>VCE Literature VCE study</x:v>
      </x:c>
      <x:c r="D428" s="70" t="str">
        <x:v>VCE Literature VCE study</x:v>
      </x:c>
      <x:c r="E428" s="70" t="str">
        <x:v>Victorian Curriculum and Assessment Authority (VCAA)</x:v>
      </x:c>
      <x:c r="F428" s="70" t="str">
        <x:v>VCE</x:v>
      </x:c>
      <x:c r="G428" s="70" t="str">
        <x:v>澳大利亚／维多利亚</x:v>
      </x:c>
      <x:c r="H428" s="70" t="str">
        <x:v>整门课程</x:v>
      </x:c>
      <x:c r="I428" s="70" t="str">
        <x:v>按学科大纲；未展开考核明细</x:v>
      </x:c>
      <x:c r="J428" s="72"/>
      <x:c r="K428" s="70" t="str">
        <x:v>2026-09-17目录快照；按开课/考试年份复核</x:v>
      </x:c>
      <x:c r="L428" s="73" t="n">
        <x:v>4270</x:v>
      </x:c>
      <x:c r="M428" s="70" t="str">
        <x:v>VCE study层级；本版未展开Units 1–4、SAC/SAT或高等教育参与条件。ATAR不作为课程。 目录层条目；未预填并不代表没有考试/实践/校评。</x:v>
      </x:c>
      <x:c r="N428" s="70" t="str">
        <x:v>V3-VCE</x:v>
      </x:c>
    </x:row>
    <x:row r="429" ht="64" customHeight="1">
      <x:c r="A429" s="71" t="str">
        <x:v>C428</x:v>
      </x:c>
      <x:c r="B429" s="70" t="str">
        <x:v>S012</x:v>
      </x:c>
      <x:c r="C429" s="70" t="str">
        <x:v>VCE Geography VCE study</x:v>
      </x:c>
      <x:c r="D429" s="70" t="str">
        <x:v>VCE Geography VCE study</x:v>
      </x:c>
      <x:c r="E429" s="70" t="str">
        <x:v>Victorian Curriculum and Assessment Authority (VCAA)</x:v>
      </x:c>
      <x:c r="F429" s="70" t="str">
        <x:v>VCE</x:v>
      </x:c>
      <x:c r="G429" s="70" t="str">
        <x:v>澳大利亚／维多利亚</x:v>
      </x:c>
      <x:c r="H429" s="70" t="str">
        <x:v>整门课程</x:v>
      </x:c>
      <x:c r="I429" s="70" t="str">
        <x:v>按学科大纲；未展开考核明细</x:v>
      </x:c>
      <x:c r="J429" s="72"/>
      <x:c r="K429" s="70" t="str">
        <x:v>2026-09-17目录快照；按开课/考试年份复核</x:v>
      </x:c>
      <x:c r="L429" s="73" t="n">
        <x:v>4280</x:v>
      </x:c>
      <x:c r="M429" s="70" t="str">
        <x:v>VCE study层级；本版未展开Units 1–4、SAC/SAT或高等教育参与条件。ATAR不作为课程。 目录层条目；未预填并不代表没有考试/实践/校评。</x:v>
      </x:c>
      <x:c r="N429" s="70" t="str">
        <x:v>V3-VCE</x:v>
      </x:c>
    </x:row>
    <x:row r="430" ht="64" customHeight="1">
      <x:c r="A430" s="71" t="str">
        <x:v>C429</x:v>
      </x:c>
      <x:c r="B430" s="70" t="str">
        <x:v>S030</x:v>
      </x:c>
      <x:c r="C430" s="70" t="str">
        <x:v>VCE Philosophy VCE study</x:v>
      </x:c>
      <x:c r="D430" s="70" t="str">
        <x:v>VCE Philosophy VCE study</x:v>
      </x:c>
      <x:c r="E430" s="70" t="str">
        <x:v>Victorian Curriculum and Assessment Authority (VCAA)</x:v>
      </x:c>
      <x:c r="F430" s="70" t="str">
        <x:v>VCE</x:v>
      </x:c>
      <x:c r="G430" s="70" t="str">
        <x:v>澳大利亚／维多利亚</x:v>
      </x:c>
      <x:c r="H430" s="70" t="str">
        <x:v>整门课程</x:v>
      </x:c>
      <x:c r="I430" s="70" t="str">
        <x:v>按学科大纲；未展开考核明细</x:v>
      </x:c>
      <x:c r="J430" s="72"/>
      <x:c r="K430" s="70" t="str">
        <x:v>2026-09-17目录快照；按开课/考试年份复核</x:v>
      </x:c>
      <x:c r="L430" s="73" t="n">
        <x:v>4290</x:v>
      </x:c>
      <x:c r="M430" s="70" t="str">
        <x:v>VCE study层级；本版未展开Units 1–4、SAC/SAT或高等教育参与条件。ATAR不作为课程。 目录层条目；未预填并不代表没有考试/实践/校评。</x:v>
      </x:c>
      <x:c r="N430" s="70" t="str">
        <x:v>V3-VCE</x:v>
      </x:c>
    </x:row>
    <x:row r="431" ht="64" customHeight="1">
      <x:c r="A431" s="71" t="str">
        <x:v>C430</x:v>
      </x:c>
      <x:c r="B431" s="70" t="str">
        <x:v>S029</x:v>
      </x:c>
      <x:c r="C431" s="70" t="str">
        <x:v>VCE Politics VCE study</x:v>
      </x:c>
      <x:c r="D431" s="70" t="str">
        <x:v>VCE Politics VCE study</x:v>
      </x:c>
      <x:c r="E431" s="70" t="str">
        <x:v>Victorian Curriculum and Assessment Authority (VCAA)</x:v>
      </x:c>
      <x:c r="F431" s="70" t="str">
        <x:v>VCE</x:v>
      </x:c>
      <x:c r="G431" s="70" t="str">
        <x:v>澳大利亚／维多利亚</x:v>
      </x:c>
      <x:c r="H431" s="70" t="str">
        <x:v>整门课程</x:v>
      </x:c>
      <x:c r="I431" s="70" t="str">
        <x:v>按学科大纲；未展开考核明细</x:v>
      </x:c>
      <x:c r="J431" s="72"/>
      <x:c r="K431" s="70" t="str">
        <x:v>2026-09-17目录快照；按开课/考试年份复核</x:v>
      </x:c>
      <x:c r="L431" s="73" t="n">
        <x:v>4300</x:v>
      </x:c>
      <x:c r="M431" s="70" t="str">
        <x:v>VCE study层级；本版未展开Units 1–4、SAC/SAT或高等教育参与条件。ATAR不作为课程。 目录层条目；未预填并不代表没有考试/实践/校评。</x:v>
      </x:c>
      <x:c r="N431" s="70" t="str">
        <x:v>V3-VCE</x:v>
      </x:c>
    </x:row>
    <x:row r="432" ht="64" customHeight="1">
      <x:c r="A432" s="71" t="str">
        <x:v>C431</x:v>
      </x:c>
      <x:c r="B432" s="70" t="str">
        <x:v>S030</x:v>
      </x:c>
      <x:c r="C432" s="70" t="str">
        <x:v>VCE Religion and Society VCE study</x:v>
      </x:c>
      <x:c r="D432" s="70" t="str">
        <x:v>VCE Religion and Society VCE study</x:v>
      </x:c>
      <x:c r="E432" s="70" t="str">
        <x:v>Victorian Curriculum and Assessment Authority (VCAA)</x:v>
      </x:c>
      <x:c r="F432" s="70" t="str">
        <x:v>VCE</x:v>
      </x:c>
      <x:c r="G432" s="70" t="str">
        <x:v>澳大利亚／维多利亚</x:v>
      </x:c>
      <x:c r="H432" s="70" t="str">
        <x:v>整门课程</x:v>
      </x:c>
      <x:c r="I432" s="70" t="str">
        <x:v>按学科大纲；未展开考核明细</x:v>
      </x:c>
      <x:c r="J432" s="72"/>
      <x:c r="K432" s="70" t="str">
        <x:v>2026-09-17目录快照；按开课/考试年份复核</x:v>
      </x:c>
      <x:c r="L432" s="73" t="n">
        <x:v>4310</x:v>
      </x:c>
      <x:c r="M432" s="70" t="str">
        <x:v>VCE study层级；本版未展开Units 1–4、SAC/SAT或高等教育参与条件。ATAR不作为课程。 目录层条目；未预填并不代表没有考试/实践/校评。</x:v>
      </x:c>
      <x:c r="N432" s="70" t="str">
        <x:v>V3-VCE</x:v>
      </x:c>
    </x:row>
    <x:row r="433" ht="64" customHeight="1">
      <x:c r="A433" s="71" t="str">
        <x:v>C432</x:v>
      </x:c>
      <x:c r="B433" s="70" t="str">
        <x:v>S029</x:v>
      </x:c>
      <x:c r="C433" s="70" t="str">
        <x:v>VCE Sociology VCE study</x:v>
      </x:c>
      <x:c r="D433" s="70" t="str">
        <x:v>VCE Sociology VCE study</x:v>
      </x:c>
      <x:c r="E433" s="70" t="str">
        <x:v>Victorian Curriculum and Assessment Authority (VCAA)</x:v>
      </x:c>
      <x:c r="F433" s="70" t="str">
        <x:v>VCE</x:v>
      </x:c>
      <x:c r="G433" s="70" t="str">
        <x:v>澳大利亚／维多利亚</x:v>
      </x:c>
      <x:c r="H433" s="70" t="str">
        <x:v>整门课程</x:v>
      </x:c>
      <x:c r="I433" s="70" t="str">
        <x:v>按学科大纲；未展开考核明细</x:v>
      </x:c>
      <x:c r="J433" s="72"/>
      <x:c r="K433" s="70" t="str">
        <x:v>2026-09-17目录快照；按开课/考试年份复核</x:v>
      </x:c>
      <x:c r="L433" s="73" t="n">
        <x:v>4320</x:v>
      </x:c>
      <x:c r="M433" s="70" t="str">
        <x:v>VCE study层级；本版未展开Units 1–4、SAC/SAT或高等教育参与条件。ATAR不作为课程。 目录层条目；未预填并不代表没有考试/实践/校评。</x:v>
      </x:c>
      <x:c r="N433" s="70" t="str">
        <x:v>V3-VCE</x:v>
      </x:c>
    </x:row>
    <x:row r="434" ht="64" customHeight="1">
      <x:c r="A434" s="71" t="str">
        <x:v>C433</x:v>
      </x:c>
      <x:c r="B434" s="70" t="str">
        <x:v>S026</x:v>
      </x:c>
      <x:c r="C434" s="70" t="str">
        <x:v>VCE Art Creative Practice VCE study</x:v>
      </x:c>
      <x:c r="D434" s="70" t="str">
        <x:v>VCE Art Creative Practice VCE study</x:v>
      </x:c>
      <x:c r="E434" s="70" t="str">
        <x:v>Victorian Curriculum and Assessment Authority (VCAA)</x:v>
      </x:c>
      <x:c r="F434" s="70" t="str">
        <x:v>VCE</x:v>
      </x:c>
      <x:c r="G434" s="70" t="str">
        <x:v>澳大利亚／维多利亚</x:v>
      </x:c>
      <x:c r="H434" s="70" t="str">
        <x:v>整门课程</x:v>
      </x:c>
      <x:c r="I434" s="70" t="str">
        <x:v>按学科大纲；未展开考核明细</x:v>
      </x:c>
      <x:c r="J434" s="72"/>
      <x:c r="K434" s="70" t="str">
        <x:v>2026-09-17目录快照；按开课/考试年份复核</x:v>
      </x:c>
      <x:c r="L434" s="73" t="n">
        <x:v>4330</x:v>
      </x:c>
      <x:c r="M434" s="70" t="str">
        <x:v>VCE study层级；本版未展开Units 1–4、SAC/SAT或高等教育参与条件。ATAR不作为课程。 目录层条目；未预填并不代表没有考试/实践/校评。</x:v>
      </x:c>
      <x:c r="N434" s="70" t="str">
        <x:v>V3-VCE</x:v>
      </x:c>
    </x:row>
    <x:row r="435" ht="64" customHeight="1">
      <x:c r="A435" s="71" t="str">
        <x:v>C434</x:v>
      </x:c>
      <x:c r="B435" s="70" t="str">
        <x:v>S026</x:v>
      </x:c>
      <x:c r="C435" s="70" t="str">
        <x:v>VCE Art Making and Exhibiting VCE study</x:v>
      </x:c>
      <x:c r="D435" s="70" t="str">
        <x:v>VCE Art Making and Exhibiting VCE study</x:v>
      </x:c>
      <x:c r="E435" s="70" t="str">
        <x:v>Victorian Curriculum and Assessment Authority (VCAA)</x:v>
      </x:c>
      <x:c r="F435" s="70" t="str">
        <x:v>VCE</x:v>
      </x:c>
      <x:c r="G435" s="70" t="str">
        <x:v>澳大利亚／维多利亚</x:v>
      </x:c>
      <x:c r="H435" s="70" t="str">
        <x:v>整门课程</x:v>
      </x:c>
      <x:c r="I435" s="70" t="str">
        <x:v>按学科大纲；未展开考核明细</x:v>
      </x:c>
      <x:c r="J435" s="72"/>
      <x:c r="K435" s="70" t="str">
        <x:v>2026-09-17目录快照；按开课/考试年份复核</x:v>
      </x:c>
      <x:c r="L435" s="73" t="n">
        <x:v>4340</x:v>
      </x:c>
      <x:c r="M435" s="70" t="str">
        <x:v>VCE study层级；本版未展开Units 1–4、SAC/SAT或高等教育参与条件。ATAR不作为课程。 目录层条目；未预填并不代表没有考试/实践/校评。</x:v>
      </x:c>
      <x:c r="N435" s="70" t="str">
        <x:v>V3-VCE</x:v>
      </x:c>
    </x:row>
    <x:row r="436" ht="64" customHeight="1">
      <x:c r="A436" s="71" t="str">
        <x:v>C435</x:v>
      </x:c>
      <x:c r="B436" s="70" t="str">
        <x:v>S026</x:v>
      </x:c>
      <x:c r="C436" s="70" t="str">
        <x:v>VCE Visual Communication Design VCE study</x:v>
      </x:c>
      <x:c r="D436" s="70" t="str">
        <x:v>VCE Visual Communication Design VCE study</x:v>
      </x:c>
      <x:c r="E436" s="70" t="str">
        <x:v>Victorian Curriculum and Assessment Authority (VCAA)</x:v>
      </x:c>
      <x:c r="F436" s="70" t="str">
        <x:v>VCE</x:v>
      </x:c>
      <x:c r="G436" s="70" t="str">
        <x:v>澳大利亚／维多利亚</x:v>
      </x:c>
      <x:c r="H436" s="70" t="str">
        <x:v>整门课程</x:v>
      </x:c>
      <x:c r="I436" s="70" t="str">
        <x:v>按学科大纲；未展开考核明细</x:v>
      </x:c>
      <x:c r="J436" s="72"/>
      <x:c r="K436" s="70" t="str">
        <x:v>2026-09-17目录快照；按开课/考试年份复核</x:v>
      </x:c>
      <x:c r="L436" s="73" t="n">
        <x:v>4350</x:v>
      </x:c>
      <x:c r="M436" s="70" t="str">
        <x:v>VCE study层级；本版未展开Units 1–4、SAC/SAT或高等教育参与条件。ATAR不作为课程。 目录层条目；未预填并不代表没有考试/实践/校评。</x:v>
      </x:c>
      <x:c r="N436" s="70" t="str">
        <x:v>V3-VCE</x:v>
      </x:c>
    </x:row>
    <x:row r="437" ht="64" customHeight="1">
      <x:c r="A437" s="71" t="str">
        <x:v>C436</x:v>
      </x:c>
      <x:c r="B437" s="70" t="str">
        <x:v>S034</x:v>
      </x:c>
      <x:c r="C437" s="70" t="str">
        <x:v>VCE Media VCE study</x:v>
      </x:c>
      <x:c r="D437" s="70" t="str">
        <x:v>VCE Media VCE study</x:v>
      </x:c>
      <x:c r="E437" s="70" t="str">
        <x:v>Victorian Curriculum and Assessment Authority (VCAA)</x:v>
      </x:c>
      <x:c r="F437" s="70" t="str">
        <x:v>VCE</x:v>
      </x:c>
      <x:c r="G437" s="70" t="str">
        <x:v>澳大利亚／维多利亚</x:v>
      </x:c>
      <x:c r="H437" s="70" t="str">
        <x:v>整门课程</x:v>
      </x:c>
      <x:c r="I437" s="70" t="str">
        <x:v>按学科大纲；未展开考核明细</x:v>
      </x:c>
      <x:c r="J437" s="72"/>
      <x:c r="K437" s="70" t="str">
        <x:v>2026-09-17目录快照；按开课/考试年份复核</x:v>
      </x:c>
      <x:c r="L437" s="73" t="n">
        <x:v>4360</x:v>
      </x:c>
      <x:c r="M437" s="70" t="str">
        <x:v>VCE study层级；本版未展开Units 1–4、SAC/SAT或高等教育参与条件。ATAR不作为课程。 目录层条目；未预填并不代表没有考试/实践/校评。</x:v>
      </x:c>
      <x:c r="N437" s="70" t="str">
        <x:v>V3-VCE</x:v>
      </x:c>
    </x:row>
    <x:row r="438" ht="64" customHeight="1">
      <x:c r="A438" s="71" t="str">
        <x:v>C437</x:v>
      </x:c>
      <x:c r="B438" s="70" t="str">
        <x:v>S028</x:v>
      </x:c>
      <x:c r="C438" s="70" t="str">
        <x:v>VCE Dance VCE study</x:v>
      </x:c>
      <x:c r="D438" s="70" t="str">
        <x:v>VCE Dance VCE study</x:v>
      </x:c>
      <x:c r="E438" s="70" t="str">
        <x:v>Victorian Curriculum and Assessment Authority (VCAA)</x:v>
      </x:c>
      <x:c r="F438" s="70" t="str">
        <x:v>VCE</x:v>
      </x:c>
      <x:c r="G438" s="70" t="str">
        <x:v>澳大利亚／维多利亚</x:v>
      </x:c>
      <x:c r="H438" s="70" t="str">
        <x:v>整门课程</x:v>
      </x:c>
      <x:c r="I438" s="70" t="str">
        <x:v>按学科大纲；未展开考核明细</x:v>
      </x:c>
      <x:c r="J438" s="72"/>
      <x:c r="K438" s="70" t="str">
        <x:v>2026-09-17目录快照；按开课/考试年份复核</x:v>
      </x:c>
      <x:c r="L438" s="73" t="n">
        <x:v>4370</x:v>
      </x:c>
      <x:c r="M438" s="70" t="str">
        <x:v>VCE study层级；本版未展开Units 1–4、SAC/SAT或高等教育参与条件。ATAR不作为课程。 目录层条目；未预填并不代表没有考试/实践/校评。</x:v>
      </x:c>
      <x:c r="N438" s="70" t="str">
        <x:v>V3-VCE</x:v>
      </x:c>
    </x:row>
    <x:row r="439" ht="64" customHeight="1">
      <x:c r="A439" s="71" t="str">
        <x:v>C438</x:v>
      </x:c>
      <x:c r="B439" s="70" t="str">
        <x:v>S028</x:v>
      </x:c>
      <x:c r="C439" s="70" t="str">
        <x:v>VCE Drama VCE study</x:v>
      </x:c>
      <x:c r="D439" s="70" t="str">
        <x:v>VCE Drama VCE study</x:v>
      </x:c>
      <x:c r="E439" s="70" t="str">
        <x:v>Victorian Curriculum and Assessment Authority (VCAA)</x:v>
      </x:c>
      <x:c r="F439" s="70" t="str">
        <x:v>VCE</x:v>
      </x:c>
      <x:c r="G439" s="70" t="str">
        <x:v>澳大利亚／维多利亚</x:v>
      </x:c>
      <x:c r="H439" s="70" t="str">
        <x:v>整门课程</x:v>
      </x:c>
      <x:c r="I439" s="70" t="str">
        <x:v>按学科大纲；未展开考核明细</x:v>
      </x:c>
      <x:c r="J439" s="72"/>
      <x:c r="K439" s="70" t="str">
        <x:v>2026-09-17目录快照；按开课/考试年份复核</x:v>
      </x:c>
      <x:c r="L439" s="73" t="n">
        <x:v>4380</x:v>
      </x:c>
      <x:c r="M439" s="70" t="str">
        <x:v>VCE study层级；本版未展开Units 1–4、SAC/SAT或高等教育参与条件。ATAR不作为课程。 目录层条目；未预填并不代表没有考试/实践/校评。</x:v>
      </x:c>
      <x:c r="N439" s="70" t="str">
        <x:v>V3-VCE</x:v>
      </x:c>
    </x:row>
    <x:row r="440" ht="64" customHeight="1">
      <x:c r="A440" s="71" t="str">
        <x:v>C439</x:v>
      </x:c>
      <x:c r="B440" s="70" t="str">
        <x:v>S028</x:v>
      </x:c>
      <x:c r="C440" s="70" t="str">
        <x:v>VCE Theatre Studies VCE study</x:v>
      </x:c>
      <x:c r="D440" s="70" t="str">
        <x:v>VCE Theatre Studies VCE study</x:v>
      </x:c>
      <x:c r="E440" s="70" t="str">
        <x:v>Victorian Curriculum and Assessment Authority (VCAA)</x:v>
      </x:c>
      <x:c r="F440" s="70" t="str">
        <x:v>VCE</x:v>
      </x:c>
      <x:c r="G440" s="70" t="str">
        <x:v>澳大利亚／维多利亚</x:v>
      </x:c>
      <x:c r="H440" s="70" t="str">
        <x:v>整门课程</x:v>
      </x:c>
      <x:c r="I440" s="70" t="str">
        <x:v>按学科大纲；未展开考核明细</x:v>
      </x:c>
      <x:c r="J440" s="72"/>
      <x:c r="K440" s="70" t="str">
        <x:v>2026-09-17目录快照；按开课/考试年份复核</x:v>
      </x:c>
      <x:c r="L440" s="73" t="n">
        <x:v>4390</x:v>
      </x:c>
      <x:c r="M440" s="70" t="str">
        <x:v>VCE study层级；本版未展开Units 1–4、SAC/SAT或高等教育参与条件。ATAR不作为课程。 目录层条目；未预填并不代表没有考试/实践/校评。</x:v>
      </x:c>
      <x:c r="N440" s="70" t="str">
        <x:v>V3-VCE</x:v>
      </x:c>
    </x:row>
    <x:row r="441" ht="64" customHeight="1">
      <x:c r="A441" s="71" t="str">
        <x:v>C440</x:v>
      </x:c>
      <x:c r="B441" s="70" t="str">
        <x:v>S039</x:v>
      </x:c>
      <x:c r="C441" s="70" t="str">
        <x:v>VCE Food Studies VCE study</x:v>
      </x:c>
      <x:c r="D441" s="70" t="str">
        <x:v>VCE Food Studies VCE study</x:v>
      </x:c>
      <x:c r="E441" s="70" t="str">
        <x:v>Victorian Curriculum and Assessment Authority (VCAA)</x:v>
      </x:c>
      <x:c r="F441" s="70" t="str">
        <x:v>VCE</x:v>
      </x:c>
      <x:c r="G441" s="70" t="str">
        <x:v>澳大利亚／维多利亚</x:v>
      </x:c>
      <x:c r="H441" s="70" t="str">
        <x:v>整门课程</x:v>
      </x:c>
      <x:c r="I441" s="70" t="str">
        <x:v>按学科大纲；未展开考核明细</x:v>
      </x:c>
      <x:c r="J441" s="72"/>
      <x:c r="K441" s="70" t="str">
        <x:v>2026-09-17目录快照；按开课/考试年份复核</x:v>
      </x:c>
      <x:c r="L441" s="73" t="n">
        <x:v>4400</x:v>
      </x:c>
      <x:c r="M441" s="70" t="str">
        <x:v>VCE study层级；本版未展开Units 1–4、SAC/SAT或高等教育参与条件。ATAR不作为课程。 目录层条目；未预填并不代表没有考试/实践/校评。</x:v>
      </x:c>
      <x:c r="N441" s="70" t="str">
        <x:v>V3-VCE</x:v>
      </x:c>
    </x:row>
    <x:row r="442" ht="64" customHeight="1">
      <x:c r="A442" s="71" t="str">
        <x:v>C441</x:v>
      </x:c>
      <x:c r="B442" s="70" t="str">
        <x:v>S039</x:v>
      </x:c>
      <x:c r="C442" s="70" t="str">
        <x:v>VCE Agricultural and Horticultural Studies VCE study</x:v>
      </x:c>
      <x:c r="D442" s="70" t="str">
        <x:v>VCE Agricultural and Horticultural Studies VCE study</x:v>
      </x:c>
      <x:c r="E442" s="70" t="str">
        <x:v>Victorian Curriculum and Assessment Authority (VCAA)</x:v>
      </x:c>
      <x:c r="F442" s="70" t="str">
        <x:v>VCE</x:v>
      </x:c>
      <x:c r="G442" s="70" t="str">
        <x:v>澳大利亚／维多利亚</x:v>
      </x:c>
      <x:c r="H442" s="70" t="str">
        <x:v>整门课程</x:v>
      </x:c>
      <x:c r="I442" s="70" t="str">
        <x:v>按学科大纲；未展开考核明细</x:v>
      </x:c>
      <x:c r="J442" s="72"/>
      <x:c r="K442" s="70" t="str">
        <x:v>2026-09-17目录快照；按开课/考试年份复核</x:v>
      </x:c>
      <x:c r="L442" s="73" t="n">
        <x:v>4410</x:v>
      </x:c>
      <x:c r="M442" s="70" t="str">
        <x:v>VCE study层级；本版未展开Units 1–4、SAC/SAT或高等教育参与条件。ATAR不作为课程。 目录层条目；未预填并不代表没有考试/实践/校评。</x:v>
      </x:c>
      <x:c r="N442" s="70" t="str">
        <x:v>V3-VCE</x:v>
      </x:c>
    </x:row>
    <x:row r="443" ht="64" customHeight="1">
      <x:c r="A443" s="71" t="str">
        <x:v>C442</x:v>
      </x:c>
      <x:c r="B443" s="70" t="str">
        <x:v>S033</x:v>
      </x:c>
      <x:c r="C443" s="70" t="str">
        <x:v>VCE Product Design and Technologies VCE study</x:v>
      </x:c>
      <x:c r="D443" s="70" t="str">
        <x:v>VCE Product Design and Technologies VCE study</x:v>
      </x:c>
      <x:c r="E443" s="70" t="str">
        <x:v>Victorian Curriculum and Assessment Authority (VCAA)</x:v>
      </x:c>
      <x:c r="F443" s="70" t="str">
        <x:v>VCE</x:v>
      </x:c>
      <x:c r="G443" s="70" t="str">
        <x:v>澳大利亚／维多利亚</x:v>
      </x:c>
      <x:c r="H443" s="70" t="str">
        <x:v>整门课程</x:v>
      </x:c>
      <x:c r="I443" s="70" t="str">
        <x:v>按学科大纲；未展开考核明细</x:v>
      </x:c>
      <x:c r="J443" s="72"/>
      <x:c r="K443" s="70" t="str">
        <x:v>2026-09-17目录快照；按开课/考试年份复核</x:v>
      </x:c>
      <x:c r="L443" s="73" t="n">
        <x:v>4420</x:v>
      </x:c>
      <x:c r="M443" s="70" t="str">
        <x:v>VCE study层级；本版未展开Units 1–4、SAC/SAT或高等教育参与条件。ATAR不作为课程。 目录层条目；未预填并不代表没有考试/实践/校评。</x:v>
      </x:c>
      <x:c r="N443" s="70" t="str">
        <x:v>V3-VCE</x:v>
      </x:c>
    </x:row>
    <x:row r="444" ht="64" customHeight="1">
      <x:c r="A444" s="71" t="str">
        <x:v>C443</x:v>
      </x:c>
      <x:c r="B444" s="70" t="str">
        <x:v>S033</x:v>
      </x:c>
      <x:c r="C444" s="70" t="str">
        <x:v>VCE Systems Engineering VCE study</x:v>
      </x:c>
      <x:c r="D444" s="70" t="str">
        <x:v>VCE Systems Engineering VCE study</x:v>
      </x:c>
      <x:c r="E444" s="70" t="str">
        <x:v>Victorian Curriculum and Assessment Authority (VCAA)</x:v>
      </x:c>
      <x:c r="F444" s="70" t="str">
        <x:v>VCE</x:v>
      </x:c>
      <x:c r="G444" s="70" t="str">
        <x:v>澳大利亚／维多利亚</x:v>
      </x:c>
      <x:c r="H444" s="70" t="str">
        <x:v>整门课程</x:v>
      </x:c>
      <x:c r="I444" s="70" t="str">
        <x:v>按学科大纲；未展开考核明细</x:v>
      </x:c>
      <x:c r="J444" s="72"/>
      <x:c r="K444" s="70" t="str">
        <x:v>2026-09-17目录快照；按开课/考试年份复核</x:v>
      </x:c>
      <x:c r="L444" s="73" t="n">
        <x:v>4430</x:v>
      </x:c>
      <x:c r="M444" s="70" t="str">
        <x:v>VCE study层级；本版未展开Units 1–4、SAC/SAT或高等教育参与条件。ATAR不作为课程。 目录层条目；未预填并不代表没有考试/实践/校评。</x:v>
      </x:c>
      <x:c r="N444" s="70" t="str">
        <x:v>V3-VCE</x:v>
      </x:c>
    </x:row>
    <x:row r="445" ht="64" customHeight="1">
      <x:c r="A445" s="71" t="str">
        <x:v>C444</x:v>
      </x:c>
      <x:c r="B445" s="70" t="str">
        <x:v>S005</x:v>
      </x:c>
      <x:c r="C445" s="70" t="str">
        <x:v>VCE Applied Computing VCE study</x:v>
      </x:c>
      <x:c r="D445" s="70" t="str">
        <x:v>VCE Applied Computing VCE study</x:v>
      </x:c>
      <x:c r="E445" s="70" t="str">
        <x:v>Victorian Curriculum and Assessment Authority (VCAA)</x:v>
      </x:c>
      <x:c r="F445" s="70" t="str">
        <x:v>VCE</x:v>
      </x:c>
      <x:c r="G445" s="70" t="str">
        <x:v>澳大利亚／维多利亚</x:v>
      </x:c>
      <x:c r="H445" s="70" t="str">
        <x:v>整门课程</x:v>
      </x:c>
      <x:c r="I445" s="70" t="str">
        <x:v>按学科大纲；未展开考核明细</x:v>
      </x:c>
      <x:c r="J445" s="72"/>
      <x:c r="K445" s="70" t="str">
        <x:v>2026-09-17目录快照；按开课/考试年份复核</x:v>
      </x:c>
      <x:c r="L445" s="73" t="n">
        <x:v>4440</x:v>
      </x:c>
      <x:c r="M445" s="70" t="str">
        <x:v>VCE study层级；本版未展开Units 1–4、SAC/SAT或高等教育参与条件。ATAR不作为课程。 目录层条目；未预填并不代表没有考试/实践/校评。</x:v>
      </x:c>
      <x:c r="N445" s="70" t="str">
        <x:v>V3-VCE</x:v>
      </x:c>
    </x:row>
    <x:row r="446" ht="64" customHeight="1">
      <x:c r="A446" s="71" t="str">
        <x:v>C445</x:v>
      </x:c>
      <x:c r="B446" s="70" t="str">
        <x:v>S005</x:v>
      </x:c>
      <x:c r="C446" s="70" t="str">
        <x:v>VCE Algorithmics (HESS) VCE study</x:v>
      </x:c>
      <x:c r="D446" s="70" t="str">
        <x:v>VCE Algorithmics (HESS) VCE study</x:v>
      </x:c>
      <x:c r="E446" s="70" t="str">
        <x:v>Victorian Curriculum and Assessment Authority (VCAA)</x:v>
      </x:c>
      <x:c r="F446" s="70" t="str">
        <x:v>VCE</x:v>
      </x:c>
      <x:c r="G446" s="70" t="str">
        <x:v>澳大利亚／维多利亚</x:v>
      </x:c>
      <x:c r="H446" s="70" t="str">
        <x:v>整门课程</x:v>
      </x:c>
      <x:c r="I446" s="70" t="str">
        <x:v>按学科大纲；未展开考核明细</x:v>
      </x:c>
      <x:c r="J446" s="72"/>
      <x:c r="K446" s="70" t="str">
        <x:v>2026-09-17目录快照；按开课/考试年份复核</x:v>
      </x:c>
      <x:c r="L446" s="73" t="n">
        <x:v>4450</x:v>
      </x:c>
      <x:c r="M446" s="70" t="str">
        <x:v>VCE study层级；本版未展开Units 1–4、SAC/SAT或高等教育参与条件。ATAR不作为课程。 目录层条目；未预填并不代表没有考试/实践/校评。</x:v>
      </x:c>
      <x:c r="N446" s="70" t="str">
        <x:v>V3-VCE</x:v>
      </x:c>
    </x:row>
    <x:row r="447" ht="64" customHeight="1">
      <x:c r="A447" s="71" t="str">
        <x:v>C446</x:v>
      </x:c>
      <x:c r="B447" s="70" t="str">
        <x:v>S032</x:v>
      </x:c>
      <x:c r="C447" s="70" t="str">
        <x:v>VCE Health and Human Development VCE study</x:v>
      </x:c>
      <x:c r="D447" s="70" t="str">
        <x:v>VCE Health and Human Development VCE study</x:v>
      </x:c>
      <x:c r="E447" s="70" t="str">
        <x:v>Victorian Curriculum and Assessment Authority (VCAA)</x:v>
      </x:c>
      <x:c r="F447" s="70" t="str">
        <x:v>VCE</x:v>
      </x:c>
      <x:c r="G447" s="70" t="str">
        <x:v>澳大利亚／维多利亚</x:v>
      </x:c>
      <x:c r="H447" s="70" t="str">
        <x:v>整门课程</x:v>
      </x:c>
      <x:c r="I447" s="70" t="str">
        <x:v>按学科大纲；未展开考核明细</x:v>
      </x:c>
      <x:c r="J447" s="72"/>
      <x:c r="K447" s="70" t="str">
        <x:v>2026-09-17目录快照；按开课/考试年份复核</x:v>
      </x:c>
      <x:c r="L447" s="73" t="n">
        <x:v>4460</x:v>
      </x:c>
      <x:c r="M447" s="70" t="str">
        <x:v>VCE study层级；本版未展开Units 1–4、SAC/SAT或高等教育参与条件。ATAR不作为课程。 目录层条目；未预填并不代表没有考试/实践/校评。</x:v>
      </x:c>
      <x:c r="N447" s="70" t="str">
        <x:v>V3-VCE</x:v>
      </x:c>
    </x:row>
    <x:row r="448" ht="64" customHeight="1">
      <x:c r="A448" s="71" t="str">
        <x:v>C447</x:v>
      </x:c>
      <x:c r="B448" s="70" t="str">
        <x:v>S032</x:v>
      </x:c>
      <x:c r="C448" s="70" t="str">
        <x:v>VCE Physical Education VCE study</x:v>
      </x:c>
      <x:c r="D448" s="70" t="str">
        <x:v>VCE Physical Education VCE study</x:v>
      </x:c>
      <x:c r="E448" s="70" t="str">
        <x:v>Victorian Curriculum and Assessment Authority (VCAA)</x:v>
      </x:c>
      <x:c r="F448" s="70" t="str">
        <x:v>VCE</x:v>
      </x:c>
      <x:c r="G448" s="70" t="str">
        <x:v>澳大利亚／维多利亚</x:v>
      </x:c>
      <x:c r="H448" s="70" t="str">
        <x:v>整门课程</x:v>
      </x:c>
      <x:c r="I448" s="70" t="str">
        <x:v>按学科大纲；未展开考核明细</x:v>
      </x:c>
      <x:c r="J448" s="72"/>
      <x:c r="K448" s="70" t="str">
        <x:v>2026-09-17目录快照；按开课/考试年份复核</x:v>
      </x:c>
      <x:c r="L448" s="73" t="n">
        <x:v>4470</x:v>
      </x:c>
      <x:c r="M448" s="70" t="str">
        <x:v>VCE study层级；本版未展开Units 1–4、SAC/SAT或高等教育参与条件。ATAR不作为课程。 目录层条目；未预填并不代表没有考试/实践/校评。</x:v>
      </x:c>
      <x:c r="N448" s="70" t="str">
        <x:v>V3-VCE</x:v>
      </x:c>
    </x:row>
    <x:row r="449" ht="64" customHeight="1">
      <x:c r="A449" s="71" t="str">
        <x:v>C448</x:v>
      </x:c>
      <x:c r="B449" s="70" t="str">
        <x:v>S032</x:v>
      </x:c>
      <x:c r="C449" s="70" t="str">
        <x:v>VCE Outdoor and Environmental Studies VCE study</x:v>
      </x:c>
      <x:c r="D449" s="70" t="str">
        <x:v>VCE Outdoor and Environmental Studies VCE study</x:v>
      </x:c>
      <x:c r="E449" s="70" t="str">
        <x:v>Victorian Curriculum and Assessment Authority (VCAA)</x:v>
      </x:c>
      <x:c r="F449" s="70" t="str">
        <x:v>VCE</x:v>
      </x:c>
      <x:c r="G449" s="70" t="str">
        <x:v>澳大利亚／维多利亚</x:v>
      </x:c>
      <x:c r="H449" s="70" t="str">
        <x:v>整门课程</x:v>
      </x:c>
      <x:c r="I449" s="70" t="str">
        <x:v>按学科大纲；未展开考核明细</x:v>
      </x:c>
      <x:c r="J449" s="72"/>
      <x:c r="K449" s="70" t="str">
        <x:v>2026-09-17目录快照；按开课/考试年份复核</x:v>
      </x:c>
      <x:c r="L449" s="73" t="n">
        <x:v>4480</x:v>
      </x:c>
      <x:c r="M449" s="70" t="str">
        <x:v>VCE study层级；本版未展开Units 1–4、SAC/SAT或高等教育参与条件。ATAR不作为课程。 目录层条目；未预填并不代表没有考试/实践/校评。</x:v>
      </x:c>
      <x:c r="N449" s="70" t="str">
        <x:v>V3-VCE</x:v>
      </x:c>
    </x:row>
    <x:row r="450" ht="64" customHeight="1">
      <x:c r="A450" s="71" t="str">
        <x:v>C449</x:v>
      </x:c>
      <x:c r="B450" s="70" t="str">
        <x:v>S036</x:v>
      </x:c>
      <x:c r="C450" s="70" t="str">
        <x:v>VCE Extended Investigation VCE study</x:v>
      </x:c>
      <x:c r="D450" s="70" t="str">
        <x:v>VCE Extended Investigation VCE study</x:v>
      </x:c>
      <x:c r="E450" s="70" t="str">
        <x:v>Victorian Curriculum and Assessment Authority (VCAA)</x:v>
      </x:c>
      <x:c r="F450" s="70" t="str">
        <x:v>VCE</x:v>
      </x:c>
      <x:c r="G450" s="70" t="str">
        <x:v>澳大利亚／维多利亚</x:v>
      </x:c>
      <x:c r="H450" s="70" t="str">
        <x:v>整门课程</x:v>
      </x:c>
      <x:c r="I450" s="70" t="str">
        <x:v>按学科大纲；未展开考核明细</x:v>
      </x:c>
      <x:c r="J450" s="72"/>
      <x:c r="K450" s="70" t="str">
        <x:v>2026-09-17目录快照；按开课/考试年份复核</x:v>
      </x:c>
      <x:c r="L450" s="73" t="n">
        <x:v>4490</x:v>
      </x:c>
      <x:c r="M450" s="70" t="str">
        <x:v>VCE study层级；本版未展开Units 1–4、SAC/SAT或高等教育参与条件。ATAR不作为课程。 目录层条目；未预填并不代表没有考试/实践/校评。</x:v>
      </x:c>
      <x:c r="N450" s="70" t="str">
        <x:v>V3-VCE</x:v>
      </x:c>
    </x:row>
    <x:row r="451" ht="64" customHeight="1">
      <x:c r="A451" s="71" t="str">
        <x:v>C450</x:v>
      </x:c>
      <x:c r="B451" s="70" t="str">
        <x:v>S010</x:v>
      </x:c>
      <x:c r="C451" s="70" t="str">
        <x:v>VCE English and English as an Additional Language VCE study</x:v>
      </x:c>
      <x:c r="D451" s="70" t="str">
        <x:v>VCE English and English as an Additional Language VCE study</x:v>
      </x:c>
      <x:c r="E451" s="70" t="str">
        <x:v>Victorian Curriculum and Assessment Authority (VCAA)</x:v>
      </x:c>
      <x:c r="F451" s="70" t="str">
        <x:v>VCE</x:v>
      </x:c>
      <x:c r="G451" s="70" t="str">
        <x:v>澳大利亚／维多利亚</x:v>
      </x:c>
      <x:c r="H451" s="70" t="str">
        <x:v>整门课程</x:v>
      </x:c>
      <x:c r="I451" s="70" t="str">
        <x:v>按学科大纲；未展开考核明细</x:v>
      </x:c>
      <x:c r="J451" s="72"/>
      <x:c r="K451" s="70" t="str">
        <x:v>2026-09-17目录快照；按开课/考试年份复核</x:v>
      </x:c>
      <x:c r="L451" s="73" t="n">
        <x:v>4500</x:v>
      </x:c>
      <x:c r="M451" s="70" t="str">
        <x:v>共享study design；English与EAL的学生资格、课程路径和评价需在开课时区分。 目录层条目；未预填并不代表没有考试/实践/校评。</x:v>
      </x:c>
      <x:c r="N451" s="70" t="str">
        <x:v>V3-VCE</x:v>
      </x:c>
    </x:row>
    <x:row r="452" ht="64" customHeight="1">
      <x:c r="A452" s="71" t="str">
        <x:v>C451</x:v>
      </x:c>
      <x:c r="B452" s="70" t="str">
        <x:v>S010</x:v>
      </x:c>
      <x:c r="C452" s="70" t="str">
        <x:v>HSC English Advanced Years 11–12</x:v>
      </x:c>
      <x:c r="D452" s="70" t="str">
        <x:v>HSC English Advanced Years 11–12</x:v>
      </x:c>
      <x:c r="E452" s="70" t="str">
        <x:v>NSW Education Standards Authority (NESA)</x:v>
      </x:c>
      <x:c r="F452" s="70" t="str">
        <x:v>HSC</x:v>
      </x:c>
      <x:c r="G452" s="70" t="str">
        <x:v>澳大利亚／新南威尔士</x:v>
      </x:c>
      <x:c r="H452" s="70" t="str">
        <x:v>整门课程</x:v>
      </x:c>
      <x:c r="I452" s="70" t="str">
        <x:v>按学科大纲；未展开考核明细</x:v>
      </x:c>
      <x:c r="J452" s="72"/>
      <x:c r="K452" s="70" t="str">
        <x:v>2026目录；新旧syllabus按Year 11/12及首考年份分别选择</x:v>
      </x:c>
      <x:c r="L452" s="73" t="n">
        <x:v>4510</x:v>
      </x:c>
      <x:c r="M452" s="70" t="str">
        <x:v>NESA课程目录级；部分Extension课程仅高年级适用，以具体大纲为准。不同版本不按同名覆盖旧记录。 目录层条目；未预填并不代表没有考试/实践/校评。</x:v>
      </x:c>
      <x:c r="N452" s="70" t="str">
        <x:v>V3-HSC</x:v>
      </x:c>
    </x:row>
    <x:row r="453" ht="64" customHeight="1">
      <x:c r="A453" s="71" t="str">
        <x:v>C452</x:v>
      </x:c>
      <x:c r="B453" s="70" t="str">
        <x:v>S010</x:v>
      </x:c>
      <x:c r="C453" s="70" t="str">
        <x:v>HSC English Standard Years 11–12</x:v>
      </x:c>
      <x:c r="D453" s="70" t="str">
        <x:v>HSC English Standard Years 11–12</x:v>
      </x:c>
      <x:c r="E453" s="70" t="str">
        <x:v>NSW Education Standards Authority (NESA)</x:v>
      </x:c>
      <x:c r="F453" s="70" t="str">
        <x:v>HSC</x:v>
      </x:c>
      <x:c r="G453" s="70" t="str">
        <x:v>澳大利亚／新南威尔士</x:v>
      </x:c>
      <x:c r="H453" s="70" t="str">
        <x:v>整门课程</x:v>
      </x:c>
      <x:c r="I453" s="70" t="str">
        <x:v>按学科大纲；未展开考核明细</x:v>
      </x:c>
      <x:c r="J453" s="72"/>
      <x:c r="K453" s="70" t="str">
        <x:v>2026目录；新旧syllabus按Year 11/12及首考年份分别选择</x:v>
      </x:c>
      <x:c r="L453" s="73" t="n">
        <x:v>4520</x:v>
      </x:c>
      <x:c r="M453" s="70" t="str">
        <x:v>NESA课程目录级；部分Extension课程仅高年级适用，以具体大纲为准。不同版本不按同名覆盖旧记录。 目录层条目；未预填并不代表没有考试/实践/校评。</x:v>
      </x:c>
      <x:c r="N453" s="70" t="str">
        <x:v>V3-HSC</x:v>
      </x:c>
    </x:row>
    <x:row r="454" ht="64" customHeight="1">
      <x:c r="A454" s="71" t="str">
        <x:v>C453</x:v>
      </x:c>
      <x:c r="B454" s="70" t="str">
        <x:v>S010</x:v>
      </x:c>
      <x:c r="C454" s="70" t="str">
        <x:v>HSC English EAL/D Years 11–12</x:v>
      </x:c>
      <x:c r="D454" s="70" t="str">
        <x:v>HSC English EAL/D Years 11–12</x:v>
      </x:c>
      <x:c r="E454" s="70" t="str">
        <x:v>NSW Education Standards Authority (NESA)</x:v>
      </x:c>
      <x:c r="F454" s="70" t="str">
        <x:v>HSC</x:v>
      </x:c>
      <x:c r="G454" s="70" t="str">
        <x:v>澳大利亚／新南威尔士</x:v>
      </x:c>
      <x:c r="H454" s="70" t="str">
        <x:v>整门课程</x:v>
      </x:c>
      <x:c r="I454" s="70" t="str">
        <x:v>按学科大纲；未展开考核明细</x:v>
      </x:c>
      <x:c r="J454" s="72"/>
      <x:c r="K454" s="70" t="str">
        <x:v>2026目录；新旧syllabus按Year 11/12及首考年份分别选择</x:v>
      </x:c>
      <x:c r="L454" s="73" t="n">
        <x:v>4530</x:v>
      </x:c>
      <x:c r="M454" s="70" t="str">
        <x:v>NESA课程目录级；部分Extension课程仅高年级适用，以具体大纲为准。不同版本不按同名覆盖旧记录。 目录层条目；未预填并不代表没有考试/实践/校评。</x:v>
      </x:c>
      <x:c r="N454" s="70" t="str">
        <x:v>V3-HSC</x:v>
      </x:c>
    </x:row>
    <x:row r="455" ht="64" customHeight="1">
      <x:c r="A455" s="71" t="str">
        <x:v>C454</x:v>
      </x:c>
      <x:c r="B455" s="70" t="str">
        <x:v>S010</x:v>
      </x:c>
      <x:c r="C455" s="70" t="str">
        <x:v>HSC English Extension Years 11–12</x:v>
      </x:c>
      <x:c r="D455" s="70" t="str">
        <x:v>HSC English Extension Years 11–12</x:v>
      </x:c>
      <x:c r="E455" s="70" t="str">
        <x:v>NSW Education Standards Authority (NESA)</x:v>
      </x:c>
      <x:c r="F455" s="70" t="str">
        <x:v>HSC</x:v>
      </x:c>
      <x:c r="G455" s="70" t="str">
        <x:v>澳大利亚／新南威尔士</x:v>
      </x:c>
      <x:c r="H455" s="70" t="str">
        <x:v>整门课程</x:v>
      </x:c>
      <x:c r="I455" s="70" t="str">
        <x:v>按学科大纲；未展开考核明细</x:v>
      </x:c>
      <x:c r="J455" s="72"/>
      <x:c r="K455" s="70" t="str">
        <x:v>2026目录；新旧syllabus按Year 11/12及首考年份分别选择</x:v>
      </x:c>
      <x:c r="L455" s="73" t="n">
        <x:v>4540</x:v>
      </x:c>
      <x:c r="M455" s="70" t="str">
        <x:v>NESA课程目录级；部分Extension课程仅高年级适用，以具体大纲为准。不同版本不按同名覆盖旧记录。 目录层条目；未预填并不代表没有考试/实践/校评。</x:v>
      </x:c>
      <x:c r="N455" s="70" t="str">
        <x:v>V3-HSC</x:v>
      </x:c>
    </x:row>
    <x:row r="456" ht="64" customHeight="1">
      <x:c r="A456" s="71" t="str">
        <x:v>C455</x:v>
      </x:c>
      <x:c r="B456" s="70" t="str">
        <x:v>S001</x:v>
      </x:c>
      <x:c r="C456" s="70" t="str">
        <x:v>HSC Mathematics Advanced Years 11–12</x:v>
      </x:c>
      <x:c r="D456" s="70" t="str">
        <x:v>HSC Mathematics Advanced Years 11–12</x:v>
      </x:c>
      <x:c r="E456" s="70" t="str">
        <x:v>NSW Education Standards Authority (NESA)</x:v>
      </x:c>
      <x:c r="F456" s="70" t="str">
        <x:v>HSC</x:v>
      </x:c>
      <x:c r="G456" s="70" t="str">
        <x:v>澳大利亚／新南威尔士</x:v>
      </x:c>
      <x:c r="H456" s="70" t="str">
        <x:v>整门课程</x:v>
      </x:c>
      <x:c r="I456" s="70" t="str">
        <x:v>按学科大纲；未展开考核明细</x:v>
      </x:c>
      <x:c r="J456" s="72"/>
      <x:c r="K456" s="70" t="str">
        <x:v>2026目录；新旧syllabus按Year 11/12及首考年份分别选择</x:v>
      </x:c>
      <x:c r="L456" s="73" t="n">
        <x:v>4550</x:v>
      </x:c>
      <x:c r="M456" s="70" t="str">
        <x:v>NESA课程目录级；部分Extension课程仅高年级适用，以具体大纲为准。不同版本不按同名覆盖旧记录。 目录层条目；未预填并不代表没有考试/实践/校评。</x:v>
      </x:c>
      <x:c r="N456" s="70" t="str">
        <x:v>V3-HSC</x:v>
      </x:c>
    </x:row>
    <x:row r="457" ht="64" customHeight="1">
      <x:c r="A457" s="71" t="str">
        <x:v>C456</x:v>
      </x:c>
      <x:c r="B457" s="70" t="str">
        <x:v>S001</x:v>
      </x:c>
      <x:c r="C457" s="70" t="str">
        <x:v>HSC Mathematics Standard Years 11–12</x:v>
      </x:c>
      <x:c r="D457" s="70" t="str">
        <x:v>HSC Mathematics Standard Years 11–12</x:v>
      </x:c>
      <x:c r="E457" s="70" t="str">
        <x:v>NSW Education Standards Authority (NESA)</x:v>
      </x:c>
      <x:c r="F457" s="70" t="str">
        <x:v>HSC</x:v>
      </x:c>
      <x:c r="G457" s="70" t="str">
        <x:v>澳大利亚／新南威尔士</x:v>
      </x:c>
      <x:c r="H457" s="70" t="str">
        <x:v>整门课程</x:v>
      </x:c>
      <x:c r="I457" s="70" t="str">
        <x:v>按学科大纲；未展开考核明细</x:v>
      </x:c>
      <x:c r="J457" s="72"/>
      <x:c r="K457" s="70" t="str">
        <x:v>2026目录；新旧syllabus按Year 11/12及首考年份分别选择</x:v>
      </x:c>
      <x:c r="L457" s="73" t="n">
        <x:v>4560</x:v>
      </x:c>
      <x:c r="M457" s="70" t="str">
        <x:v>NESA课程目录级；部分Extension课程仅高年级适用，以具体大纲为准。不同版本不按同名覆盖旧记录。 目录层条目；未预填并不代表没有考试/实践/校评。</x:v>
      </x:c>
      <x:c r="N457" s="70" t="str">
        <x:v>V3-HSC</x:v>
      </x:c>
    </x:row>
    <x:row r="458" ht="64" customHeight="1">
      <x:c r="A458" s="71" t="str">
        <x:v>C457</x:v>
      </x:c>
      <x:c r="B458" s="70" t="str">
        <x:v>S001</x:v>
      </x:c>
      <x:c r="C458" s="70" t="str">
        <x:v>HSC Mathematics Extension 1 Years 11–12</x:v>
      </x:c>
      <x:c r="D458" s="70" t="str">
        <x:v>HSC Mathematics Extension 1 Years 11–12</x:v>
      </x:c>
      <x:c r="E458" s="70" t="str">
        <x:v>NSW Education Standards Authority (NESA)</x:v>
      </x:c>
      <x:c r="F458" s="70" t="str">
        <x:v>HSC</x:v>
      </x:c>
      <x:c r="G458" s="70" t="str">
        <x:v>澳大利亚／新南威尔士</x:v>
      </x:c>
      <x:c r="H458" s="70" t="str">
        <x:v>整门课程</x:v>
      </x:c>
      <x:c r="I458" s="70" t="str">
        <x:v>按学科大纲；未展开考核明细</x:v>
      </x:c>
      <x:c r="J458" s="72"/>
      <x:c r="K458" s="70" t="str">
        <x:v>2026目录；新旧syllabus按Year 11/12及首考年份分别选择</x:v>
      </x:c>
      <x:c r="L458" s="73" t="n">
        <x:v>4570</x:v>
      </x:c>
      <x:c r="M458" s="70" t="str">
        <x:v>NESA课程目录级；部分Extension课程仅高年级适用，以具体大纲为准。不同版本不按同名覆盖旧记录。 目录层条目；未预填并不代表没有考试/实践/校评。</x:v>
      </x:c>
      <x:c r="N458" s="70" t="str">
        <x:v>V3-HSC</x:v>
      </x:c>
    </x:row>
    <x:row r="459" ht="64" customHeight="1">
      <x:c r="A459" s="71" t="str">
        <x:v>C458</x:v>
      </x:c>
      <x:c r="B459" s="70" t="str">
        <x:v>S001</x:v>
      </x:c>
      <x:c r="C459" s="70" t="str">
        <x:v>HSC Mathematics Extension 2 Years 11–12</x:v>
      </x:c>
      <x:c r="D459" s="70" t="str">
        <x:v>HSC Mathematics Extension 2 Years 11–12</x:v>
      </x:c>
      <x:c r="E459" s="70" t="str">
        <x:v>NSW Education Standards Authority (NESA)</x:v>
      </x:c>
      <x:c r="F459" s="70" t="str">
        <x:v>HSC</x:v>
      </x:c>
      <x:c r="G459" s="70" t="str">
        <x:v>澳大利亚／新南威尔士</x:v>
      </x:c>
      <x:c r="H459" s="70" t="str">
        <x:v>整门课程</x:v>
      </x:c>
      <x:c r="I459" s="70" t="str">
        <x:v>按学科大纲；未展开考核明细</x:v>
      </x:c>
      <x:c r="J459" s="72"/>
      <x:c r="K459" s="70" t="str">
        <x:v>2026目录；新旧syllabus按Year 11/12及首考年份分别选择</x:v>
      </x:c>
      <x:c r="L459" s="73" t="n">
        <x:v>4580</x:v>
      </x:c>
      <x:c r="M459" s="70" t="str">
        <x:v>NESA课程目录级；部分Extension课程仅高年级适用，以具体大纲为准。不同版本不按同名覆盖旧记录。 目录层条目；未预填并不代表没有考试/实践/校评。</x:v>
      </x:c>
      <x:c r="N459" s="70" t="str">
        <x:v>V3-HSC</x:v>
      </x:c>
    </x:row>
    <x:row r="460" ht="64" customHeight="1">
      <x:c r="A460" s="71" t="str">
        <x:v>C459</x:v>
      </x:c>
      <x:c r="B460" s="70" t="str">
        <x:v>S004</x:v>
      </x:c>
      <x:c r="C460" s="70" t="str">
        <x:v>HSC Biology Years 11–12</x:v>
      </x:c>
      <x:c r="D460" s="70" t="str">
        <x:v>HSC Biology Years 11–12</x:v>
      </x:c>
      <x:c r="E460" s="70" t="str">
        <x:v>NSW Education Standards Authority (NESA)</x:v>
      </x:c>
      <x:c r="F460" s="70" t="str">
        <x:v>HSC</x:v>
      </x:c>
      <x:c r="G460" s="70" t="str">
        <x:v>澳大利亚／新南威尔士</x:v>
      </x:c>
      <x:c r="H460" s="70" t="str">
        <x:v>整门课程</x:v>
      </x:c>
      <x:c r="I460" s="70" t="str">
        <x:v>按学科大纲；未展开考核明细</x:v>
      </x:c>
      <x:c r="J460" s="72"/>
      <x:c r="K460" s="70" t="str">
        <x:v>2026目录；新旧syllabus按Year 11/12及首考年份分别选择</x:v>
      </x:c>
      <x:c r="L460" s="73" t="n">
        <x:v>4590</x:v>
      </x:c>
      <x:c r="M460" s="70" t="str">
        <x:v>NESA课程目录级；部分Extension课程仅高年级适用，以具体大纲为准。不同版本不按同名覆盖旧记录。 目录层条目；未预填并不代表没有考试/实践/校评。</x:v>
      </x:c>
      <x:c r="N460" s="70" t="str">
        <x:v>V3-HSC</x:v>
      </x:c>
    </x:row>
    <x:row r="461" ht="64" customHeight="1">
      <x:c r="A461" s="71" t="str">
        <x:v>C460</x:v>
      </x:c>
      <x:c r="B461" s="70" t="str">
        <x:v>S003</x:v>
      </x:c>
      <x:c r="C461" s="70" t="str">
        <x:v>HSC Chemistry Years 11–12</x:v>
      </x:c>
      <x:c r="D461" s="70" t="str">
        <x:v>HSC Chemistry Years 11–12</x:v>
      </x:c>
      <x:c r="E461" s="70" t="str">
        <x:v>NSW Education Standards Authority (NESA)</x:v>
      </x:c>
      <x:c r="F461" s="70" t="str">
        <x:v>HSC</x:v>
      </x:c>
      <x:c r="G461" s="70" t="str">
        <x:v>澳大利亚／新南威尔士</x:v>
      </x:c>
      <x:c r="H461" s="70" t="str">
        <x:v>整门课程</x:v>
      </x:c>
      <x:c r="I461" s="70" t="str">
        <x:v>按学科大纲；未展开考核明细</x:v>
      </x:c>
      <x:c r="J461" s="72"/>
      <x:c r="K461" s="70" t="str">
        <x:v>2026目录；新旧syllabus按Year 11/12及首考年份分别选择</x:v>
      </x:c>
      <x:c r="L461" s="73" t="n">
        <x:v>4600</x:v>
      </x:c>
      <x:c r="M461" s="70" t="str">
        <x:v>NESA课程目录级；部分Extension课程仅高年级适用，以具体大纲为准。不同版本不按同名覆盖旧记录。 目录层条目；未预填并不代表没有考试/实践/校评。</x:v>
      </x:c>
      <x:c r="N461" s="70" t="str">
        <x:v>V3-HSC</x:v>
      </x:c>
    </x:row>
    <x:row r="462" ht="64" customHeight="1">
      <x:c r="A462" s="71" t="str">
        <x:v>C461</x:v>
      </x:c>
      <x:c r="B462" s="70" t="str">
        <x:v>S002</x:v>
      </x:c>
      <x:c r="C462" s="70" t="str">
        <x:v>HSC Physics Years 11–12</x:v>
      </x:c>
      <x:c r="D462" s="70" t="str">
        <x:v>HSC Physics Years 11–12</x:v>
      </x:c>
      <x:c r="E462" s="70" t="str">
        <x:v>NSW Education Standards Authority (NESA)</x:v>
      </x:c>
      <x:c r="F462" s="70" t="str">
        <x:v>HSC</x:v>
      </x:c>
      <x:c r="G462" s="70" t="str">
        <x:v>澳大利亚／新南威尔士</x:v>
      </x:c>
      <x:c r="H462" s="70" t="str">
        <x:v>整门课程</x:v>
      </x:c>
      <x:c r="I462" s="70" t="str">
        <x:v>按学科大纲；未展开考核明细</x:v>
      </x:c>
      <x:c r="J462" s="72"/>
      <x:c r="K462" s="70" t="str">
        <x:v>2026目录；新旧syllabus按Year 11/12及首考年份分别选择</x:v>
      </x:c>
      <x:c r="L462" s="73" t="n">
        <x:v>4610</x:v>
      </x:c>
      <x:c r="M462" s="70" t="str">
        <x:v>NESA课程目录级；部分Extension课程仅高年级适用，以具体大纲为准。不同版本不按同名覆盖旧记录。 目录层条目；未预填并不代表没有考试/实践/校评。</x:v>
      </x:c>
      <x:c r="N462" s="70" t="str">
        <x:v>V3-HSC</x:v>
      </x:c>
    </x:row>
    <x:row r="463" ht="64" customHeight="1">
      <x:c r="A463" s="71" t="str">
        <x:v>C462</x:v>
      </x:c>
      <x:c r="B463" s="70" t="str">
        <x:v>S031</x:v>
      </x:c>
      <x:c r="C463" s="70" t="str">
        <x:v>HSC Earth and Environmental Science Years 11–12</x:v>
      </x:c>
      <x:c r="D463" s="70" t="str">
        <x:v>HSC Earth and Environmental Science Years 11–12</x:v>
      </x:c>
      <x:c r="E463" s="70" t="str">
        <x:v>NSW Education Standards Authority (NESA)</x:v>
      </x:c>
      <x:c r="F463" s="70" t="str">
        <x:v>HSC</x:v>
      </x:c>
      <x:c r="G463" s="70" t="str">
        <x:v>澳大利亚／新南威尔士</x:v>
      </x:c>
      <x:c r="H463" s="70" t="str">
        <x:v>整门课程</x:v>
      </x:c>
      <x:c r="I463" s="70" t="str">
        <x:v>按学科大纲；未展开考核明细</x:v>
      </x:c>
      <x:c r="J463" s="72"/>
      <x:c r="K463" s="70" t="str">
        <x:v>2026目录；新旧syllabus按Year 11/12及首考年份分别选择</x:v>
      </x:c>
      <x:c r="L463" s="73" t="n">
        <x:v>4620</x:v>
      </x:c>
      <x:c r="M463" s="70" t="str">
        <x:v>NESA课程目录级；部分Extension课程仅高年级适用，以具体大纲为准。不同版本不按同名覆盖旧记录。 目录层条目；未预填并不代表没有考试/实践/校评。</x:v>
      </x:c>
      <x:c r="N463" s="70" t="str">
        <x:v>V3-HSC</x:v>
      </x:c>
    </x:row>
    <x:row r="464" ht="64" customHeight="1">
      <x:c r="A464" s="71" t="str">
        <x:v>C463</x:v>
      </x:c>
      <x:c r="B464" s="70" t="str">
        <x:v>S008</x:v>
      </x:c>
      <x:c r="C464" s="70" t="str">
        <x:v>HSC Business Studies Years 11–12</x:v>
      </x:c>
      <x:c r="D464" s="70" t="str">
        <x:v>HSC Business Studies Years 11–12</x:v>
      </x:c>
      <x:c r="E464" s="70" t="str">
        <x:v>NSW Education Standards Authority (NESA)</x:v>
      </x:c>
      <x:c r="F464" s="70" t="str">
        <x:v>HSC</x:v>
      </x:c>
      <x:c r="G464" s="70" t="str">
        <x:v>澳大利亚／新南威尔士</x:v>
      </x:c>
      <x:c r="H464" s="70" t="str">
        <x:v>整门课程</x:v>
      </x:c>
      <x:c r="I464" s="70" t="str">
        <x:v>按学科大纲；未展开考核明细</x:v>
      </x:c>
      <x:c r="J464" s="72"/>
      <x:c r="K464" s="70" t="str">
        <x:v>2026目录；新旧syllabus按Year 11/12及首考年份分别选择</x:v>
      </x:c>
      <x:c r="L464" s="73" t="n">
        <x:v>4630</x:v>
      </x:c>
      <x:c r="M464" s="70" t="str">
        <x:v>NESA课程目录级；部分Extension课程仅高年级适用，以具体大纲为准。不同版本不按同名覆盖旧记录。 目录层条目；未预填并不代表没有考试/实践/校评。</x:v>
      </x:c>
      <x:c r="N464" s="70" t="str">
        <x:v>V3-HSC</x:v>
      </x:c>
    </x:row>
    <x:row r="465" ht="64" customHeight="1">
      <x:c r="A465" s="71" t="str">
        <x:v>C464</x:v>
      </x:c>
      <x:c r="B465" s="70" t="str">
        <x:v>S007</x:v>
      </x:c>
      <x:c r="C465" s="70" t="str">
        <x:v>HSC Economics Years 11–12</x:v>
      </x:c>
      <x:c r="D465" s="70" t="str">
        <x:v>HSC Economics Years 11–12</x:v>
      </x:c>
      <x:c r="E465" s="70" t="str">
        <x:v>NSW Education Standards Authority (NESA)</x:v>
      </x:c>
      <x:c r="F465" s="70" t="str">
        <x:v>HSC</x:v>
      </x:c>
      <x:c r="G465" s="70" t="str">
        <x:v>澳大利亚／新南威尔士</x:v>
      </x:c>
      <x:c r="H465" s="70" t="str">
        <x:v>整门课程</x:v>
      </x:c>
      <x:c r="I465" s="70" t="str">
        <x:v>按学科大纲；未展开考核明细</x:v>
      </x:c>
      <x:c r="J465" s="72"/>
      <x:c r="K465" s="70" t="str">
        <x:v>2026目录；新旧syllabus按Year 11/12及首考年份分别选择</x:v>
      </x:c>
      <x:c r="L465" s="73" t="n">
        <x:v>4640</x:v>
      </x:c>
      <x:c r="M465" s="70" t="str">
        <x:v>NESA课程目录级；部分Extension课程仅高年级适用，以具体大纲为准。不同版本不按同名覆盖旧记录。 目录层条目；未预填并不代表没有考试/实践/校评。</x:v>
      </x:c>
      <x:c r="N465" s="70" t="str">
        <x:v>V3-HSC</x:v>
      </x:c>
    </x:row>
    <x:row r="466" ht="64" customHeight="1">
      <x:c r="A466" s="71" t="str">
        <x:v>C465</x:v>
      </x:c>
      <x:c r="B466" s="70" t="str">
        <x:v>S011</x:v>
      </x:c>
      <x:c r="C466" s="70" t="str">
        <x:v>HSC Ancient History Years 11–12</x:v>
      </x:c>
      <x:c r="D466" s="70" t="str">
        <x:v>HSC Ancient History Years 11–12</x:v>
      </x:c>
      <x:c r="E466" s="70" t="str">
        <x:v>NSW Education Standards Authority (NESA)</x:v>
      </x:c>
      <x:c r="F466" s="70" t="str">
        <x:v>HSC</x:v>
      </x:c>
      <x:c r="G466" s="70" t="str">
        <x:v>澳大利亚／新南威尔士</x:v>
      </x:c>
      <x:c r="H466" s="70" t="str">
        <x:v>整门课程</x:v>
      </x:c>
      <x:c r="I466" s="70" t="str">
        <x:v>按学科大纲；未展开考核明细</x:v>
      </x:c>
      <x:c r="J466" s="72"/>
      <x:c r="K466" s="70" t="str">
        <x:v>2026目录；新旧syllabus按Year 11/12及首考年份分别选择</x:v>
      </x:c>
      <x:c r="L466" s="73" t="n">
        <x:v>4650</x:v>
      </x:c>
      <x:c r="M466" s="70" t="str">
        <x:v>NESA课程目录级；部分Extension课程仅高年级适用，以具体大纲为准。不同版本不按同名覆盖旧记录。 目录层条目；未预填并不代表没有考试/实践/校评。</x:v>
      </x:c>
      <x:c r="N466" s="70" t="str">
        <x:v>V3-HSC</x:v>
      </x:c>
    </x:row>
    <x:row r="467" ht="64" customHeight="1">
      <x:c r="A467" s="71" t="str">
        <x:v>C466</x:v>
      </x:c>
      <x:c r="B467" s="70" t="str">
        <x:v>S012</x:v>
      </x:c>
      <x:c r="C467" s="70" t="str">
        <x:v>HSC Geography Years 11–12</x:v>
      </x:c>
      <x:c r="D467" s="70" t="str">
        <x:v>HSC Geography Years 11–12</x:v>
      </x:c>
      <x:c r="E467" s="70" t="str">
        <x:v>NSW Education Standards Authority (NESA)</x:v>
      </x:c>
      <x:c r="F467" s="70" t="str">
        <x:v>HSC</x:v>
      </x:c>
      <x:c r="G467" s="70" t="str">
        <x:v>澳大利亚／新南威尔士</x:v>
      </x:c>
      <x:c r="H467" s="70" t="str">
        <x:v>整门课程</x:v>
      </x:c>
      <x:c r="I467" s="70" t="str">
        <x:v>按学科大纲；未展开考核明细</x:v>
      </x:c>
      <x:c r="J467" s="72"/>
      <x:c r="K467" s="70" t="str">
        <x:v>2026目录；新旧syllabus按Year 11/12及首考年份分别选择</x:v>
      </x:c>
      <x:c r="L467" s="73" t="n">
        <x:v>4660</x:v>
      </x:c>
      <x:c r="M467" s="70" t="str">
        <x:v>NESA课程目录级；部分Extension课程仅高年级适用，以具体大纲为准。不同版本不按同名覆盖旧记录。 目录层条目；未预填并不代表没有考试/实践/校评。</x:v>
      </x:c>
      <x:c r="N467" s="70" t="str">
        <x:v>V3-HSC</x:v>
      </x:c>
    </x:row>
    <x:row r="468" ht="64" customHeight="1">
      <x:c r="A468" s="71" t="str">
        <x:v>C467</x:v>
      </x:c>
      <x:c r="B468" s="70" t="str">
        <x:v>S033</x:v>
      </x:c>
      <x:c r="C468" s="70" t="str">
        <x:v>HSC Engineering Studies Years 11–12</x:v>
      </x:c>
      <x:c r="D468" s="70" t="str">
        <x:v>HSC Engineering Studies Years 11–12</x:v>
      </x:c>
      <x:c r="E468" s="70" t="str">
        <x:v>NSW Education Standards Authority (NESA)</x:v>
      </x:c>
      <x:c r="F468" s="70" t="str">
        <x:v>HSC</x:v>
      </x:c>
      <x:c r="G468" s="70" t="str">
        <x:v>澳大利亚／新南威尔士</x:v>
      </x:c>
      <x:c r="H468" s="70" t="str">
        <x:v>整门课程</x:v>
      </x:c>
      <x:c r="I468" s="70" t="str">
        <x:v>按学科大纲；未展开考核明细</x:v>
      </x:c>
      <x:c r="J468" s="72"/>
      <x:c r="K468" s="70" t="str">
        <x:v>2026目录；新旧syllabus按Year 11/12及首考年份分别选择</x:v>
      </x:c>
      <x:c r="L468" s="73" t="n">
        <x:v>4670</x:v>
      </x:c>
      <x:c r="M468" s="70" t="str">
        <x:v>NESA课程目录级；部分Extension课程仅高年级适用，以具体大纲为准。不同版本不按同名覆盖旧记录。 目录层条目；未预填并不代表没有考试/实践/校评。</x:v>
      </x:c>
      <x:c r="N468" s="70" t="str">
        <x:v>V3-HSC</x:v>
      </x:c>
    </x:row>
    <x:row r="469" ht="64" customHeight="1">
      <x:c r="A469" s="71" t="str">
        <x:v>C468</x:v>
      </x:c>
      <x:c r="B469" s="70" t="str">
        <x:v>S033</x:v>
      </x:c>
      <x:c r="C469" s="70" t="str">
        <x:v>HSC Design and Technology Years 11–12</x:v>
      </x:c>
      <x:c r="D469" s="70" t="str">
        <x:v>HSC Design and Technology Years 11–12</x:v>
      </x:c>
      <x:c r="E469" s="70" t="str">
        <x:v>NSW Education Standards Authority (NESA)</x:v>
      </x:c>
      <x:c r="F469" s="70" t="str">
        <x:v>HSC</x:v>
      </x:c>
      <x:c r="G469" s="70" t="str">
        <x:v>澳大利亚／新南威尔士</x:v>
      </x:c>
      <x:c r="H469" s="70" t="str">
        <x:v>整门课程</x:v>
      </x:c>
      <x:c r="I469" s="70" t="str">
        <x:v>按学科大纲；未展开考核明细</x:v>
      </x:c>
      <x:c r="J469" s="72"/>
      <x:c r="K469" s="70" t="str">
        <x:v>2026目录；新旧syllabus按Year 11/12及首考年份分别选择</x:v>
      </x:c>
      <x:c r="L469" s="73" t="n">
        <x:v>4680</x:v>
      </x:c>
      <x:c r="M469" s="70" t="str">
        <x:v>NESA课程目录级；部分Extension课程仅高年级适用，以具体大纲为准。不同版本不按同名覆盖旧记录。 目录层条目；未预填并不代表没有考试/实践/校评。</x:v>
      </x:c>
      <x:c r="N469" s="70" t="str">
        <x:v>V3-HSC</x:v>
      </x:c>
    </x:row>
    <x:row r="470" ht="64" customHeight="1">
      <x:c r="A470" s="71" t="str">
        <x:v>C469</x:v>
      </x:c>
      <x:c r="B470" s="70" t="str">
        <x:v>S005</x:v>
      </x:c>
      <x:c r="C470" s="70" t="str">
        <x:v>HSC Software Engineering Years 11–12</x:v>
      </x:c>
      <x:c r="D470" s="70" t="str">
        <x:v>HSC Software Engineering Years 11–12</x:v>
      </x:c>
      <x:c r="E470" s="70" t="str">
        <x:v>NSW Education Standards Authority (NESA)</x:v>
      </x:c>
      <x:c r="F470" s="70" t="str">
        <x:v>HSC</x:v>
      </x:c>
      <x:c r="G470" s="70" t="str">
        <x:v>澳大利亚／新南威尔士</x:v>
      </x:c>
      <x:c r="H470" s="70" t="str">
        <x:v>整门课程</x:v>
      </x:c>
      <x:c r="I470" s="70" t="str">
        <x:v>按学科大纲；未展开考核明细</x:v>
      </x:c>
      <x:c r="J470" s="72"/>
      <x:c r="K470" s="70" t="str">
        <x:v>2026目录；新旧syllabus按Year 11/12及首考年份分别选择</x:v>
      </x:c>
      <x:c r="L470" s="73" t="n">
        <x:v>4690</x:v>
      </x:c>
      <x:c r="M470" s="70" t="str">
        <x:v>NESA课程目录级；部分Extension课程仅高年级适用，以具体大纲为准。不同版本不按同名覆盖旧记录。 目录层条目；未预填并不代表没有考试/实践/校评。</x:v>
      </x:c>
      <x:c r="N470" s="70" t="str">
        <x:v>V3-HSC</x:v>
      </x:c>
    </x:row>
    <x:row r="471" ht="64" customHeight="1">
      <x:c r="A471" s="71" t="str">
        <x:v>C470</x:v>
      </x:c>
      <x:c r="B471" s="70" t="str">
        <x:v>S006</x:v>
      </x:c>
      <x:c r="C471" s="70" t="str">
        <x:v>HSC Enterprise Computing Years 11–12</x:v>
      </x:c>
      <x:c r="D471" s="70" t="str">
        <x:v>HSC Enterprise Computing Years 11–12</x:v>
      </x:c>
      <x:c r="E471" s="70" t="str">
        <x:v>NSW Education Standards Authority (NESA)</x:v>
      </x:c>
      <x:c r="F471" s="70" t="str">
        <x:v>HSC</x:v>
      </x:c>
      <x:c r="G471" s="70" t="str">
        <x:v>澳大利亚／新南威尔士</x:v>
      </x:c>
      <x:c r="H471" s="70" t="str">
        <x:v>整门课程</x:v>
      </x:c>
      <x:c r="I471" s="70" t="str">
        <x:v>按学科大纲；未展开考核明细</x:v>
      </x:c>
      <x:c r="J471" s="72"/>
      <x:c r="K471" s="70" t="str">
        <x:v>2026目录；新旧syllabus按Year 11/12及首考年份分别选择</x:v>
      </x:c>
      <x:c r="L471" s="73" t="n">
        <x:v>4700</x:v>
      </x:c>
      <x:c r="M471" s="70" t="str">
        <x:v>NESA课程目录级；部分Extension课程仅高年级适用，以具体大纲为准。不同版本不按同名覆盖旧记录。 目录层条目；未预填并不代表没有考试/实践/校评。</x:v>
      </x:c>
      <x:c r="N471" s="70" t="str">
        <x:v>V3-HSC</x:v>
      </x:c>
    </x:row>
    <x:row r="472" ht="64" customHeight="1">
      <x:c r="A472" s="71" t="str">
        <x:v>C471</x:v>
      </x:c>
      <x:c r="B472" s="70" t="str">
        <x:v>S010</x:v>
      </x:c>
      <x:c r="C472" s="70" t="str">
        <x:v>CBSE English Core Classes XI–XII</x:v>
      </x:c>
      <x:c r="D472" s="70" t="str">
        <x:v>CBSE English Core Classes XI–XII</x:v>
      </x:c>
      <x:c r="E472" s="70" t="str">
        <x:v>Central Board of Secondary Education (CBSE)</x:v>
      </x:c>
      <x:c r="F472" s="70" t="str">
        <x:v>CBSE Senior Secondary</x:v>
      </x:c>
      <x:c r="G472" s="70" t="str">
        <x:v>印度／海外CBSE学校</x:v>
      </x:c>
      <x:c r="H472" s="70" t="str">
        <x:v>整门课程</x:v>
      </x:c>
      <x:c r="I472" s="70" t="str">
        <x:v>按学科大纲；未展开考核明细</x:v>
      </x:c>
      <x:c r="J472" s="72"/>
      <x:c r="K472" s="70" t="str">
        <x:v>CBSE curriculum 2026–2027</x:v>
      </x:c>
      <x:c r="L472" s="73" t="n">
        <x:v>4710</x:v>
      </x:c>
      <x:c r="M472" s="70" t="str">
        <x:v>官网Senior Secondary主目录；未逐份展开专业/语言分支、实践分数和报名代码。 目录层条目；未预填并不代表没有考试/实践/校评。</x:v>
      </x:c>
      <x:c r="N472" s="70" t="str">
        <x:v>V3-CBSE</x:v>
      </x:c>
    </x:row>
    <x:row r="473" ht="64" customHeight="1">
      <x:c r="A473" s="71" t="str">
        <x:v>C472</x:v>
      </x:c>
      <x:c r="B473" s="70" t="str">
        <x:v>S010</x:v>
      </x:c>
      <x:c r="C473" s="70" t="str">
        <x:v>CBSE English Elective Classes XI–XII</x:v>
      </x:c>
      <x:c r="D473" s="70" t="str">
        <x:v>CBSE English Elective Classes XI–XII</x:v>
      </x:c>
      <x:c r="E473" s="70" t="str">
        <x:v>Central Board of Secondary Education (CBSE)</x:v>
      </x:c>
      <x:c r="F473" s="70" t="str">
        <x:v>CBSE Senior Secondary</x:v>
      </x:c>
      <x:c r="G473" s="70" t="str">
        <x:v>印度／海外CBSE学校</x:v>
      </x:c>
      <x:c r="H473" s="70" t="str">
        <x:v>整门课程</x:v>
      </x:c>
      <x:c r="I473" s="70" t="str">
        <x:v>按学科大纲；未展开考核明细</x:v>
      </x:c>
      <x:c r="J473" s="72"/>
      <x:c r="K473" s="70" t="str">
        <x:v>CBSE curriculum 2026–2027</x:v>
      </x:c>
      <x:c r="L473" s="73" t="n">
        <x:v>4720</x:v>
      </x:c>
      <x:c r="M473" s="70" t="str">
        <x:v>官网Senior Secondary主目录；未逐份展开专业/语言分支、实践分数和报名代码。 目录层条目；未预填并不代表没有考试/实践/校评。</x:v>
      </x:c>
      <x:c r="N473" s="70" t="str">
        <x:v>V3-CBSE</x:v>
      </x:c>
    </x:row>
    <x:row r="474" ht="64" customHeight="1">
      <x:c r="A474" s="71" t="str">
        <x:v>C473</x:v>
      </x:c>
      <x:c r="B474" s="70" t="str">
        <x:v>S025</x:v>
      </x:c>
      <x:c r="C474" s="70" t="str">
        <x:v>CBSE Hindi Core Classes XI–XII</x:v>
      </x:c>
      <x:c r="D474" s="70" t="str">
        <x:v>CBSE Hindi Core Classes XI–XII</x:v>
      </x:c>
      <x:c r="E474" s="70" t="str">
        <x:v>Central Board of Secondary Education (CBSE)</x:v>
      </x:c>
      <x:c r="F474" s="70" t="str">
        <x:v>CBSE Senior Secondary</x:v>
      </x:c>
      <x:c r="G474" s="70" t="str">
        <x:v>印度／海外CBSE学校</x:v>
      </x:c>
      <x:c r="H474" s="70" t="str">
        <x:v>整门课程</x:v>
      </x:c>
      <x:c r="I474" s="70" t="str">
        <x:v>按学科大纲；未展开考核明细</x:v>
      </x:c>
      <x:c r="J474" s="72"/>
      <x:c r="K474" s="70" t="str">
        <x:v>CBSE curriculum 2026–2027</x:v>
      </x:c>
      <x:c r="L474" s="73" t="n">
        <x:v>4730</x:v>
      </x:c>
      <x:c r="M474" s="70" t="str">
        <x:v>官网Senior Secondary主目录；未逐份展开专业/语言分支、实践分数和报名代码。 目录层条目；未预填并不代表没有考试/实践/校评。</x:v>
      </x:c>
      <x:c r="N474" s="70" t="str">
        <x:v>V3-CBSE</x:v>
      </x:c>
    </x:row>
    <x:row r="475" ht="64" customHeight="1">
      <x:c r="A475" s="71" t="str">
        <x:v>C474</x:v>
      </x:c>
      <x:c r="B475" s="70" t="str">
        <x:v>S025</x:v>
      </x:c>
      <x:c r="C475" s="70" t="str">
        <x:v>CBSE Hindi Elective Classes XI–XII</x:v>
      </x:c>
      <x:c r="D475" s="70" t="str">
        <x:v>CBSE Hindi Elective Classes XI–XII</x:v>
      </x:c>
      <x:c r="E475" s="70" t="str">
        <x:v>Central Board of Secondary Education (CBSE)</x:v>
      </x:c>
      <x:c r="F475" s="70" t="str">
        <x:v>CBSE Senior Secondary</x:v>
      </x:c>
      <x:c r="G475" s="70" t="str">
        <x:v>印度／海外CBSE学校</x:v>
      </x:c>
      <x:c r="H475" s="70" t="str">
        <x:v>整门课程</x:v>
      </x:c>
      <x:c r="I475" s="70" t="str">
        <x:v>按学科大纲；未展开考核明细</x:v>
      </x:c>
      <x:c r="J475" s="72"/>
      <x:c r="K475" s="70" t="str">
        <x:v>CBSE curriculum 2026–2027</x:v>
      </x:c>
      <x:c r="L475" s="73" t="n">
        <x:v>4740</x:v>
      </x:c>
      <x:c r="M475" s="70" t="str">
        <x:v>官网Senior Secondary主目录；未逐份展开专业/语言分支、实践分数和报名代码。 目录层条目；未预填并不代表没有考试/实践/校评。</x:v>
      </x:c>
      <x:c r="N475" s="70" t="str">
        <x:v>V3-CBSE</x:v>
      </x:c>
    </x:row>
    <x:row r="476" ht="64" customHeight="1">
      <x:c r="A476" s="71" t="str">
        <x:v>C475</x:v>
      </x:c>
      <x:c r="B476" s="70" t="str">
        <x:v>S009</x:v>
      </x:c>
      <x:c r="C476" s="70" t="str">
        <x:v>CBSE Accountancy Classes XI–XII</x:v>
      </x:c>
      <x:c r="D476" s="70" t="str">
        <x:v>CBSE Accountancy Classes XI–XII</x:v>
      </x:c>
      <x:c r="E476" s="70" t="str">
        <x:v>Central Board of Secondary Education (CBSE)</x:v>
      </x:c>
      <x:c r="F476" s="70" t="str">
        <x:v>CBSE Senior Secondary</x:v>
      </x:c>
      <x:c r="G476" s="70" t="str">
        <x:v>印度／海外CBSE学校</x:v>
      </x:c>
      <x:c r="H476" s="70" t="str">
        <x:v>整门课程</x:v>
      </x:c>
      <x:c r="I476" s="70" t="str">
        <x:v>按学科大纲；未展开考核明细</x:v>
      </x:c>
      <x:c r="J476" s="72"/>
      <x:c r="K476" s="70" t="str">
        <x:v>CBSE curriculum 2026–2027</x:v>
      </x:c>
      <x:c r="L476" s="73" t="n">
        <x:v>4750</x:v>
      </x:c>
      <x:c r="M476" s="70" t="str">
        <x:v>官网Senior Secondary主目录；未逐份展开专业/语言分支、实践分数和报名代码。 目录层条目；未预填并不代表没有考试/实践/校评。</x:v>
      </x:c>
      <x:c r="N476" s="70" t="str">
        <x:v>V3-CBSE</x:v>
      </x:c>
    </x:row>
    <x:row r="477" ht="64" customHeight="1">
      <x:c r="A477" s="71" t="str">
        <x:v>C476</x:v>
      </x:c>
      <x:c r="B477" s="70" t="str">
        <x:v>S004</x:v>
      </x:c>
      <x:c r="C477" s="70" t="str">
        <x:v>CBSE Biology Classes XI–XII</x:v>
      </x:c>
      <x:c r="D477" s="70" t="str">
        <x:v>CBSE Biology Classes XI–XII</x:v>
      </x:c>
      <x:c r="E477" s="70" t="str">
        <x:v>Central Board of Secondary Education (CBSE)</x:v>
      </x:c>
      <x:c r="F477" s="70" t="str">
        <x:v>CBSE Senior Secondary</x:v>
      </x:c>
      <x:c r="G477" s="70" t="str">
        <x:v>印度／海外CBSE学校</x:v>
      </x:c>
      <x:c r="H477" s="70" t="str">
        <x:v>整门课程</x:v>
      </x:c>
      <x:c r="I477" s="70" t="str">
        <x:v>按学科大纲；未展开考核明细</x:v>
      </x:c>
      <x:c r="J477" s="72"/>
      <x:c r="K477" s="70" t="str">
        <x:v>CBSE curriculum 2026–2027</x:v>
      </x:c>
      <x:c r="L477" s="73" t="n">
        <x:v>4760</x:v>
      </x:c>
      <x:c r="M477" s="70" t="str">
        <x:v>官网Senior Secondary主目录；未逐份展开专业/语言分支、实践分数和报名代码。 目录层条目；未预填并不代表没有考试/实践/校评。</x:v>
      </x:c>
      <x:c r="N477" s="70" t="str">
        <x:v>V3-CBSE</x:v>
      </x:c>
    </x:row>
    <x:row r="478" ht="64" customHeight="1">
      <x:c r="A478" s="71" t="str">
        <x:v>C477</x:v>
      </x:c>
      <x:c r="B478" s="70" t="str">
        <x:v>S004</x:v>
      </x:c>
      <x:c r="C478" s="70" t="str">
        <x:v>CBSE Biotechnology Classes XI–XII</x:v>
      </x:c>
      <x:c r="D478" s="70" t="str">
        <x:v>CBSE Biotechnology Classes XI–XII</x:v>
      </x:c>
      <x:c r="E478" s="70" t="str">
        <x:v>Central Board of Secondary Education (CBSE)</x:v>
      </x:c>
      <x:c r="F478" s="70" t="str">
        <x:v>CBSE Senior Secondary</x:v>
      </x:c>
      <x:c r="G478" s="70" t="str">
        <x:v>印度／海外CBSE学校</x:v>
      </x:c>
      <x:c r="H478" s="70" t="str">
        <x:v>整门课程</x:v>
      </x:c>
      <x:c r="I478" s="70" t="str">
        <x:v>按学科大纲；未展开考核明细</x:v>
      </x:c>
      <x:c r="J478" s="72"/>
      <x:c r="K478" s="70" t="str">
        <x:v>CBSE curriculum 2026–2027</x:v>
      </x:c>
      <x:c r="L478" s="73" t="n">
        <x:v>4770</x:v>
      </x:c>
      <x:c r="M478" s="70" t="str">
        <x:v>官网Senior Secondary主目录；未逐份展开专业/语言分支、实践分数和报名代码。 目录层条目；未预填并不代表没有考试/实践/校评。</x:v>
      </x:c>
      <x:c r="N478" s="70" t="str">
        <x:v>V3-CBSE</x:v>
      </x:c>
    </x:row>
    <x:row r="479" ht="64" customHeight="1">
      <x:c r="A479" s="71" t="str">
        <x:v>C478</x:v>
      </x:c>
      <x:c r="B479" s="70" t="str">
        <x:v>S008</x:v>
      </x:c>
      <x:c r="C479" s="70" t="str">
        <x:v>CBSE Business Studies Classes XI–XII</x:v>
      </x:c>
      <x:c r="D479" s="70" t="str">
        <x:v>CBSE Business Studies Classes XI–XII</x:v>
      </x:c>
      <x:c r="E479" s="70" t="str">
        <x:v>Central Board of Secondary Education (CBSE)</x:v>
      </x:c>
      <x:c r="F479" s="70" t="str">
        <x:v>CBSE Senior Secondary</x:v>
      </x:c>
      <x:c r="G479" s="70" t="str">
        <x:v>印度／海外CBSE学校</x:v>
      </x:c>
      <x:c r="H479" s="70" t="str">
        <x:v>整门课程</x:v>
      </x:c>
      <x:c r="I479" s="70" t="str">
        <x:v>按学科大纲；未展开考核明细</x:v>
      </x:c>
      <x:c r="J479" s="72"/>
      <x:c r="K479" s="70" t="str">
        <x:v>CBSE curriculum 2026–2027</x:v>
      </x:c>
      <x:c r="L479" s="73" t="n">
        <x:v>4780</x:v>
      </x:c>
      <x:c r="M479" s="70" t="str">
        <x:v>官网Senior Secondary主目录；未逐份展开专业/语言分支、实践分数和报名代码。 目录层条目；未预填并不代表没有考试/实践/校评。</x:v>
      </x:c>
      <x:c r="N479" s="70" t="str">
        <x:v>V3-CBSE</x:v>
      </x:c>
    </x:row>
    <x:row r="480" ht="64" customHeight="1">
      <x:c r="A480" s="71" t="str">
        <x:v>C479</x:v>
      </x:c>
      <x:c r="B480" s="70" t="str">
        <x:v>S003</x:v>
      </x:c>
      <x:c r="C480" s="70" t="str">
        <x:v>CBSE Chemistry Classes XI–XII</x:v>
      </x:c>
      <x:c r="D480" s="70" t="str">
        <x:v>CBSE Chemistry Classes XI–XII</x:v>
      </x:c>
      <x:c r="E480" s="70" t="str">
        <x:v>Central Board of Secondary Education (CBSE)</x:v>
      </x:c>
      <x:c r="F480" s="70" t="str">
        <x:v>CBSE Senior Secondary</x:v>
      </x:c>
      <x:c r="G480" s="70" t="str">
        <x:v>印度／海外CBSE学校</x:v>
      </x:c>
      <x:c r="H480" s="70" t="str">
        <x:v>整门课程</x:v>
      </x:c>
      <x:c r="I480" s="70" t="str">
        <x:v>按学科大纲；未展开考核明细</x:v>
      </x:c>
      <x:c r="J480" s="72"/>
      <x:c r="K480" s="70" t="str">
        <x:v>CBSE curriculum 2026–2027</x:v>
      </x:c>
      <x:c r="L480" s="73" t="n">
        <x:v>4790</x:v>
      </x:c>
      <x:c r="M480" s="70" t="str">
        <x:v>官网Senior Secondary主目录；未逐份展开专业/语言分支、实践分数和报名代码。 目录层条目；未预填并不代表没有考试/实践/校评。</x:v>
      </x:c>
      <x:c r="N480" s="70" t="str">
        <x:v>V3-CBSE</x:v>
      </x:c>
    </x:row>
    <x:row r="481" ht="64" customHeight="1">
      <x:c r="A481" s="71" t="str">
        <x:v>C480</x:v>
      </x:c>
      <x:c r="B481" s="70" t="str">
        <x:v>S005</x:v>
      </x:c>
      <x:c r="C481" s="70" t="str">
        <x:v>CBSE Computer Science Classes XI–XII</x:v>
      </x:c>
      <x:c r="D481" s="70" t="str">
        <x:v>CBSE Computer Science Classes XI–XII</x:v>
      </x:c>
      <x:c r="E481" s="70" t="str">
        <x:v>Central Board of Secondary Education (CBSE)</x:v>
      </x:c>
      <x:c r="F481" s="70" t="str">
        <x:v>CBSE Senior Secondary</x:v>
      </x:c>
      <x:c r="G481" s="70" t="str">
        <x:v>印度／海外CBSE学校</x:v>
      </x:c>
      <x:c r="H481" s="70" t="str">
        <x:v>整门课程</x:v>
      </x:c>
      <x:c r="I481" s="70" t="str">
        <x:v>按学科大纲；未展开考核明细</x:v>
      </x:c>
      <x:c r="J481" s="72"/>
      <x:c r="K481" s="70" t="str">
        <x:v>CBSE curriculum 2026–2027</x:v>
      </x:c>
      <x:c r="L481" s="73" t="n">
        <x:v>4800</x:v>
      </x:c>
      <x:c r="M481" s="70" t="str">
        <x:v>官网Senior Secondary主目录；未逐份展开专业/语言分支、实践分数和报名代码。 目录层条目；未预填并不代表没有考试/实践/校评。</x:v>
      </x:c>
      <x:c r="N481" s="70" t="str">
        <x:v>V3-CBSE</x:v>
      </x:c>
    </x:row>
    <x:row r="482" ht="64" customHeight="1">
      <x:c r="A482" s="71" t="str">
        <x:v>C481</x:v>
      </x:c>
      <x:c r="B482" s="70" t="str">
        <x:v>S007</x:v>
      </x:c>
      <x:c r="C482" s="70" t="str">
        <x:v>CBSE Economics Classes XI–XII</x:v>
      </x:c>
      <x:c r="D482" s="70" t="str">
        <x:v>CBSE Economics Classes XI–XII</x:v>
      </x:c>
      <x:c r="E482" s="70" t="str">
        <x:v>Central Board of Secondary Education (CBSE)</x:v>
      </x:c>
      <x:c r="F482" s="70" t="str">
        <x:v>CBSE Senior Secondary</x:v>
      </x:c>
      <x:c r="G482" s="70" t="str">
        <x:v>印度／海外CBSE学校</x:v>
      </x:c>
      <x:c r="H482" s="70" t="str">
        <x:v>整门课程</x:v>
      </x:c>
      <x:c r="I482" s="70" t="str">
        <x:v>按学科大纲；未展开考核明细</x:v>
      </x:c>
      <x:c r="J482" s="72"/>
      <x:c r="K482" s="70" t="str">
        <x:v>CBSE curriculum 2026–2027</x:v>
      </x:c>
      <x:c r="L482" s="73" t="n">
        <x:v>4810</x:v>
      </x:c>
      <x:c r="M482" s="70" t="str">
        <x:v>官网Senior Secondary主目录；未逐份展开专业/语言分支、实践分数和报名代码。 目录层条目；未预填并不代表没有考试/实践/校评。</x:v>
      </x:c>
      <x:c r="N482" s="70" t="str">
        <x:v>V3-CBSE</x:v>
      </x:c>
    </x:row>
    <x:row r="483" ht="64" customHeight="1">
      <x:c r="A483" s="71" t="str">
        <x:v>C482</x:v>
      </x:c>
      <x:c r="B483" s="70" t="str">
        <x:v>S033</x:v>
      </x:c>
      <x:c r="C483" s="70" t="str">
        <x:v>CBSE Engineering Graphics Classes XI–XII</x:v>
      </x:c>
      <x:c r="D483" s="70" t="str">
        <x:v>CBSE Engineering Graphics Classes XI–XII</x:v>
      </x:c>
      <x:c r="E483" s="70" t="str">
        <x:v>Central Board of Secondary Education (CBSE)</x:v>
      </x:c>
      <x:c r="F483" s="70" t="str">
        <x:v>CBSE Senior Secondary</x:v>
      </x:c>
      <x:c r="G483" s="70" t="str">
        <x:v>印度／海外CBSE学校</x:v>
      </x:c>
      <x:c r="H483" s="70" t="str">
        <x:v>整门课程</x:v>
      </x:c>
      <x:c r="I483" s="70" t="str">
        <x:v>按学科大纲；未展开考核明细</x:v>
      </x:c>
      <x:c r="J483" s="72"/>
      <x:c r="K483" s="70" t="str">
        <x:v>CBSE curriculum 2026–2027</x:v>
      </x:c>
      <x:c r="L483" s="73" t="n">
        <x:v>4820</x:v>
      </x:c>
      <x:c r="M483" s="70" t="str">
        <x:v>官网Senior Secondary主目录；未逐份展开专业/语言分支、实践分数和报名代码。 目录层条目；未预填并不代表没有考试/实践/校评。</x:v>
      </x:c>
      <x:c r="N483" s="70" t="str">
        <x:v>V3-CBSE</x:v>
      </x:c>
    </x:row>
    <x:row r="484" ht="64" customHeight="1">
      <x:c r="A484" s="71" t="str">
        <x:v>C483</x:v>
      </x:c>
      <x:c r="B484" s="70" t="str">
        <x:v>S008</x:v>
      </x:c>
      <x:c r="C484" s="70" t="str">
        <x:v>CBSE Entrepreneurship Classes XI–XII</x:v>
      </x:c>
      <x:c r="D484" s="70" t="str">
        <x:v>CBSE Entrepreneurship Classes XI–XII</x:v>
      </x:c>
      <x:c r="E484" s="70" t="str">
        <x:v>Central Board of Secondary Education (CBSE)</x:v>
      </x:c>
      <x:c r="F484" s="70" t="str">
        <x:v>CBSE Senior Secondary</x:v>
      </x:c>
      <x:c r="G484" s="70" t="str">
        <x:v>印度／海外CBSE学校</x:v>
      </x:c>
      <x:c r="H484" s="70" t="str">
        <x:v>整门课程</x:v>
      </x:c>
      <x:c r="I484" s="70" t="str">
        <x:v>按学科大纲；未展开考核明细</x:v>
      </x:c>
      <x:c r="J484" s="72"/>
      <x:c r="K484" s="70" t="str">
        <x:v>CBSE curriculum 2026–2027</x:v>
      </x:c>
      <x:c r="L484" s="73" t="n">
        <x:v>4830</x:v>
      </x:c>
      <x:c r="M484" s="70" t="str">
        <x:v>官网Senior Secondary主目录；未逐份展开专业/语言分支、实践分数和报名代码。 目录层条目；未预填并不代表没有考试/实践/校评。</x:v>
      </x:c>
      <x:c r="N484" s="70" t="str">
        <x:v>V3-CBSE</x:v>
      </x:c>
    </x:row>
    <x:row r="485" ht="64" customHeight="1">
      <x:c r="A485" s="71" t="str">
        <x:v>C484</x:v>
      </x:c>
      <x:c r="B485" s="70" t="str">
        <x:v>S026</x:v>
      </x:c>
      <x:c r="C485" s="70" t="str">
        <x:v>CBSE Fine Arts Classes XI–XII</x:v>
      </x:c>
      <x:c r="D485" s="70" t="str">
        <x:v>CBSE Fine Arts Classes XI–XII</x:v>
      </x:c>
      <x:c r="E485" s="70" t="str">
        <x:v>Central Board of Secondary Education (CBSE)</x:v>
      </x:c>
      <x:c r="F485" s="70" t="str">
        <x:v>CBSE Senior Secondary</x:v>
      </x:c>
      <x:c r="G485" s="70" t="str">
        <x:v>印度／海外CBSE学校</x:v>
      </x:c>
      <x:c r="H485" s="70" t="str">
        <x:v>整门课程</x:v>
      </x:c>
      <x:c r="I485" s="70" t="str">
        <x:v>按学科大纲；未展开考核明细</x:v>
      </x:c>
      <x:c r="J485" s="72"/>
      <x:c r="K485" s="70" t="str">
        <x:v>CBSE curriculum 2026–2027</x:v>
      </x:c>
      <x:c r="L485" s="73" t="n">
        <x:v>4840</x:v>
      </x:c>
      <x:c r="M485" s="70" t="str">
        <x:v>官网Senior Secondary主目录；未逐份展开专业/语言分支、实践分数和报名代码。 目录层条目；未预填并不代表没有考试/实践/校评。</x:v>
      </x:c>
      <x:c r="N485" s="70" t="str">
        <x:v>V3-CBSE</x:v>
      </x:c>
    </x:row>
    <x:row r="486" ht="64" customHeight="1">
      <x:c r="A486" s="71" t="str">
        <x:v>C485</x:v>
      </x:c>
      <x:c r="B486" s="70" t="str">
        <x:v>S012</x:v>
      </x:c>
      <x:c r="C486" s="70" t="str">
        <x:v>CBSE Geography Classes XI–XII</x:v>
      </x:c>
      <x:c r="D486" s="70" t="str">
        <x:v>CBSE Geography Classes XI–XII</x:v>
      </x:c>
      <x:c r="E486" s="70" t="str">
        <x:v>Central Board of Secondary Education (CBSE)</x:v>
      </x:c>
      <x:c r="F486" s="70" t="str">
        <x:v>CBSE Senior Secondary</x:v>
      </x:c>
      <x:c r="G486" s="70" t="str">
        <x:v>印度／海外CBSE学校</x:v>
      </x:c>
      <x:c r="H486" s="70" t="str">
        <x:v>整门课程</x:v>
      </x:c>
      <x:c r="I486" s="70" t="str">
        <x:v>按学科大纲；未展开考核明细</x:v>
      </x:c>
      <x:c r="J486" s="72"/>
      <x:c r="K486" s="70" t="str">
        <x:v>CBSE curriculum 2026–2027</x:v>
      </x:c>
      <x:c r="L486" s="73" t="n">
        <x:v>4850</x:v>
      </x:c>
      <x:c r="M486" s="70" t="str">
        <x:v>官网Senior Secondary主目录；未逐份展开专业/语言分支、实践分数和报名代码。 目录层条目；未预填并不代表没有考试/实践/校评。</x:v>
      </x:c>
      <x:c r="N486" s="70" t="str">
        <x:v>V3-CBSE</x:v>
      </x:c>
    </x:row>
    <x:row r="487" ht="64" customHeight="1">
      <x:c r="A487" s="71" t="str">
        <x:v>C486</x:v>
      </x:c>
      <x:c r="B487" s="70" t="str">
        <x:v>S011</x:v>
      </x:c>
      <x:c r="C487" s="70" t="str">
        <x:v>CBSE History Classes XI–XII</x:v>
      </x:c>
      <x:c r="D487" s="70" t="str">
        <x:v>CBSE History Classes XI–XII</x:v>
      </x:c>
      <x:c r="E487" s="70" t="str">
        <x:v>Central Board of Secondary Education (CBSE)</x:v>
      </x:c>
      <x:c r="F487" s="70" t="str">
        <x:v>CBSE Senior Secondary</x:v>
      </x:c>
      <x:c r="G487" s="70" t="str">
        <x:v>印度／海外CBSE学校</x:v>
      </x:c>
      <x:c r="H487" s="70" t="str">
        <x:v>整门课程</x:v>
      </x:c>
      <x:c r="I487" s="70" t="str">
        <x:v>按学科大纲；未展开考核明细</x:v>
      </x:c>
      <x:c r="J487" s="72"/>
      <x:c r="K487" s="70" t="str">
        <x:v>CBSE curriculum 2026–2027</x:v>
      </x:c>
      <x:c r="L487" s="73" t="n">
        <x:v>4860</x:v>
      </x:c>
      <x:c r="M487" s="70" t="str">
        <x:v>官网Senior Secondary主目录；未逐份展开专业/语言分支、实践分数和报名代码。 目录层条目；未预填并不代表没有考试/实践/校评。</x:v>
      </x:c>
      <x:c r="N487" s="70" t="str">
        <x:v>V3-CBSE</x:v>
      </x:c>
    </x:row>
    <x:row r="488" ht="64" customHeight="1">
      <x:c r="A488" s="71" t="str">
        <x:v>C487</x:v>
      </x:c>
      <x:c r="B488" s="70" t="str">
        <x:v>S039</x:v>
      </x:c>
      <x:c r="C488" s="70" t="str">
        <x:v>CBSE Home Science Classes XI–XII</x:v>
      </x:c>
      <x:c r="D488" s="70" t="str">
        <x:v>CBSE Home Science Classes XI–XII</x:v>
      </x:c>
      <x:c r="E488" s="70" t="str">
        <x:v>Central Board of Secondary Education (CBSE)</x:v>
      </x:c>
      <x:c r="F488" s="70" t="str">
        <x:v>CBSE Senior Secondary</x:v>
      </x:c>
      <x:c r="G488" s="70" t="str">
        <x:v>印度／海外CBSE学校</x:v>
      </x:c>
      <x:c r="H488" s="70" t="str">
        <x:v>整门课程</x:v>
      </x:c>
      <x:c r="I488" s="70" t="str">
        <x:v>按学科大纲；未展开考核明细</x:v>
      </x:c>
      <x:c r="J488" s="72"/>
      <x:c r="K488" s="70" t="str">
        <x:v>CBSE curriculum 2026–2027</x:v>
      </x:c>
      <x:c r="L488" s="73" t="n">
        <x:v>4870</x:v>
      </x:c>
      <x:c r="M488" s="70" t="str">
        <x:v>官网Senior Secondary主目录；未逐份展开专业/语言分支、实践分数和报名代码。 目录层条目；未预填并不代表没有考试/实践/校评。</x:v>
      </x:c>
      <x:c r="N488" s="70" t="str">
        <x:v>V3-CBSE</x:v>
      </x:c>
    </x:row>
    <x:row r="489" ht="64" customHeight="1">
      <x:c r="A489" s="71" t="str">
        <x:v>C488</x:v>
      </x:c>
      <x:c r="B489" s="70" t="str">
        <x:v>S006</x:v>
      </x:c>
      <x:c r="C489" s="70" t="str">
        <x:v>CBSE Informatics Practices Classes XI–XII</x:v>
      </x:c>
      <x:c r="D489" s="70" t="str">
        <x:v>CBSE Informatics Practices Classes XI–XII</x:v>
      </x:c>
      <x:c r="E489" s="70" t="str">
        <x:v>Central Board of Secondary Education (CBSE)</x:v>
      </x:c>
      <x:c r="F489" s="70" t="str">
        <x:v>CBSE Senior Secondary</x:v>
      </x:c>
      <x:c r="G489" s="70" t="str">
        <x:v>印度／海外CBSE学校</x:v>
      </x:c>
      <x:c r="H489" s="70" t="str">
        <x:v>整门课程</x:v>
      </x:c>
      <x:c r="I489" s="70" t="str">
        <x:v>按学科大纲；未展开考核明细</x:v>
      </x:c>
      <x:c r="J489" s="72"/>
      <x:c r="K489" s="70" t="str">
        <x:v>CBSE curriculum 2026–2027</x:v>
      </x:c>
      <x:c r="L489" s="73" t="n">
        <x:v>4880</x:v>
      </x:c>
      <x:c r="M489" s="70" t="str">
        <x:v>官网Senior Secondary主目录；未逐份展开专业/语言分支、实践分数和报名代码。 目录层条目；未预填并不代表没有考试/实践/校评。</x:v>
      </x:c>
      <x:c r="N489" s="70" t="str">
        <x:v>V3-CBSE</x:v>
      </x:c>
    </x:row>
    <x:row r="490" ht="64" customHeight="1">
      <x:c r="A490" s="71" t="str">
        <x:v>C489</x:v>
      </x:c>
      <x:c r="B490" s="70" t="str">
        <x:v>S014</x:v>
      </x:c>
      <x:c r="C490" s="70" t="str">
        <x:v>CBSE Legal Studies Classes XI–XII</x:v>
      </x:c>
      <x:c r="D490" s="70" t="str">
        <x:v>CBSE Legal Studies Classes XI–XII</x:v>
      </x:c>
      <x:c r="E490" s="70" t="str">
        <x:v>Central Board of Secondary Education (CBSE)</x:v>
      </x:c>
      <x:c r="F490" s="70" t="str">
        <x:v>CBSE Senior Secondary</x:v>
      </x:c>
      <x:c r="G490" s="70" t="str">
        <x:v>印度／海外CBSE学校</x:v>
      </x:c>
      <x:c r="H490" s="70" t="str">
        <x:v>整门课程</x:v>
      </x:c>
      <x:c r="I490" s="70" t="str">
        <x:v>按学科大纲；未展开考核明细</x:v>
      </x:c>
      <x:c r="J490" s="72"/>
      <x:c r="K490" s="70" t="str">
        <x:v>CBSE curriculum 2026–2027</x:v>
      </x:c>
      <x:c r="L490" s="73" t="n">
        <x:v>4890</x:v>
      </x:c>
      <x:c r="M490" s="70" t="str">
        <x:v>官网Senior Secondary主目录；未逐份展开专业/语言分支、实践分数和报名代码。 目录层条目；未预填并不代表没有考试/实践/校评。</x:v>
      </x:c>
      <x:c r="N490" s="70" t="str">
        <x:v>V3-CBSE</x:v>
      </x:c>
    </x:row>
    <x:row r="491" ht="64" customHeight="1">
      <x:c r="A491" s="71" t="str">
        <x:v>C490</x:v>
      </x:c>
      <x:c r="B491" s="70" t="str">
        <x:v>S001</x:v>
      </x:c>
      <x:c r="C491" s="70" t="str">
        <x:v>CBSE Mathematics Classes XI–XII</x:v>
      </x:c>
      <x:c r="D491" s="70" t="str">
        <x:v>CBSE Mathematics Classes XI–XII</x:v>
      </x:c>
      <x:c r="E491" s="70" t="str">
        <x:v>Central Board of Secondary Education (CBSE)</x:v>
      </x:c>
      <x:c r="F491" s="70" t="str">
        <x:v>CBSE Senior Secondary</x:v>
      </x:c>
      <x:c r="G491" s="70" t="str">
        <x:v>印度／海外CBSE学校</x:v>
      </x:c>
      <x:c r="H491" s="70" t="str">
        <x:v>整门课程</x:v>
      </x:c>
      <x:c r="I491" s="70" t="str">
        <x:v>按学科大纲；未展开考核明细</x:v>
      </x:c>
      <x:c r="J491" s="72"/>
      <x:c r="K491" s="70" t="str">
        <x:v>CBSE curriculum 2026–2027</x:v>
      </x:c>
      <x:c r="L491" s="73" t="n">
        <x:v>4900</x:v>
      </x:c>
      <x:c r="M491" s="70" t="str">
        <x:v>官网Senior Secondary主目录；未逐份展开专业/语言分支、实践分数和报名代码。 目录层条目；未预填并不代表没有考试/实践/校评。</x:v>
      </x:c>
      <x:c r="N491" s="70" t="str">
        <x:v>V3-CBSE</x:v>
      </x:c>
    </x:row>
    <x:row r="492" ht="64" customHeight="1">
      <x:c r="A492" s="71" t="str">
        <x:v>C491</x:v>
      </x:c>
      <x:c r="B492" s="70" t="str">
        <x:v>S001</x:v>
      </x:c>
      <x:c r="C492" s="70" t="str">
        <x:v>CBSE Applied Mathematics Classes XI–XII</x:v>
      </x:c>
      <x:c r="D492" s="70" t="str">
        <x:v>CBSE Applied Mathematics Classes XI–XII</x:v>
      </x:c>
      <x:c r="E492" s="70" t="str">
        <x:v>Central Board of Secondary Education (CBSE)</x:v>
      </x:c>
      <x:c r="F492" s="70" t="str">
        <x:v>CBSE Senior Secondary</x:v>
      </x:c>
      <x:c r="G492" s="70" t="str">
        <x:v>印度／海外CBSE学校</x:v>
      </x:c>
      <x:c r="H492" s="70" t="str">
        <x:v>整门课程</x:v>
      </x:c>
      <x:c r="I492" s="70" t="str">
        <x:v>按学科大纲；未展开考核明细</x:v>
      </x:c>
      <x:c r="J492" s="72"/>
      <x:c r="K492" s="70" t="str">
        <x:v>CBSE curriculum 2026–2027</x:v>
      </x:c>
      <x:c r="L492" s="73" t="n">
        <x:v>4910</x:v>
      </x:c>
      <x:c r="M492" s="70" t="str">
        <x:v>官网Senior Secondary主目录；未逐份展开专业/语言分支、实践分数和报名代码。 目录层条目；未预填并不代表没有考试/实践/校评。</x:v>
      </x:c>
      <x:c r="N492" s="70" t="str">
        <x:v>V3-CBSE</x:v>
      </x:c>
    </x:row>
    <x:row r="493" ht="64" customHeight="1">
      <x:c r="A493" s="71" t="str">
        <x:v>C492</x:v>
      </x:c>
      <x:c r="B493" s="70" t="str">
        <x:v>S032</x:v>
      </x:c>
      <x:c r="C493" s="70" t="str">
        <x:v>CBSE Physical Education Classes XI–XII</x:v>
      </x:c>
      <x:c r="D493" s="70" t="str">
        <x:v>CBSE Physical Education Classes XI–XII</x:v>
      </x:c>
      <x:c r="E493" s="70" t="str">
        <x:v>Central Board of Secondary Education (CBSE)</x:v>
      </x:c>
      <x:c r="F493" s="70" t="str">
        <x:v>CBSE Senior Secondary</x:v>
      </x:c>
      <x:c r="G493" s="70" t="str">
        <x:v>印度／海外CBSE学校</x:v>
      </x:c>
      <x:c r="H493" s="70" t="str">
        <x:v>整门课程</x:v>
      </x:c>
      <x:c r="I493" s="70" t="str">
        <x:v>按学科大纲；未展开考核明细</x:v>
      </x:c>
      <x:c r="J493" s="72"/>
      <x:c r="K493" s="70" t="str">
        <x:v>CBSE curriculum 2026–2027</x:v>
      </x:c>
      <x:c r="L493" s="73" t="n">
        <x:v>4920</x:v>
      </x:c>
      <x:c r="M493" s="70" t="str">
        <x:v>官网Senior Secondary主目录；未逐份展开专业/语言分支、实践分数和报名代码。 目录层条目；未预填并不代表没有考试/实践/校评。</x:v>
      </x:c>
      <x:c r="N493" s="70" t="str">
        <x:v>V3-CBSE</x:v>
      </x:c>
    </x:row>
    <x:row r="494" ht="64" customHeight="1">
      <x:c r="A494" s="71" t="str">
        <x:v>C493</x:v>
      </x:c>
      <x:c r="B494" s="70" t="str">
        <x:v>S002</x:v>
      </x:c>
      <x:c r="C494" s="70" t="str">
        <x:v>CBSE Physics Classes XI–XII</x:v>
      </x:c>
      <x:c r="D494" s="70" t="str">
        <x:v>CBSE Physics Classes XI–XII</x:v>
      </x:c>
      <x:c r="E494" s="70" t="str">
        <x:v>Central Board of Secondary Education (CBSE)</x:v>
      </x:c>
      <x:c r="F494" s="70" t="str">
        <x:v>CBSE Senior Secondary</x:v>
      </x:c>
      <x:c r="G494" s="70" t="str">
        <x:v>印度／海外CBSE学校</x:v>
      </x:c>
      <x:c r="H494" s="70" t="str">
        <x:v>整门课程</x:v>
      </x:c>
      <x:c r="I494" s="70" t="str">
        <x:v>按学科大纲；未展开考核明细</x:v>
      </x:c>
      <x:c r="J494" s="72"/>
      <x:c r="K494" s="70" t="str">
        <x:v>CBSE curriculum 2026–2027</x:v>
      </x:c>
      <x:c r="L494" s="73" t="n">
        <x:v>4930</x:v>
      </x:c>
      <x:c r="M494" s="70" t="str">
        <x:v>官网Senior Secondary主目录；未逐份展开专业/语言分支、实践分数和报名代码。 目录层条目；未预填并不代表没有考试/实践/校评。</x:v>
      </x:c>
      <x:c r="N494" s="70" t="str">
        <x:v>V3-CBSE</x:v>
      </x:c>
    </x:row>
    <x:row r="495" ht="64" customHeight="1">
      <x:c r="A495" s="71" t="str">
        <x:v>C494</x:v>
      </x:c>
      <x:c r="B495" s="70" t="str">
        <x:v>S029</x:v>
      </x:c>
      <x:c r="C495" s="70" t="str">
        <x:v>CBSE Political Science Classes XI–XII</x:v>
      </x:c>
      <x:c r="D495" s="70" t="str">
        <x:v>CBSE Political Science Classes XI–XII</x:v>
      </x:c>
      <x:c r="E495" s="70" t="str">
        <x:v>Central Board of Secondary Education (CBSE)</x:v>
      </x:c>
      <x:c r="F495" s="70" t="str">
        <x:v>CBSE Senior Secondary</x:v>
      </x:c>
      <x:c r="G495" s="70" t="str">
        <x:v>印度／海外CBSE学校</x:v>
      </x:c>
      <x:c r="H495" s="70" t="str">
        <x:v>整门课程</x:v>
      </x:c>
      <x:c r="I495" s="70" t="str">
        <x:v>按学科大纲；未展开考核明细</x:v>
      </x:c>
      <x:c r="J495" s="72"/>
      <x:c r="K495" s="70" t="str">
        <x:v>CBSE curriculum 2026–2027</x:v>
      </x:c>
      <x:c r="L495" s="73" t="n">
        <x:v>4940</x:v>
      </x:c>
      <x:c r="M495" s="70" t="str">
        <x:v>官网Senior Secondary主目录；未逐份展开专业/语言分支、实践分数和报名代码。 目录层条目；未预填并不代表没有考试/实践/校评。</x:v>
      </x:c>
      <x:c r="N495" s="70" t="str">
        <x:v>V3-CBSE</x:v>
      </x:c>
    </x:row>
    <x:row r="496" ht="64" customHeight="1">
      <x:c r="A496" s="71" t="str">
        <x:v>C495</x:v>
      </x:c>
      <x:c r="B496" s="70" t="str">
        <x:v>S013</x:v>
      </x:c>
      <x:c r="C496" s="70" t="str">
        <x:v>CBSE Psychology Classes XI–XII</x:v>
      </x:c>
      <x:c r="D496" s="70" t="str">
        <x:v>CBSE Psychology Classes XI–XII</x:v>
      </x:c>
      <x:c r="E496" s="70" t="str">
        <x:v>Central Board of Secondary Education (CBSE)</x:v>
      </x:c>
      <x:c r="F496" s="70" t="str">
        <x:v>CBSE Senior Secondary</x:v>
      </x:c>
      <x:c r="G496" s="70" t="str">
        <x:v>印度／海外CBSE学校</x:v>
      </x:c>
      <x:c r="H496" s="70" t="str">
        <x:v>整门课程</x:v>
      </x:c>
      <x:c r="I496" s="70" t="str">
        <x:v>按学科大纲；未展开考核明细</x:v>
      </x:c>
      <x:c r="J496" s="72"/>
      <x:c r="K496" s="70" t="str">
        <x:v>CBSE curriculum 2026–2027</x:v>
      </x:c>
      <x:c r="L496" s="73" t="n">
        <x:v>4950</x:v>
      </x:c>
      <x:c r="M496" s="70" t="str">
        <x:v>官网Senior Secondary主目录；未逐份展开专业/语言分支、实践分数和报名代码。 目录层条目；未预填并不代表没有考试/实践/校评。</x:v>
      </x:c>
      <x:c r="N496" s="70" t="str">
        <x:v>V3-CBSE</x:v>
      </x:c>
    </x:row>
    <x:row r="497" ht="64" customHeight="1">
      <x:c r="A497" s="71" t="str">
        <x:v>C496</x:v>
      </x:c>
      <x:c r="B497" s="70" t="str">
        <x:v>S029</x:v>
      </x:c>
      <x:c r="C497" s="70" t="str">
        <x:v>CBSE Sociology Classes XI–XII</x:v>
      </x:c>
      <x:c r="D497" s="70" t="str">
        <x:v>CBSE Sociology Classes XI–XII</x:v>
      </x:c>
      <x:c r="E497" s="70" t="str">
        <x:v>Central Board of Secondary Education (CBSE)</x:v>
      </x:c>
      <x:c r="F497" s="70" t="str">
        <x:v>CBSE Senior Secondary</x:v>
      </x:c>
      <x:c r="G497" s="70" t="str">
        <x:v>印度／海外CBSE学校</x:v>
      </x:c>
      <x:c r="H497" s="70" t="str">
        <x:v>整门课程</x:v>
      </x:c>
      <x:c r="I497" s="70" t="str">
        <x:v>按学科大纲；未展开考核明细</x:v>
      </x:c>
      <x:c r="J497" s="72"/>
      <x:c r="K497" s="70" t="str">
        <x:v>CBSE curriculum 2026–2027</x:v>
      </x:c>
      <x:c r="L497" s="73" t="n">
        <x:v>4960</x:v>
      </x:c>
      <x:c r="M497" s="70" t="str">
        <x:v>官网Senior Secondary主目录；未逐份展开专业/语言分支、实践分数和报名代码。 目录层条目；未预填并不代表没有考试/实践/校评。</x:v>
      </x:c>
      <x:c r="N497" s="70" t="str">
        <x:v>V3-CBSE</x:v>
      </x:c>
    </x:row>
    <x:row r="498" ht="64" customHeight="1">
      <x:c r="A498" s="71" t="str">
        <x:v>C497</x:v>
      </x:c>
      <x:c r="B498" s="70" t="str">
        <x:v>S037</x:v>
      </x:c>
      <x:c r="C498" s="70" t="str">
        <x:v>SAT (Digital) 备考</x:v>
      </x:c>
      <x:c r="D498" s="70" t="str">
        <x:v>SAT (Digital) Preparation</x:v>
      </x:c>
      <x:c r="E498" s="70" t="str">
        <x:v>College Board</x:v>
      </x:c>
      <x:c r="F498" s="70" t="str">
        <x:v>Undergraduate Admissions Tests</x:v>
      </x:c>
      <x:c r="G498" s="70" t="str">
        <x:v>美国／国际</x:v>
      </x:c>
      <x:c r="H498" s="70" t="str">
        <x:v>分单元教学</x:v>
      </x:c>
      <x:c r="I498" s="70" t="str">
        <x:v>外部标准化考试；成绩与校内课程成绩分离</x:v>
      </x:c>
      <x:c r="J498" s="72"/>
      <x:c r="K498" s="70" t="str">
        <x:v>Digital SAT；2026目录</x:v>
      </x:c>
      <x:c r="L498" s="73" t="n">
        <x:v>4970</x:v>
      </x:c>
      <x:c r="M498" s="70" t="str">
        <x:v>SAT是升学考试，不是美国高中学历体系；分数范围来源另见V3-SAT-SCORES。 目录层条目；未预填并不代表没有考试/实践/校评。</x:v>
      </x:c>
      <x:c r="N498" s="70" t="str">
        <x:v>V3-SAT</x:v>
      </x:c>
    </x:row>
    <x:row r="499" ht="64" customHeight="1">
      <x:c r="A499" s="71" t="str">
        <x:v>C498</x:v>
      </x:c>
      <x:c r="B499" s="70" t="str">
        <x:v>S037</x:v>
      </x:c>
      <x:c r="C499" s="70" t="str">
        <x:v>ACT (Enhanced) 备考</x:v>
      </x:c>
      <x:c r="D499" s="70" t="str">
        <x:v>ACT (Enhanced) Preparation</x:v>
      </x:c>
      <x:c r="E499" s="70" t="str">
        <x:v>ACT</x:v>
      </x:c>
      <x:c r="F499" s="70" t="str">
        <x:v>Undergraduate Admissions Tests</x:v>
      </x:c>
      <x:c r="G499" s="70" t="str">
        <x:v>美国／国际</x:v>
      </x:c>
      <x:c r="H499" s="70" t="str">
        <x:v>分单元教学</x:v>
      </x:c>
      <x:c r="I499" s="70" t="str">
        <x:v>外部标准化考试；成绩与校内课程成绩分离</x:v>
      </x:c>
      <x:c r="J499" s="72"/>
      <x:c r="K499" s="70" t="str">
        <x:v>Enhanced ACT；国际考试2026改革版本</x:v>
      </x:c>
      <x:c r="L499" s="73" t="n">
        <x:v>4980</x:v>
      </x:c>
      <x:c r="M499" s="70" t="str">
        <x:v>Composite按English、Math、Reading；Science/Writing分别保存，参加要求按场次核。 目录层条目；未预填并不代表没有考试/实践/校评。</x:v>
      </x:c>
      <x:c r="N499" s="70" t="str">
        <x:v>V3-ACT</x:v>
      </x:c>
    </x:row>
    <x:row r="500" ht="64" customHeight="1">
      <x:c r="A500" s="71" t="str">
        <x:v>C499</x:v>
      </x:c>
      <x:c r="B500" s="70" t="str">
        <x:v>S038</x:v>
      </x:c>
      <x:c r="C500" s="70" t="str">
        <x:v>IELTS Academic 备考</x:v>
      </x:c>
      <x:c r="D500" s="70" t="str">
        <x:v>IELTS Academic Preparation</x:v>
      </x:c>
      <x:c r="E500" s="70" t="str">
        <x:v>IELTS Partners</x:v>
      </x:c>
      <x:c r="F500" s="70" t="str">
        <x:v>English Language Proficiency Tests</x:v>
      </x:c>
      <x:c r="G500" s="70" t="str">
        <x:v>国际</x:v>
      </x:c>
      <x:c r="H500" s="70" t="str">
        <x:v>分单元教学</x:v>
      </x:c>
      <x:c r="I500" s="70" t="str">
        <x:v>外部标准化考试；成绩与校内课程成绩分离</x:v>
      </x:c>
      <x:c r="J500" s="72"/>
      <x:c r="K500" s="70" t="str">
        <x:v>2026产品目录</x:v>
      </x:c>
      <x:c r="L500" s="73" t="n">
        <x:v>4990</x:v>
      </x:c>
      <x:c r="M500" s="70" t="str">
        <x:v>本科/研究生学术用途；UKVI、机考/纸考作为产品实施/场次属性，不伪造另一门学科。计分见V3-IELTS-SCORE。 目录层条目；未预填并不代表没有考试/实践/校评。</x:v>
      </x:c>
      <x:c r="N500" s="70" t="str">
        <x:v>V3-IELTS</x:v>
      </x:c>
    </x:row>
    <x:row r="501" ht="64" customHeight="1">
      <x:c r="A501" s="71" t="str">
        <x:v>C500</x:v>
      </x:c>
      <x:c r="B501" s="70" t="str">
        <x:v>S038</x:v>
      </x:c>
      <x:c r="C501" s="70" t="str">
        <x:v>IELTS General Training 备考</x:v>
      </x:c>
      <x:c r="D501" s="70" t="str">
        <x:v>IELTS General Training Preparation</x:v>
      </x:c>
      <x:c r="E501" s="70" t="str">
        <x:v>IELTS Partners</x:v>
      </x:c>
      <x:c r="F501" s="70" t="str">
        <x:v>English Language Proficiency Tests</x:v>
      </x:c>
      <x:c r="G501" s="70" t="str">
        <x:v>国际</x:v>
      </x:c>
      <x:c r="H501" s="70" t="str">
        <x:v>分单元教学</x:v>
      </x:c>
      <x:c r="I501" s="70" t="str">
        <x:v>外部标准化考试；成绩与校内课程成绩分离</x:v>
      </x:c>
      <x:c r="J501" s="72"/>
      <x:c r="K501" s="70" t="str">
        <x:v>2026产品目录</x:v>
      </x:c>
      <x:c r="L501" s="73" t="n">
        <x:v>5000</x:v>
      </x:c>
      <x:c r="M501" s="70" t="str">
        <x:v>不是默认大学学术英语入学考试；与Academic不可自动互换。计分见V3-IELTS-SCORE。 目录层条目；未预填并不代表没有考试/实践/校评。</x:v>
      </x:c>
      <x:c r="N501" s="70" t="str">
        <x:v>V3-IELTS-GT</x:v>
      </x:c>
    </x:row>
    <x:row r="502" ht="64" customHeight="1">
      <x:c r="A502" s="71" t="str">
        <x:v>C501</x:v>
      </x:c>
      <x:c r="B502" s="70" t="str">
        <x:v>S038</x:v>
      </x:c>
      <x:c r="C502" s="70" t="str">
        <x:v>TOEFL iBT 备考</x:v>
      </x:c>
      <x:c r="D502" s="70" t="str">
        <x:v>TOEFL iBT Preparation</x:v>
      </x:c>
      <x:c r="E502" s="70" t="str">
        <x:v>ETS</x:v>
      </x:c>
      <x:c r="F502" s="70" t="str">
        <x:v>English Language Proficiency Tests</x:v>
      </x:c>
      <x:c r="G502" s="70" t="str">
        <x:v>国际</x:v>
      </x:c>
      <x:c r="H502" s="70" t="str">
        <x:v>分单元教学</x:v>
      </x:c>
      <x:c r="I502" s="70" t="str">
        <x:v>外部标准化考试；成绩与校内课程成绩分离</x:v>
      </x:c>
      <x:c r="J502" s="72"/>
      <x:c r="K502" s="70" t="str">
        <x:v>Tests taken on/after 2026-01-21</x:v>
      </x:c>
      <x:c r="L502" s="73" t="n">
        <x:v>5010</x:v>
      </x:c>
      <x:c r="M502" s="70" t="str">
        <x:v>两年过渡期另报可比0–120总分；不得将其当旧版四个0–30单项。Home Edition是交付模式，不另造资格。 目录层条目；未预填并不代表没有考试/实践/校评。</x:v>
      </x:c>
      <x:c r="N502" s="70" t="str">
        <x:v>V3-TOEFL-SCORE</x:v>
      </x:c>
    </x:row>
    <x:row r="503" ht="64" customHeight="1">
      <x:c r="A503" s="71" t="str">
        <x:v>C502</x:v>
      </x:c>
      <x:c r="B503" s="70" t="str">
        <x:v>S038</x:v>
      </x:c>
      <x:c r="C503" s="70" t="str">
        <x:v>Duolingo English Test 备考</x:v>
      </x:c>
      <x:c r="D503" s="70" t="str">
        <x:v>Duolingo English Test Preparation</x:v>
      </x:c>
      <x:c r="E503" s="70" t="str">
        <x:v>Duolingo</x:v>
      </x:c>
      <x:c r="F503" s="70" t="str">
        <x:v>English Language Proficiency Tests</x:v>
      </x:c>
      <x:c r="G503" s="70" t="str">
        <x:v>国际</x:v>
      </x:c>
      <x:c r="H503" s="70" t="str">
        <x:v>分单元教学</x:v>
      </x:c>
      <x:c r="I503" s="70" t="str">
        <x:v>外部标准化考试；成绩与校内课程成绩分离</x:v>
      </x:c>
      <x:c r="J503" s="72"/>
      <x:c r="K503" s="70" t="str">
        <x:v>2026成绩报告快照</x:v>
      </x:c>
      <x:c r="L503" s="73" t="n">
        <x:v>5020</x:v>
      </x:c>
      <x:c r="M503" s="70" t="str">
        <x:v>不是Duolingo日常学习App积分；四项技能教学块不代表四个独立计时分卷。 目录层条目；未预填并不代表没有考试/实践/校评。</x:v>
      </x:c>
      <x:c r="N503" s="70" t="str">
        <x:v>V3-DET26</x:v>
      </x:c>
    </x:row>
    <x:row r="504" ht="64" customHeight="1">
      <x:c r="A504" s="71" t="str">
        <x:v>C503</x:v>
      </x:c>
      <x:c r="B504" s="70" t="str">
        <x:v>S038</x:v>
      </x:c>
      <x:c r="C504" s="70" t="str">
        <x:v>PTE Academic 备考</x:v>
      </x:c>
      <x:c r="D504" s="70" t="str">
        <x:v>PTE Academic Preparation</x:v>
      </x:c>
      <x:c r="E504" s="70" t="str">
        <x:v>Pearson</x:v>
      </x:c>
      <x:c r="F504" s="70" t="str">
        <x:v>English Language Proficiency Tests</x:v>
      </x:c>
      <x:c r="G504" s="70" t="str">
        <x:v>国际</x:v>
      </x:c>
      <x:c r="H504" s="70" t="str">
        <x:v>整门课程</x:v>
      </x:c>
      <x:c r="I504" s="70" t="str">
        <x:v>外部标准化考试；成绩与校内课程成绩分离</x:v>
      </x:c>
      <x:c r="J504" s="72"/>
      <x:c r="K504" s="70" t="str">
        <x:v>2026产品目录</x:v>
      </x:c>
      <x:c r="L504" s="73" t="n">
        <x:v>5030</x:v>
      </x:c>
      <x:c r="M504" s="70" t="str">
        <x:v>Overall不按四个技能简单算术平均；PTE Core、UKVI等产品/用途另核，不自动等同。 目录层条目；未预填并不代表没有考试/实践/校评。</x:v>
      </x:c>
      <x:c r="N504" s="70" t="str">
        <x:v>V3-PTE</x:v>
      </x:c>
    </x:row>
    <x:row r="505" ht="64" customHeight="1">
      <x:c r="A505" s="71" t="str">
        <x:v>C504</x:v>
      </x:c>
      <x:c r="B505" s="70" t="str">
        <x:v>S038</x:v>
      </x:c>
      <x:c r="C505" s="70" t="str">
        <x:v>CAEL 备考</x:v>
      </x:c>
      <x:c r="D505" s="70" t="str">
        <x:v>CAEL Preparation</x:v>
      </x:c>
      <x:c r="E505" s="70" t="str">
        <x:v>Paragon Testing Enterprises</x:v>
      </x:c>
      <x:c r="F505" s="70" t="str">
        <x:v>English Language Proficiency Tests</x:v>
      </x:c>
      <x:c r="G505" s="70" t="str">
        <x:v>国际</x:v>
      </x:c>
      <x:c r="H505" s="70" t="str">
        <x:v>整门课程</x:v>
      </x:c>
      <x:c r="I505" s="70" t="str">
        <x:v>外部标准化考试；成绩与校内课程成绩分离</x:v>
      </x:c>
      <x:c r="J505" s="72"/>
      <x:c r="K505" s="70" t="str">
        <x:v>2026产品目录</x:v>
      </x:c>
      <x:c r="L505" s="73" t="n">
        <x:v>5040</x:v>
      </x:c>
      <x:c r="M505" s="70" t="str">
        <x:v>CAEL与IELTS/TOEFL/PTE均保留各自量表，不做未经批准的等值换算。 目录层条目；未预填并不代表没有考试/实践/校评。</x:v>
      </x:c>
      <x:c r="N505" s="70" t="str">
        <x:v>V3-CAEL</x:v>
      </x:c>
    </x:row>
    <x:row r="506" ht="64" customHeight="1">
      <x:c r="A506" s="71" t="str">
        <x:v>C505</x:v>
      </x:c>
      <x:c r="B506" s="70" t="str">
        <x:v>S038</x:v>
      </x:c>
      <x:c r="C506" s="70" t="str">
        <x:v>LANGUAGECERT Academic 备考</x:v>
      </x:c>
      <x:c r="D506" s="70" t="str">
        <x:v>LANGUAGECERT Academic Preparation</x:v>
      </x:c>
      <x:c r="E506" s="70" t="str">
        <x:v>LANGUAGECERT</x:v>
      </x:c>
      <x:c r="F506" s="70" t="str">
        <x:v>English Language Proficiency Tests</x:v>
      </x:c>
      <x:c r="G506" s="70" t="str">
        <x:v>国际</x:v>
      </x:c>
      <x:c r="H506" s="70" t="str">
        <x:v>整门课程</x:v>
      </x:c>
      <x:c r="I506" s="70" t="str">
        <x:v>外部标准化考试；成绩与校内课程成绩分离</x:v>
      </x:c>
      <x:c r="J506" s="72"/>
      <x:c r="K506" s="70" t="str">
        <x:v>2026产品目录</x:v>
      </x:c>
      <x:c r="L506" s="73" t="n">
        <x:v>5050</x:v>
      </x:c>
      <x:c r="M506" s="70" t="str">
        <x:v>不将LANGUAGECERT所有ESOL、SELT或Academic产品视为同一考试；本版未填写数值计分上下限。 目录层条目；未预填并不代表没有考试/实践/校评。</x:v>
      </x:c>
      <x:c r="N506" s="70" t="str">
        <x:v>V3-LANGCERT</x:v>
      </x:c>
    </x:row>
    <x:row r="507" ht="64" customHeight="1">
      <x:c r="A507" s="71" t="str">
        <x:v>C506</x:v>
      </x:c>
      <x:c r="B507" s="70" t="str">
        <x:v>S038</x:v>
      </x:c>
      <x:c r="C507" s="70" t="str">
        <x:v>A2 Key 备考</x:v>
      </x:c>
      <x:c r="D507" s="70" t="str">
        <x:v>A2 Key Preparation</x:v>
      </x:c>
      <x:c r="E507" s="70" t="str">
        <x:v>Cambridge English</x:v>
      </x:c>
      <x:c r="F507" s="70" t="str">
        <x:v>English Language Proficiency Tests</x:v>
      </x:c>
      <x:c r="G507" s="70" t="str">
        <x:v>国际</x:v>
      </x:c>
      <x:c r="H507" s="70" t="str">
        <x:v>整门课程</x:v>
      </x:c>
      <x:c r="I507" s="70" t="str">
        <x:v>外部标准化考试；成绩与校内课程成绩分离</x:v>
      </x:c>
      <x:c r="J507" s="72"/>
      <x:c r="K507" s="70" t="str">
        <x:v>2026产品目录</x:v>
      </x:c>
      <x:c r="L507" s="73" t="n">
        <x:v>5060</x:v>
      </x:c>
      <x:c r="M507" s="70" t="str">
        <x:v>考试目标CEFR级别不等于可报告分数范围；for Schools单独标明。大学是否接受及要求按目标校核。 目录层条目；未预填并不代表没有考试/实践/校评。</x:v>
      </x:c>
      <x:c r="N507" s="70" t="str">
        <x:v>V3-CAM-ENG</x:v>
      </x:c>
    </x:row>
    <x:row r="508" ht="64" customHeight="1">
      <x:c r="A508" s="71" t="str">
        <x:v>C507</x:v>
      </x:c>
      <x:c r="B508" s="70" t="str">
        <x:v>S038</x:v>
      </x:c>
      <x:c r="C508" s="70" t="str">
        <x:v>A2 Key for Schools 备考</x:v>
      </x:c>
      <x:c r="D508" s="70" t="str">
        <x:v>A2 Key for Schools Preparation</x:v>
      </x:c>
      <x:c r="E508" s="70" t="str">
        <x:v>Cambridge English</x:v>
      </x:c>
      <x:c r="F508" s="70" t="str">
        <x:v>English Language Proficiency Tests</x:v>
      </x:c>
      <x:c r="G508" s="70" t="str">
        <x:v>国际</x:v>
      </x:c>
      <x:c r="H508" s="70" t="str">
        <x:v>整门课程</x:v>
      </x:c>
      <x:c r="I508" s="70" t="str">
        <x:v>外部标准化考试；成绩与校内课程成绩分离</x:v>
      </x:c>
      <x:c r="J508" s="72"/>
      <x:c r="K508" s="70" t="str">
        <x:v>2026产品目录</x:v>
      </x:c>
      <x:c r="L508" s="73" t="n">
        <x:v>5070</x:v>
      </x:c>
      <x:c r="M508" s="70" t="str">
        <x:v>考试目标CEFR级别不等于可报告分数范围；for Schools单独标明。大学是否接受及要求按目标校核。 目录层条目；未预填并不代表没有考试/实践/校评。</x:v>
      </x:c>
      <x:c r="N508" s="70" t="str">
        <x:v>V3-CAM-ENG</x:v>
      </x:c>
    </x:row>
    <x:row r="509" ht="64" customHeight="1">
      <x:c r="A509" s="71" t="str">
        <x:v>C508</x:v>
      </x:c>
      <x:c r="B509" s="70" t="str">
        <x:v>S038</x:v>
      </x:c>
      <x:c r="C509" s="70" t="str">
        <x:v>B1 Preliminary 备考</x:v>
      </x:c>
      <x:c r="D509" s="70" t="str">
        <x:v>B1 Preliminary Preparation</x:v>
      </x:c>
      <x:c r="E509" s="70" t="str">
        <x:v>Cambridge English</x:v>
      </x:c>
      <x:c r="F509" s="70" t="str">
        <x:v>English Language Proficiency Tests</x:v>
      </x:c>
      <x:c r="G509" s="70" t="str">
        <x:v>国际</x:v>
      </x:c>
      <x:c r="H509" s="70" t="str">
        <x:v>整门课程</x:v>
      </x:c>
      <x:c r="I509" s="70" t="str">
        <x:v>外部标准化考试；成绩与校内课程成绩分离</x:v>
      </x:c>
      <x:c r="J509" s="72"/>
      <x:c r="K509" s="70" t="str">
        <x:v>2026产品目录</x:v>
      </x:c>
      <x:c r="L509" s="73" t="n">
        <x:v>5080</x:v>
      </x:c>
      <x:c r="M509" s="70" t="str">
        <x:v>考试目标CEFR级别不等于可报告分数范围；for Schools单独标明。大学是否接受及要求按目标校核。 目录层条目；未预填并不代表没有考试/实践/校评。</x:v>
      </x:c>
      <x:c r="N509" s="70" t="str">
        <x:v>V3-CAM-ENG</x:v>
      </x:c>
    </x:row>
    <x:row r="510" ht="64" customHeight="1">
      <x:c r="A510" s="71" t="str">
        <x:v>C509</x:v>
      </x:c>
      <x:c r="B510" s="70" t="str">
        <x:v>S038</x:v>
      </x:c>
      <x:c r="C510" s="70" t="str">
        <x:v>B1 Preliminary for Schools 备考</x:v>
      </x:c>
      <x:c r="D510" s="70" t="str">
        <x:v>B1 Preliminary for Schools Preparation</x:v>
      </x:c>
      <x:c r="E510" s="70" t="str">
        <x:v>Cambridge English</x:v>
      </x:c>
      <x:c r="F510" s="70" t="str">
        <x:v>English Language Proficiency Tests</x:v>
      </x:c>
      <x:c r="G510" s="70" t="str">
        <x:v>国际</x:v>
      </x:c>
      <x:c r="H510" s="70" t="str">
        <x:v>整门课程</x:v>
      </x:c>
      <x:c r="I510" s="70" t="str">
        <x:v>外部标准化考试；成绩与校内课程成绩分离</x:v>
      </x:c>
      <x:c r="J510" s="72"/>
      <x:c r="K510" s="70" t="str">
        <x:v>2026产品目录</x:v>
      </x:c>
      <x:c r="L510" s="73" t="n">
        <x:v>5090</x:v>
      </x:c>
      <x:c r="M510" s="70" t="str">
        <x:v>考试目标CEFR级别不等于可报告分数范围；for Schools单独标明。大学是否接受及要求按目标校核。 目录层条目；未预填并不代表没有考试/实践/校评。</x:v>
      </x:c>
      <x:c r="N510" s="70" t="str">
        <x:v>V3-CAM-ENG</x:v>
      </x:c>
    </x:row>
    <x:row r="511" ht="64" customHeight="1">
      <x:c r="A511" s="71" t="str">
        <x:v>C510</x:v>
      </x:c>
      <x:c r="B511" s="70" t="str">
        <x:v>S038</x:v>
      </x:c>
      <x:c r="C511" s="70" t="str">
        <x:v>B2 First 备考</x:v>
      </x:c>
      <x:c r="D511" s="70" t="str">
        <x:v>B2 First Preparation</x:v>
      </x:c>
      <x:c r="E511" s="70" t="str">
        <x:v>Cambridge English</x:v>
      </x:c>
      <x:c r="F511" s="70" t="str">
        <x:v>English Language Proficiency Tests</x:v>
      </x:c>
      <x:c r="G511" s="70" t="str">
        <x:v>国际</x:v>
      </x:c>
      <x:c r="H511" s="70" t="str">
        <x:v>整门课程</x:v>
      </x:c>
      <x:c r="I511" s="70" t="str">
        <x:v>外部标准化考试；成绩与校内课程成绩分离</x:v>
      </x:c>
      <x:c r="J511" s="72"/>
      <x:c r="K511" s="70" t="str">
        <x:v>2026产品目录</x:v>
      </x:c>
      <x:c r="L511" s="73" t="n">
        <x:v>5100</x:v>
      </x:c>
      <x:c r="M511" s="70" t="str">
        <x:v>考试目标CEFR级别不等于可报告分数范围；for Schools单独标明。大学是否接受及要求按目标校核。 目录层条目；未预填并不代表没有考试/实践/校评。</x:v>
      </x:c>
      <x:c r="N511" s="70" t="str">
        <x:v>V3-CAM-ENG</x:v>
      </x:c>
    </x:row>
    <x:row r="512" ht="64" customHeight="1">
      <x:c r="A512" s="71" t="str">
        <x:v>C511</x:v>
      </x:c>
      <x:c r="B512" s="70" t="str">
        <x:v>S038</x:v>
      </x:c>
      <x:c r="C512" s="70" t="str">
        <x:v>B2 First for Schools 备考</x:v>
      </x:c>
      <x:c r="D512" s="70" t="str">
        <x:v>B2 First for Schools Preparation</x:v>
      </x:c>
      <x:c r="E512" s="70" t="str">
        <x:v>Cambridge English</x:v>
      </x:c>
      <x:c r="F512" s="70" t="str">
        <x:v>English Language Proficiency Tests</x:v>
      </x:c>
      <x:c r="G512" s="70" t="str">
        <x:v>国际</x:v>
      </x:c>
      <x:c r="H512" s="70" t="str">
        <x:v>整门课程</x:v>
      </x:c>
      <x:c r="I512" s="70" t="str">
        <x:v>外部标准化考试；成绩与校内课程成绩分离</x:v>
      </x:c>
      <x:c r="J512" s="72"/>
      <x:c r="K512" s="70" t="str">
        <x:v>2026产品目录</x:v>
      </x:c>
      <x:c r="L512" s="73" t="n">
        <x:v>5110</x:v>
      </x:c>
      <x:c r="M512" s="70" t="str">
        <x:v>考试目标CEFR级别不等于可报告分数范围；for Schools单独标明。大学是否接受及要求按目标校核。 目录层条目；未预填并不代表没有考试/实践/校评。</x:v>
      </x:c>
      <x:c r="N512" s="70" t="str">
        <x:v>V3-CAM-ENG</x:v>
      </x:c>
    </x:row>
    <x:row r="513" ht="64" customHeight="1">
      <x:c r="A513" s="71" t="str">
        <x:v>C512</x:v>
      </x:c>
      <x:c r="B513" s="70" t="str">
        <x:v>S038</x:v>
      </x:c>
      <x:c r="C513" s="70" t="str">
        <x:v>C1 Advanced 备考</x:v>
      </x:c>
      <x:c r="D513" s="70" t="str">
        <x:v>C1 Advanced Preparation</x:v>
      </x:c>
      <x:c r="E513" s="70" t="str">
        <x:v>Cambridge English</x:v>
      </x:c>
      <x:c r="F513" s="70" t="str">
        <x:v>English Language Proficiency Tests</x:v>
      </x:c>
      <x:c r="G513" s="70" t="str">
        <x:v>国际</x:v>
      </x:c>
      <x:c r="H513" s="70" t="str">
        <x:v>整门课程</x:v>
      </x:c>
      <x:c r="I513" s="70" t="str">
        <x:v>外部标准化考试；成绩与校内课程成绩分离</x:v>
      </x:c>
      <x:c r="J513" s="72"/>
      <x:c r="K513" s="70" t="str">
        <x:v>2026产品目录</x:v>
      </x:c>
      <x:c r="L513" s="73" t="n">
        <x:v>5120</x:v>
      </x:c>
      <x:c r="M513" s="70" t="str">
        <x:v>考试目标CEFR级别不等于可报告分数范围；for Schools单独标明。大学是否接受及要求按目标校核。 目录层条目；未预填并不代表没有考试/实践/校评。</x:v>
      </x:c>
      <x:c r="N513" s="70" t="str">
        <x:v>V3-CAM-ENG</x:v>
      </x:c>
    </x:row>
    <x:row r="514" ht="64" customHeight="1">
      <x:c r="A514" s="71" t="str">
        <x:v>C513</x:v>
      </x:c>
      <x:c r="B514" s="70" t="str">
        <x:v>S038</x:v>
      </x:c>
      <x:c r="C514" s="70" t="str">
        <x:v>C2 Proficiency 备考</x:v>
      </x:c>
      <x:c r="D514" s="70" t="str">
        <x:v>C2 Proficiency Preparation</x:v>
      </x:c>
      <x:c r="E514" s="70" t="str">
        <x:v>Cambridge English</x:v>
      </x:c>
      <x:c r="F514" s="70" t="str">
        <x:v>English Language Proficiency Tests</x:v>
      </x:c>
      <x:c r="G514" s="70" t="str">
        <x:v>国际</x:v>
      </x:c>
      <x:c r="H514" s="70" t="str">
        <x:v>整门课程</x:v>
      </x:c>
      <x:c r="I514" s="70" t="str">
        <x:v>外部标准化考试；成绩与校内课程成绩分离</x:v>
      </x:c>
      <x:c r="J514" s="72"/>
      <x:c r="K514" s="70" t="str">
        <x:v>2026产品目录</x:v>
      </x:c>
      <x:c r="L514" s="73" t="n">
        <x:v>5130</x:v>
      </x:c>
      <x:c r="M514" s="70" t="str">
        <x:v>考试目标CEFR级别不等于可报告分数范围；for Schools单独标明。大学是否接受及要求按目标校核。 目录层条目；未预填并不代表没有考试/实践/校评。</x:v>
      </x:c>
      <x:c r="N514" s="70" t="str">
        <x:v>V3-CAM-ENG</x:v>
      </x:c>
    </x:row>
    <x:row r="515" ht="64" customHeight="1">
      <x:c r="A515" s="71" t="str">
        <x:v>C514</x:v>
      </x:c>
      <x:c r="B515" s="70" t="str">
        <x:v>S037</x:v>
      </x:c>
      <x:c r="C515" s="70" t="str">
        <x:v>ESAT 备考</x:v>
      </x:c>
      <x:c r="D515" s="70" t="str">
        <x:v>ESAT Preparation</x:v>
      </x:c>
      <x:c r="E515" s="70" t="str">
        <x:v>UAT-UK</x:v>
      </x:c>
      <x:c r="F515" s="70" t="str">
        <x:v>UK Undergraduate Admissions Tests</x:v>
      </x:c>
      <x:c r="G515" s="70" t="str">
        <x:v>英国／国际</x:v>
      </x:c>
      <x:c r="H515" s="70" t="str">
        <x:v>整门课程</x:v>
      </x:c>
      <x:c r="I515" s="70" t="str">
        <x:v>外部标准化考试；成绩与校内课程成绩分离</x:v>
      </x:c>
      <x:c r="J515" s="72"/>
      <x:c r="K515" s="70" t="str">
        <x:v>2026目录；具体大学、考季与地区另核</x:v>
      </x:c>
      <x:c r="L515" s="73" t="n">
        <x:v>5140</x:v>
      </x:c>
      <x:c r="M515" s="70" t="str">
        <x:v>备考目录，不构成任何院校的固定申请要求；不自动报考。 目录层条目；未预填并不代表没有考试/实践/校评。</x:v>
      </x:c>
      <x:c r="N515" s="70" t="str">
        <x:v>V3-UATUK</x:v>
      </x:c>
    </x:row>
    <x:row r="516" ht="64" customHeight="1">
      <x:c r="A516" s="71" t="str">
        <x:v>C515</x:v>
      </x:c>
      <x:c r="B516" s="70" t="str">
        <x:v>S037</x:v>
      </x:c>
      <x:c r="C516" s="70" t="str">
        <x:v>TMUA 备考</x:v>
      </x:c>
      <x:c r="D516" s="70" t="str">
        <x:v>TMUA Preparation</x:v>
      </x:c>
      <x:c r="E516" s="70" t="str">
        <x:v>UAT-UK</x:v>
      </x:c>
      <x:c r="F516" s="70" t="str">
        <x:v>UK Undergraduate Admissions Tests</x:v>
      </x:c>
      <x:c r="G516" s="70" t="str">
        <x:v>英国／国际</x:v>
      </x:c>
      <x:c r="H516" s="70" t="str">
        <x:v>整门课程</x:v>
      </x:c>
      <x:c r="I516" s="70" t="str">
        <x:v>外部标准化考试；成绩与校内课程成绩分离</x:v>
      </x:c>
      <x:c r="J516" s="72"/>
      <x:c r="K516" s="70" t="str">
        <x:v>2026目录；具体大学、考季与地区另核</x:v>
      </x:c>
      <x:c r="L516" s="73" t="n">
        <x:v>5150</x:v>
      </x:c>
      <x:c r="M516" s="70" t="str">
        <x:v>备考目录，不构成任何院校的固定申请要求；不自动报考。 目录层条目；未预填并不代表没有考试/实践/校评。</x:v>
      </x:c>
      <x:c r="N516" s="70" t="str">
        <x:v>V3-UATUK</x:v>
      </x:c>
    </x:row>
    <x:row r="517" ht="64" customHeight="1">
      <x:c r="A517" s="71" t="str">
        <x:v>C516</x:v>
      </x:c>
      <x:c r="B517" s="70" t="str">
        <x:v>S037</x:v>
      </x:c>
      <x:c r="C517" s="70" t="str">
        <x:v>TARA 备考</x:v>
      </x:c>
      <x:c r="D517" s="70" t="str">
        <x:v>TARA Preparation</x:v>
      </x:c>
      <x:c r="E517" s="70" t="str">
        <x:v>UAT-UK</x:v>
      </x:c>
      <x:c r="F517" s="70" t="str">
        <x:v>UK Undergraduate Admissions Tests</x:v>
      </x:c>
      <x:c r="G517" s="70" t="str">
        <x:v>英国／国际</x:v>
      </x:c>
      <x:c r="H517" s="70" t="str">
        <x:v>整门课程</x:v>
      </x:c>
      <x:c r="I517" s="70" t="str">
        <x:v>外部标准化考试；成绩与校内课程成绩分离</x:v>
      </x:c>
      <x:c r="J517" s="72"/>
      <x:c r="K517" s="70" t="str">
        <x:v>2026目录；具体大学、考季与地区另核</x:v>
      </x:c>
      <x:c r="L517" s="73" t="n">
        <x:v>5160</x:v>
      </x:c>
      <x:c r="M517" s="70" t="str">
        <x:v>备考目录，不构成任何院校的固定申请要求；不自动报考。 目录层条目；未预填并不代表没有考试/实践/校评。</x:v>
      </x:c>
      <x:c r="N517" s="70" t="str">
        <x:v>V3-UATUK</x:v>
      </x:c>
    </x:row>
    <x:row r="518" ht="64" customHeight="1">
      <x:c r="A518" s="71" t="str">
        <x:v>C517</x:v>
      </x:c>
      <x:c r="B518" s="70" t="str">
        <x:v>S037</x:v>
      </x:c>
      <x:c r="C518" s="70" t="str">
        <x:v>UCAT 备考</x:v>
      </x:c>
      <x:c r="D518" s="70" t="str">
        <x:v>UCAT Preparation</x:v>
      </x:c>
      <x:c r="E518" s="70" t="str">
        <x:v>UCAT Consortium</x:v>
      </x:c>
      <x:c r="F518" s="70" t="str">
        <x:v>UK Undergraduate Admissions Tests</x:v>
      </x:c>
      <x:c r="G518" s="70" t="str">
        <x:v>英国／国际</x:v>
      </x:c>
      <x:c r="H518" s="70" t="str">
        <x:v>整门课程</x:v>
      </x:c>
      <x:c r="I518" s="70" t="str">
        <x:v>外部标准化考试；成绩与校内课程成绩分离</x:v>
      </x:c>
      <x:c r="J518" s="72"/>
      <x:c r="K518" s="70" t="str">
        <x:v>2026目录；具体大学、考季与地区另核</x:v>
      </x:c>
      <x:c r="L518" s="73" t="n">
        <x:v>5170</x:v>
      </x:c>
      <x:c r="M518" s="70" t="str">
        <x:v>备考目录，不构成任何院校的固定申请要求；不自动报考。 目录层条目；未预填并不代表没有考试/实践/校评。</x:v>
      </x:c>
      <x:c r="N518" s="70" t="str">
        <x:v>V3-UCAT</x:v>
      </x:c>
    </x:row>
    <x:row r="519" ht="64" customHeight="1">
      <x:c r="A519" s="71" t="str">
        <x:v>C518</x:v>
      </x:c>
      <x:c r="B519" s="70" t="str">
        <x:v>S037</x:v>
      </x:c>
      <x:c r="C519" s="70" t="str">
        <x:v>LNAT 备考</x:v>
      </x:c>
      <x:c r="D519" s="70" t="str">
        <x:v>LNAT Preparation</x:v>
      </x:c>
      <x:c r="E519" s="70" t="str">
        <x:v>LNAT Consortium</x:v>
      </x:c>
      <x:c r="F519" s="70" t="str">
        <x:v>UK Undergraduate Admissions Tests</x:v>
      </x:c>
      <x:c r="G519" s="70" t="str">
        <x:v>英国／国际</x:v>
      </x:c>
      <x:c r="H519" s="70" t="str">
        <x:v>整门课程</x:v>
      </x:c>
      <x:c r="I519" s="70" t="str">
        <x:v>外部标准化考试；成绩与校内课程成绩分离</x:v>
      </x:c>
      <x:c r="J519" s="72"/>
      <x:c r="K519" s="70" t="str">
        <x:v>2026目录；具体大学、考季与地区另核</x:v>
      </x:c>
      <x:c r="L519" s="73" t="n">
        <x:v>5180</x:v>
      </x:c>
      <x:c r="M519" s="70" t="str">
        <x:v>备考目录，不构成任何院校的固定申请要求；不自动报考。 目录层条目；未预填并不代表没有考试/实践/校评。</x:v>
      </x:c>
      <x:c r="N519" s="70" t="str">
        <x:v>V3-LNAT</x:v>
      </x:c>
    </x:row>
    <x:row r="520" ht="64" customHeight="1">
      <x:c r="A520" s="71" t="str">
        <x:v>C519</x:v>
      </x:c>
      <x:c r="B520" s="70" t="str">
        <x:v>S037</x:v>
      </x:c>
      <x:c r="C520" s="70" t="str">
        <x:v>STEP Mathematics 备考</x:v>
      </x:c>
      <x:c r="D520" s="70" t="str">
        <x:v>STEP Mathematics Preparation</x:v>
      </x:c>
      <x:c r="E520" s="70" t="str">
        <x:v>OCR</x:v>
      </x:c>
      <x:c r="F520" s="70" t="str">
        <x:v>UK Undergraduate Admissions Tests</x:v>
      </x:c>
      <x:c r="G520" s="70" t="str">
        <x:v>英国／国际</x:v>
      </x:c>
      <x:c r="H520" s="70" t="str">
        <x:v>整门课程</x:v>
      </x:c>
      <x:c r="I520" s="70" t="str">
        <x:v>外部标准化考试；成绩与校内课程成绩分离</x:v>
      </x:c>
      <x:c r="J520" s="72"/>
      <x:c r="K520" s="70" t="str">
        <x:v>2026目录；具体大学、考季与地区另核</x:v>
      </x:c>
      <x:c r="L520" s="73" t="n">
        <x:v>5190</x:v>
      </x:c>
      <x:c r="M520" s="70" t="str">
        <x:v>备考目录，不构成任何院校的固定申请要求；不自动报考。 目录层条目；未预填并不代表没有考试/实践/校评。</x:v>
      </x:c>
      <x:c r="N520" s="70" t="str">
        <x:v>V3-STEP</x:v>
      </x:c>
    </x:row>
  </x:sheetData>
  <x:dataValidations count="2">
    <x:dataValidation type="list" sqref="H2:H2000">
      <x:formula1>"分单元教学,整门课程"</x:formula1>
    </x:dataValidation>
    <x:dataValidation type="list" sqref="B2:B3000">
      <x:formula1>INDIRECT("'01_学科'!$A$2:$A$3000")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7f6fde7bb842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3" hidden="0" customWidth="1"/>
    <x:col min="3" max="3" width="49" hidden="0" customWidth="1"/>
    <x:col min="4" max="4" width="14" hidden="0" customWidth="1"/>
    <x:col min="5" max="5" width="22" hidden="0" customWidth="1"/>
    <x:col min="6" max="6" width="20" hidden="0" customWidth="1"/>
    <x:col min="7" max="7" width="24" hidden="0" customWidth="1"/>
    <x:col min="8" max="8" width="28" hidden="0" customWidth="1"/>
    <x:col min="9" max="9" width="38" hidden="0" customWidth="1"/>
    <x:col min="10" max="10" width="17" hidden="0" customWidth="1"/>
    <x:col min="11" max="11" width="70" hidden="0" customWidth="1"/>
    <x:col min="12" max="12" width="24" hidden="0" customWidth="1"/>
  </x:cols>
  <x:sheetData>
    <x:row r="1" ht="40" customHeight="1">
      <x:c r="A1" s="13" t="str">
        <x:v>文件内单元标记*</x:v>
      </x:c>
      <x:c r="B1" s="13" t="str">
        <x:v>单元名称*</x:v>
      </x:c>
      <x:c r="C1" s="13" t="str">
        <x:v>英文单元名称</x:v>
      </x:c>
      <x:c r="D1" s="13" t="str">
        <x:v>单元简称</x:v>
      </x:c>
      <x:c r="E1" s="13" t="str">
        <x:v>官方单元代码（选填）</x:v>
      </x:c>
      <x:c r="F1" s="13" t="str">
        <x:v>单元性质*</x:v>
      </x:c>
      <x:c r="G1" s="13" t="str">
        <x:v>考试局／机构</x:v>
      </x:c>
      <x:c r="H1" s="13" t="str">
        <x:v>课程体系／资格族</x:v>
      </x:c>
      <x:c r="I1" s="13" t="str">
        <x:v>所属单元池</x:v>
      </x:c>
      <x:c r="J1" s="13" t="str">
        <x:v>来源阶段标签</x:v>
      </x:c>
      <x:c r="K1" s="13" t="str">
        <x:v>说明</x:v>
      </x:c>
      <x:c r="L1" s="13" t="str">
        <x:v>来源编号</x:v>
      </x:c>
    </x:row>
    <x:row r="2" ht="52" customHeight="1">
      <x:c r="A2" s="20" t="str">
        <x:v>U001</x:v>
      </x:c>
      <x:c r="B2" s="21" t="str">
        <x:v>会计系统与成本核算</x:v>
      </x:c>
      <x:c r="C2" s="21" t="str">
        <x:v>The Accounting System and Costing</x:v>
      </x:c>
      <x:c r="D2" s="21" t="str">
        <x:v>U1</x:v>
      </x:c>
      <x:c r="E2" s="21" t="str">
        <x:v>WAC11</x:v>
      </x:c>
      <x:c r="F2" s="21" t="str">
        <x:v>官方模块</x:v>
      </x:c>
      <x:c r="G2" s="21" t="str">
        <x:v>Pearson Edexcel</x:v>
      </x:c>
      <x:c r="H2" s="21" t="str">
        <x:v>International AS / A Level</x:v>
      </x:c>
      <x:c r="I2" s="21" t="str">
        <x:v>Pearson IAL Accounting</x:v>
      </x:c>
      <x:c r="J2" s="21" t="str">
        <x:v>IAS</x:v>
      </x:c>
      <x:c r="K2" s="21" t="str">
        <x:v>与官方unit对应；中文及U序号为本模板显示方式；不自动表示已开班。</x:v>
      </x:c>
      <x:c r="L2" s="21" t="str">
        <x:v>P-ACCOUNTING;P-MAN</x:v>
      </x:c>
    </x:row>
    <x:row r="3" ht="52" customHeight="1">
      <x:c r="A3" s="20" t="str">
        <x:v>U002</x:v>
      </x:c>
      <x:c r="B3" s="21" t="str">
        <x:v>公司会计与管理会计</x:v>
      </x:c>
      <x:c r="C3" s="21" t="str">
        <x:v>Corporate and Management Accounting</x:v>
      </x:c>
      <x:c r="D3" s="21" t="str">
        <x:v>U2</x:v>
      </x:c>
      <x:c r="E3" s="21" t="str">
        <x:v>WAC12</x:v>
      </x:c>
      <x:c r="F3" s="21" t="str">
        <x:v>官方模块</x:v>
      </x:c>
      <x:c r="G3" s="21" t="str">
        <x:v>Pearson Edexcel</x:v>
      </x:c>
      <x:c r="H3" s="21" t="str">
        <x:v>International AS / A Level</x:v>
      </x:c>
      <x:c r="I3" s="21" t="str">
        <x:v>Pearson IAL Accounting</x:v>
      </x:c>
      <x:c r="J3" s="21" t="str">
        <x:v>IA2</x:v>
      </x:c>
      <x:c r="K3" s="21" t="str">
        <x:v>与官方unit对应；中文及U序号为本模板显示方式；不自动表示已开班。</x:v>
      </x:c>
      <x:c r="L3" s="21" t="str">
        <x:v>P-ACCOUNTING;P-MAN</x:v>
      </x:c>
    </x:row>
    <x:row r="4" ht="52" customHeight="1">
      <x:c r="A4" s="20" t="str">
        <x:v>U003</x:v>
      </x:c>
      <x:c r="B4" s="21" t="str">
        <x:v>理解与书面回应</x:v>
      </x:c>
      <x:c r="C4" s="21" t="str">
        <x:v>Understanding and Written Response</x:v>
      </x:c>
      <x:c r="D4" s="21" t="str">
        <x:v>U1</x:v>
      </x:c>
      <x:c r="E4" s="21" t="str">
        <x:v>WAA01</x:v>
      </x:c>
      <x:c r="F4" s="21" t="str">
        <x:v>官方模块</x:v>
      </x:c>
      <x:c r="G4" s="21" t="str">
        <x:v>Pearson Edexcel</x:v>
      </x:c>
      <x:c r="H4" s="21" t="str">
        <x:v>International AS / A Level</x:v>
      </x:c>
      <x:c r="I4" s="21" t="str">
        <x:v>Pearson IAL Arabic</x:v>
      </x:c>
      <x:c r="J4" s="21" t="str">
        <x:v>IAS</x:v>
      </x:c>
      <x:c r="K4" s="21" t="str">
        <x:v>与官方unit对应；中文及U序号为本模板显示方式；不自动表示已开班。</x:v>
      </x:c>
      <x:c r="L4" s="21" t="str">
        <x:v>P-ARABIC;P-MAN</x:v>
      </x:c>
    </x:row>
    <x:row r="5" ht="52" customHeight="1">
      <x:c r="A5" s="20" t="str">
        <x:v>U004</x:v>
      </x:c>
      <x:c r="B5" s="21" t="str">
        <x:v>写作与研究</x:v>
      </x:c>
      <x:c r="C5" s="21" t="str">
        <x:v>Writing and Research</x:v>
      </x:c>
      <x:c r="D5" s="21" t="str">
        <x:v>U2</x:v>
      </x:c>
      <x:c r="E5" s="21" t="str">
        <x:v>WAA02</x:v>
      </x:c>
      <x:c r="F5" s="21" t="str">
        <x:v>官方模块</x:v>
      </x:c>
      <x:c r="G5" s="21" t="str">
        <x:v>Pearson Edexcel</x:v>
      </x:c>
      <x:c r="H5" s="21" t="str">
        <x:v>International AS / A Level</x:v>
      </x:c>
      <x:c r="I5" s="21" t="str">
        <x:v>Pearson IAL Arabic</x:v>
      </x:c>
      <x:c r="J5" s="21" t="str">
        <x:v>IA2</x:v>
      </x:c>
      <x:c r="K5" s="21" t="str">
        <x:v>与官方unit对应；中文及U序号为本模板显示方式；不自动表示已开班。</x:v>
      </x:c>
      <x:c r="L5" s="21" t="str">
        <x:v>P-ARABIC;P-MAN</x:v>
      </x:c>
    </x:row>
    <x:row r="6" ht="52" customHeight="1">
      <x:c r="A6" s="20" t="str">
        <x:v>U005</x:v>
      </x:c>
      <x:c r="B6" s="21" t="str">
        <x:v>分子、饮食、运输与健康</x:v>
      </x:c>
      <x:c r="C6" s="21" t="str">
        <x:v>Molecules, Diet, Transport and Health</x:v>
      </x:c>
      <x:c r="D6" s="21" t="str">
        <x:v>U1</x:v>
      </x:c>
      <x:c r="E6" s="21" t="str">
        <x:v>WBI11</x:v>
      </x:c>
      <x:c r="F6" s="21" t="str">
        <x:v>官方模块</x:v>
      </x:c>
      <x:c r="G6" s="21" t="str">
        <x:v>Pearson Edexcel</x:v>
      </x:c>
      <x:c r="H6" s="21" t="str">
        <x:v>International AS / A Level</x:v>
      </x:c>
      <x:c r="I6" s="21" t="str">
        <x:v>Pearson IAL Biology</x:v>
      </x:c>
      <x:c r="J6" s="21" t="str">
        <x:v>IAS</x:v>
      </x:c>
      <x:c r="K6" s="21" t="str">
        <x:v>与官方unit对应；中文及U序号为本模板显示方式；不自动表示已开班。</x:v>
      </x:c>
      <x:c r="L6" s="21" t="str">
        <x:v>P-BIOLOGY;P-MAN</x:v>
      </x:c>
    </x:row>
    <x:row r="7" ht="52" customHeight="1">
      <x:c r="A7" s="20" t="str">
        <x:v>U006</x:v>
      </x:c>
      <x:c r="B7" s="21" t="str">
        <x:v>细胞、发育、生物多样性与保护</x:v>
      </x:c>
      <x:c r="C7" s="21" t="str">
        <x:v>Cells, Development, Biodiversity and Conservation</x:v>
      </x:c>
      <x:c r="D7" s="21" t="str">
        <x:v>U2</x:v>
      </x:c>
      <x:c r="E7" s="21" t="str">
        <x:v>WBI12</x:v>
      </x:c>
      <x:c r="F7" s="21" t="str">
        <x:v>官方模块</x:v>
      </x:c>
      <x:c r="G7" s="21" t="str">
        <x:v>Pearson Edexcel</x:v>
      </x:c>
      <x:c r="H7" s="21" t="str">
        <x:v>International AS / A Level</x:v>
      </x:c>
      <x:c r="I7" s="21" t="str">
        <x:v>Pearson IAL Biology</x:v>
      </x:c>
      <x:c r="J7" s="21" t="str">
        <x:v>IAS</x:v>
      </x:c>
      <x:c r="K7" s="21" t="str">
        <x:v>与官方unit对应；中文及U序号为本模板显示方式；不自动表示已开班。</x:v>
      </x:c>
      <x:c r="L7" s="21" t="str">
        <x:v>P-BIOLOGY;P-MAN</x:v>
      </x:c>
    </x:row>
    <x:row r="8" ht="52" customHeight="1">
      <x:c r="A8" s="20" t="str">
        <x:v>U007</x:v>
      </x:c>
      <x:c r="B8" s="21" t="str">
        <x:v>生物实验技能 I</x:v>
      </x:c>
      <x:c r="C8" s="21" t="str">
        <x:v>Practical Skills in Biology I</x:v>
      </x:c>
      <x:c r="D8" s="21" t="str">
        <x:v>U3</x:v>
      </x:c>
      <x:c r="E8" s="21" t="str">
        <x:v>WBI13</x:v>
      </x:c>
      <x:c r="F8" s="21" t="str">
        <x:v>官方模块</x:v>
      </x:c>
      <x:c r="G8" s="21" t="str">
        <x:v>Pearson Edexcel</x:v>
      </x:c>
      <x:c r="H8" s="21" t="str">
        <x:v>International AS / A Level</x:v>
      </x:c>
      <x:c r="I8" s="21" t="str">
        <x:v>Pearson IAL Biology</x:v>
      </x:c>
      <x:c r="J8" s="21" t="str">
        <x:v>IAS</x:v>
      </x:c>
      <x:c r="K8" s="21" t="str">
        <x:v>与官方unit对应；中文及U序号为本模板显示方式；不自动表示已开班。</x:v>
      </x:c>
      <x:c r="L8" s="21" t="str">
        <x:v>P-BIOLOGY;P-MAN</x:v>
      </x:c>
    </x:row>
    <x:row r="9" ht="52" customHeight="1">
      <x:c r="A9" s="20" t="str">
        <x:v>U008</x:v>
      </x:c>
      <x:c r="B9" s="21" t="str">
        <x:v>能量、环境、微生物学与免疫</x:v>
      </x:c>
      <x:c r="C9" s="21" t="str">
        <x:v>Energy, Environment, Microbiology and Immunity</x:v>
      </x:c>
      <x:c r="D9" s="21" t="str">
        <x:v>U4</x:v>
      </x:c>
      <x:c r="E9" s="21" t="str">
        <x:v>WBI14</x:v>
      </x:c>
      <x:c r="F9" s="21" t="str">
        <x:v>官方模块</x:v>
      </x:c>
      <x:c r="G9" s="21" t="str">
        <x:v>Pearson Edexcel</x:v>
      </x:c>
      <x:c r="H9" s="21" t="str">
        <x:v>International AS / A Level</x:v>
      </x:c>
      <x:c r="I9" s="21" t="str">
        <x:v>Pearson IAL Biology</x:v>
      </x:c>
      <x:c r="J9" s="21" t="str">
        <x:v>IA2</x:v>
      </x:c>
      <x:c r="K9" s="21" t="str">
        <x:v>与官方unit对应；中文及U序号为本模板显示方式；不自动表示已开班。</x:v>
      </x:c>
      <x:c r="L9" s="21" t="str">
        <x:v>P-BIOLOGY;P-MAN</x:v>
      </x:c>
    </x:row>
    <x:row r="10" ht="52" customHeight="1">
      <x:c r="A10" s="20" t="str">
        <x:v>U009</x:v>
      </x:c>
      <x:c r="B10" s="21" t="str">
        <x:v>呼吸、内环境、协调与基因技术</x:v>
      </x:c>
      <x:c r="C10" s="21" t="str">
        <x:v>Respiration, Internal Environment, Coordination and Gene Technology</x:v>
      </x:c>
      <x:c r="D10" s="21" t="str">
        <x:v>U5</x:v>
      </x:c>
      <x:c r="E10" s="21" t="str">
        <x:v>WBI15</x:v>
      </x:c>
      <x:c r="F10" s="21" t="str">
        <x:v>官方模块</x:v>
      </x:c>
      <x:c r="G10" s="21" t="str">
        <x:v>Pearson Edexcel</x:v>
      </x:c>
      <x:c r="H10" s="21" t="str">
        <x:v>International AS / A Level</x:v>
      </x:c>
      <x:c r="I10" s="21" t="str">
        <x:v>Pearson IAL Biology</x:v>
      </x:c>
      <x:c r="J10" s="21" t="str">
        <x:v>IA2</x:v>
      </x:c>
      <x:c r="K10" s="21" t="str">
        <x:v>与官方unit对应；中文及U序号为本模板显示方式；不自动表示已开班。</x:v>
      </x:c>
      <x:c r="L10" s="21" t="str">
        <x:v>P-BIOLOGY;P-MAN</x:v>
      </x:c>
    </x:row>
    <x:row r="11" ht="52" customHeight="1">
      <x:c r="A11" s="20" t="str">
        <x:v>U010</x:v>
      </x:c>
      <x:c r="B11" s="21" t="str">
        <x:v>生物实验技能 II</x:v>
      </x:c>
      <x:c r="C11" s="21" t="str">
        <x:v>Practical Skills in Biology II</x:v>
      </x:c>
      <x:c r="D11" s="21" t="str">
        <x:v>U6</x:v>
      </x:c>
      <x:c r="E11" s="21" t="str">
        <x:v>WBI16</x:v>
      </x:c>
      <x:c r="F11" s="21" t="str">
        <x:v>官方模块</x:v>
      </x:c>
      <x:c r="G11" s="21" t="str">
        <x:v>Pearson Edexcel</x:v>
      </x:c>
      <x:c r="H11" s="21" t="str">
        <x:v>International AS / A Level</x:v>
      </x:c>
      <x:c r="I11" s="21" t="str">
        <x:v>Pearson IAL Biology</x:v>
      </x:c>
      <x:c r="J11" s="21" t="str">
        <x:v>IA2</x:v>
      </x:c>
      <x:c r="K11" s="21" t="str">
        <x:v>与官方unit对应；中文及U序号为本模板显示方式；不自动表示已开班。</x:v>
      </x:c>
      <x:c r="L11" s="21" t="str">
        <x:v>P-BIOLOGY;P-MAN</x:v>
      </x:c>
    </x:row>
    <x:row r="12" ht="52" customHeight="1">
      <x:c r="A12" s="20" t="str">
        <x:v>U011</x:v>
      </x:c>
      <x:c r="B12" s="21" t="str">
        <x:v>营销与人员</x:v>
      </x:c>
      <x:c r="C12" s="21" t="str">
        <x:v>Marketing and People</x:v>
      </x:c>
      <x:c r="D12" s="21" t="str">
        <x:v>U1</x:v>
      </x:c>
      <x:c r="E12" s="21" t="str">
        <x:v>WBS11</x:v>
      </x:c>
      <x:c r="F12" s="21" t="str">
        <x:v>官方模块</x:v>
      </x:c>
      <x:c r="G12" s="21" t="str">
        <x:v>Pearson Edexcel</x:v>
      </x:c>
      <x:c r="H12" s="21" t="str">
        <x:v>International AS / A Level</x:v>
      </x:c>
      <x:c r="I12" s="21" t="str">
        <x:v>Pearson IAL Business</x:v>
      </x:c>
      <x:c r="J12" s="21" t="str">
        <x:v>IAS</x:v>
      </x:c>
      <x:c r="K12" s="21" t="str">
        <x:v>与官方unit对应；中文及U序号为本模板显示方式；不自动表示已开班。</x:v>
      </x:c>
      <x:c r="L12" s="21" t="str">
        <x:v>P-BUSINESS;P-MAN</x:v>
      </x:c>
    </x:row>
    <x:row r="13" ht="52" customHeight="1">
      <x:c r="A13" s="20" t="str">
        <x:v>U012</x:v>
      </x:c>
      <x:c r="B13" s="21" t="str">
        <x:v>管理商业活动</x:v>
      </x:c>
      <x:c r="C13" s="21" t="str">
        <x:v>Managing Business Activities</x:v>
      </x:c>
      <x:c r="D13" s="21" t="str">
        <x:v>U2</x:v>
      </x:c>
      <x:c r="E13" s="21" t="str">
        <x:v>WBS12</x:v>
      </x:c>
      <x:c r="F13" s="21" t="str">
        <x:v>官方模块</x:v>
      </x:c>
      <x:c r="G13" s="21" t="str">
        <x:v>Pearson Edexcel</x:v>
      </x:c>
      <x:c r="H13" s="21" t="str">
        <x:v>International AS / A Level</x:v>
      </x:c>
      <x:c r="I13" s="21" t="str">
        <x:v>Pearson IAL Business</x:v>
      </x:c>
      <x:c r="J13" s="21" t="str">
        <x:v>IAS</x:v>
      </x:c>
      <x:c r="K13" s="21" t="str">
        <x:v>与官方unit对应；中文及U序号为本模板显示方式；不自动表示已开班。</x:v>
      </x:c>
      <x:c r="L13" s="21" t="str">
        <x:v>P-BUSINESS;P-MAN</x:v>
      </x:c>
    </x:row>
    <x:row r="14" ht="52" customHeight="1">
      <x:c r="A14" s="20" t="str">
        <x:v>U013</x:v>
      </x:c>
      <x:c r="B14" s="21" t="str">
        <x:v>商业决策与战略</x:v>
      </x:c>
      <x:c r="C14" s="21" t="str">
        <x:v>Business Decisions and Strategy</x:v>
      </x:c>
      <x:c r="D14" s="21" t="str">
        <x:v>U3</x:v>
      </x:c>
      <x:c r="E14" s="21" t="str">
        <x:v>WBS13</x:v>
      </x:c>
      <x:c r="F14" s="21" t="str">
        <x:v>官方模块</x:v>
      </x:c>
      <x:c r="G14" s="21" t="str">
        <x:v>Pearson Edexcel</x:v>
      </x:c>
      <x:c r="H14" s="21" t="str">
        <x:v>International AS / A Level</x:v>
      </x:c>
      <x:c r="I14" s="21" t="str">
        <x:v>Pearson IAL Business</x:v>
      </x:c>
      <x:c r="J14" s="21" t="str">
        <x:v>IA2</x:v>
      </x:c>
      <x:c r="K14" s="21" t="str">
        <x:v>与官方unit对应；中文及U序号为本模板显示方式；不自动表示已开班。</x:v>
      </x:c>
      <x:c r="L14" s="21" t="str">
        <x:v>P-BUSINESS;P-MAN</x:v>
      </x:c>
    </x:row>
    <x:row r="15" ht="52" customHeight="1">
      <x:c r="A15" s="20" t="str">
        <x:v>U014</x:v>
      </x:c>
      <x:c r="B15" s="21" t="str">
        <x:v>全球商业</x:v>
      </x:c>
      <x:c r="C15" s="21" t="str">
        <x:v>Global Business</x:v>
      </x:c>
      <x:c r="D15" s="21" t="str">
        <x:v>U4</x:v>
      </x:c>
      <x:c r="E15" s="21" t="str">
        <x:v>WBS14</x:v>
      </x:c>
      <x:c r="F15" s="21" t="str">
        <x:v>官方模块</x:v>
      </x:c>
      <x:c r="G15" s="21" t="str">
        <x:v>Pearson Edexcel</x:v>
      </x:c>
      <x:c r="H15" s="21" t="str">
        <x:v>International AS / A Level</x:v>
      </x:c>
      <x:c r="I15" s="21" t="str">
        <x:v>Pearson IAL Business</x:v>
      </x:c>
      <x:c r="J15" s="21" t="str">
        <x:v>IA2</x:v>
      </x:c>
      <x:c r="K15" s="21" t="str">
        <x:v>与官方unit对应；中文及U序号为本模板显示方式；不自动表示已开班。</x:v>
      </x:c>
      <x:c r="L15" s="21" t="str">
        <x:v>P-BUSINESS;P-MAN</x:v>
      </x:c>
    </x:row>
    <x:row r="16" ht="52" customHeight="1">
      <x:c r="A16" s="20" t="str">
        <x:v>U015</x:v>
      </x:c>
      <x:c r="B16" s="21" t="str">
        <x:v>结构、成键与有机化学导论</x:v>
      </x:c>
      <x:c r="C16" s="21" t="str">
        <x:v>Structure, Bonding and Introduction to Organic Chemistry</x:v>
      </x:c>
      <x:c r="D16" s="21" t="str">
        <x:v>U1</x:v>
      </x:c>
      <x:c r="E16" s="21" t="str">
        <x:v>WCH11</x:v>
      </x:c>
      <x:c r="F16" s="21" t="str">
        <x:v>官方模块</x:v>
      </x:c>
      <x:c r="G16" s="21" t="str">
        <x:v>Pearson Edexcel</x:v>
      </x:c>
      <x:c r="H16" s="21" t="str">
        <x:v>International AS / A Level</x:v>
      </x:c>
      <x:c r="I16" s="21" t="str">
        <x:v>Pearson IAL Chemistry</x:v>
      </x:c>
      <x:c r="J16" s="21" t="str">
        <x:v>IAS</x:v>
      </x:c>
      <x:c r="K16" s="21" t="str">
        <x:v>与官方unit对应；中文及U序号为本模板显示方式；不自动表示已开班。</x:v>
      </x:c>
      <x:c r="L16" s="21" t="str">
        <x:v>P-CHEMISTRY;P-MAN</x:v>
      </x:c>
    </x:row>
    <x:row r="17" ht="52" customHeight="1">
      <x:c r="A17" s="20" t="str">
        <x:v>U016</x:v>
      </x:c>
      <x:c r="B17" s="21" t="str">
        <x:v>能量学、族化学、卤代烷与醇</x:v>
      </x:c>
      <x:c r="C17" s="21" t="str">
        <x:v>Energetics, Group Chemistry, Halogenoalkanes and Alcohols</x:v>
      </x:c>
      <x:c r="D17" s="21" t="str">
        <x:v>U2</x:v>
      </x:c>
      <x:c r="E17" s="21" t="str">
        <x:v>WCH12</x:v>
      </x:c>
      <x:c r="F17" s="21" t="str">
        <x:v>官方模块</x:v>
      </x:c>
      <x:c r="G17" s="21" t="str">
        <x:v>Pearson Edexcel</x:v>
      </x:c>
      <x:c r="H17" s="21" t="str">
        <x:v>International AS / A Level</x:v>
      </x:c>
      <x:c r="I17" s="21" t="str">
        <x:v>Pearson IAL Chemistry</x:v>
      </x:c>
      <x:c r="J17" s="21" t="str">
        <x:v>IAS</x:v>
      </x:c>
      <x:c r="K17" s="21" t="str">
        <x:v>与官方unit对应；中文及U序号为本模板显示方式；不自动表示已开班。</x:v>
      </x:c>
      <x:c r="L17" s="21" t="str">
        <x:v>P-CHEMISTRY;P-MAN</x:v>
      </x:c>
    </x:row>
    <x:row r="18" ht="52" customHeight="1">
      <x:c r="A18" s="20" t="str">
        <x:v>U017</x:v>
      </x:c>
      <x:c r="B18" s="21" t="str">
        <x:v>化学实验技能 I</x:v>
      </x:c>
      <x:c r="C18" s="21" t="str">
        <x:v>Practical Skills in Chemistry I</x:v>
      </x:c>
      <x:c r="D18" s="21" t="str">
        <x:v>U3</x:v>
      </x:c>
      <x:c r="E18" s="21" t="str">
        <x:v>WCH13</x:v>
      </x:c>
      <x:c r="F18" s="21" t="str">
        <x:v>官方模块</x:v>
      </x:c>
      <x:c r="G18" s="21" t="str">
        <x:v>Pearson Edexcel</x:v>
      </x:c>
      <x:c r="H18" s="21" t="str">
        <x:v>International AS / A Level</x:v>
      </x:c>
      <x:c r="I18" s="21" t="str">
        <x:v>Pearson IAL Chemistry</x:v>
      </x:c>
      <x:c r="J18" s="21" t="str">
        <x:v>IAS</x:v>
      </x:c>
      <x:c r="K18" s="21" t="str">
        <x:v>与官方unit对应；中文及U序号为本模板显示方式；不自动表示已开班。</x:v>
      </x:c>
      <x:c r="L18" s="21" t="str">
        <x:v>P-CHEMISTRY;P-MAN</x:v>
      </x:c>
    </x:row>
    <x:row r="19" ht="52" customHeight="1">
      <x:c r="A19" s="20" t="str">
        <x:v>U018</x:v>
      </x:c>
      <x:c r="B19" s="21" t="str">
        <x:v>速率、平衡与进阶有机化学</x:v>
      </x:c>
      <x:c r="C19" s="21" t="str">
        <x:v>Rates, Equilibria and Further Organic Chemistry</x:v>
      </x:c>
      <x:c r="D19" s="21" t="str">
        <x:v>U4</x:v>
      </x:c>
      <x:c r="E19" s="21" t="str">
        <x:v>WCH14</x:v>
      </x:c>
      <x:c r="F19" s="21" t="str">
        <x:v>官方模块</x:v>
      </x:c>
      <x:c r="G19" s="21" t="str">
        <x:v>Pearson Edexcel</x:v>
      </x:c>
      <x:c r="H19" s="21" t="str">
        <x:v>International AS / A Level</x:v>
      </x:c>
      <x:c r="I19" s="21" t="str">
        <x:v>Pearson IAL Chemistry</x:v>
      </x:c>
      <x:c r="J19" s="21" t="str">
        <x:v>IA2</x:v>
      </x:c>
      <x:c r="K19" s="21" t="str">
        <x:v>与官方unit对应；中文及U序号为本模板显示方式；不自动表示已开班。</x:v>
      </x:c>
      <x:c r="L19" s="21" t="str">
        <x:v>P-CHEMISTRY;P-MAN</x:v>
      </x:c>
    </x:row>
    <x:row r="20" ht="52" customHeight="1">
      <x:c r="A20" s="20" t="str">
        <x:v>U019</x:v>
      </x:c>
      <x:c r="B20" s="21" t="str">
        <x:v>过渡金属与含氮有机化学</x:v>
      </x:c>
      <x:c r="C20" s="21" t="str">
        <x:v>Transition Metals and Organic Nitrogen Chemistry</x:v>
      </x:c>
      <x:c r="D20" s="21" t="str">
        <x:v>U5</x:v>
      </x:c>
      <x:c r="E20" s="21" t="str">
        <x:v>WCH15</x:v>
      </x:c>
      <x:c r="F20" s="21" t="str">
        <x:v>官方模块</x:v>
      </x:c>
      <x:c r="G20" s="21" t="str">
        <x:v>Pearson Edexcel</x:v>
      </x:c>
      <x:c r="H20" s="21" t="str">
        <x:v>International AS / A Level</x:v>
      </x:c>
      <x:c r="I20" s="21" t="str">
        <x:v>Pearson IAL Chemistry</x:v>
      </x:c>
      <x:c r="J20" s="21" t="str">
        <x:v>IA2</x:v>
      </x:c>
      <x:c r="K20" s="21" t="str">
        <x:v>与官方unit对应；中文及U序号为本模板显示方式；不自动表示已开班。</x:v>
      </x:c>
      <x:c r="L20" s="21" t="str">
        <x:v>P-CHEMISTRY;P-MAN</x:v>
      </x:c>
    </x:row>
    <x:row r="21" ht="52" customHeight="1">
      <x:c r="A21" s="20" t="str">
        <x:v>U020</x:v>
      </x:c>
      <x:c r="B21" s="21" t="str">
        <x:v>化学实验技能 II</x:v>
      </x:c>
      <x:c r="C21" s="21" t="str">
        <x:v>Practical Skills in Chemistry II</x:v>
      </x:c>
      <x:c r="D21" s="21" t="str">
        <x:v>U6</x:v>
      </x:c>
      <x:c r="E21" s="21" t="str">
        <x:v>WCH16</x:v>
      </x:c>
      <x:c r="F21" s="21" t="str">
        <x:v>官方模块</x:v>
      </x:c>
      <x:c r="G21" s="21" t="str">
        <x:v>Pearson Edexcel</x:v>
      </x:c>
      <x:c r="H21" s="21" t="str">
        <x:v>International AS / A Level</x:v>
      </x:c>
      <x:c r="I21" s="21" t="str">
        <x:v>Pearson IAL Chemistry</x:v>
      </x:c>
      <x:c r="J21" s="21" t="str">
        <x:v>IA2</x:v>
      </x:c>
      <x:c r="K21" s="21" t="str">
        <x:v>与官方unit对应；中文及U序号为本模板显示方式；不自动表示已开班。</x:v>
      </x:c>
      <x:c r="L21" s="21" t="str">
        <x:v>P-CHEMISTRY;P-MAN</x:v>
      </x:c>
    </x:row>
    <x:row r="22" ht="52" customHeight="1">
      <x:c r="A22" s="20" t="str">
        <x:v>U021</x:v>
      </x:c>
      <x:c r="B22" s="21" t="str">
        <x:v>市场运行</x:v>
      </x:c>
      <x:c r="C22" s="21" t="str">
        <x:v>Markets in Action</x:v>
      </x:c>
      <x:c r="D22" s="21" t="str">
        <x:v>U1</x:v>
      </x:c>
      <x:c r="E22" s="21" t="str">
        <x:v>WEC11</x:v>
      </x:c>
      <x:c r="F22" s="21" t="str">
        <x:v>官方模块</x:v>
      </x:c>
      <x:c r="G22" s="21" t="str">
        <x:v>Pearson Edexcel</x:v>
      </x:c>
      <x:c r="H22" s="21" t="str">
        <x:v>International AS / A Level</x:v>
      </x:c>
      <x:c r="I22" s="21" t="str">
        <x:v>Pearson IAL Economics</x:v>
      </x:c>
      <x:c r="J22" s="21" t="str">
        <x:v>IAS</x:v>
      </x:c>
      <x:c r="K22" s="21" t="str">
        <x:v>与官方unit对应；中文及U序号为本模板显示方式；不自动表示已开班。</x:v>
      </x:c>
      <x:c r="L22" s="21" t="str">
        <x:v>P-ECONOMICS;P-MAN</x:v>
      </x:c>
    </x:row>
    <x:row r="23" ht="52" customHeight="1">
      <x:c r="A23" s="20" t="str">
        <x:v>U022</x:v>
      </x:c>
      <x:c r="B23" s="21" t="str">
        <x:v>宏观经济表现与政策</x:v>
      </x:c>
      <x:c r="C23" s="21" t="str">
        <x:v>Macroeconomic Performance and Policy</x:v>
      </x:c>
      <x:c r="D23" s="21" t="str">
        <x:v>U2</x:v>
      </x:c>
      <x:c r="E23" s="21" t="str">
        <x:v>WEC12</x:v>
      </x:c>
      <x:c r="F23" s="21" t="str">
        <x:v>官方模块</x:v>
      </x:c>
      <x:c r="G23" s="21" t="str">
        <x:v>Pearson Edexcel</x:v>
      </x:c>
      <x:c r="H23" s="21" t="str">
        <x:v>International AS / A Level</x:v>
      </x:c>
      <x:c r="I23" s="21" t="str">
        <x:v>Pearson IAL Economics</x:v>
      </x:c>
      <x:c r="J23" s="21" t="str">
        <x:v>IAS</x:v>
      </x:c>
      <x:c r="K23" s="21" t="str">
        <x:v>与官方unit对应；中文及U序号为本模板显示方式；不自动表示已开班。</x:v>
      </x:c>
      <x:c r="L23" s="21" t="str">
        <x:v>P-ECONOMICS;P-MAN</x:v>
      </x:c>
    </x:row>
    <x:row r="24" ht="52" customHeight="1">
      <x:c r="A24" s="20" t="str">
        <x:v>U023</x:v>
      </x:c>
      <x:c r="B24" s="21" t="str">
        <x:v>企业行为</x:v>
      </x:c>
      <x:c r="C24" s="21" t="str">
        <x:v>Business Behaviour</x:v>
      </x:c>
      <x:c r="D24" s="21" t="str">
        <x:v>U3</x:v>
      </x:c>
      <x:c r="E24" s="21" t="str">
        <x:v>WEC13</x:v>
      </x:c>
      <x:c r="F24" s="21" t="str">
        <x:v>官方模块</x:v>
      </x:c>
      <x:c r="G24" s="21" t="str">
        <x:v>Pearson Edexcel</x:v>
      </x:c>
      <x:c r="H24" s="21" t="str">
        <x:v>International AS / A Level</x:v>
      </x:c>
      <x:c r="I24" s="21" t="str">
        <x:v>Pearson IAL Economics</x:v>
      </x:c>
      <x:c r="J24" s="21" t="str">
        <x:v>IA2</x:v>
      </x:c>
      <x:c r="K24" s="21" t="str">
        <x:v>与官方unit对应；中文及U序号为本模板显示方式；不自动表示已开班。</x:v>
      </x:c>
      <x:c r="L24" s="21" t="str">
        <x:v>P-ECONOMICS;P-MAN</x:v>
      </x:c>
    </x:row>
    <x:row r="25" ht="52" customHeight="1">
      <x:c r="A25" s="20" t="str">
        <x:v>U024</x:v>
      </x:c>
      <x:c r="B25" s="21" t="str">
        <x:v>全球经济发展</x:v>
      </x:c>
      <x:c r="C25" s="21" t="str">
        <x:v>Developments in the Global Economy</x:v>
      </x:c>
      <x:c r="D25" s="21" t="str">
        <x:v>U4</x:v>
      </x:c>
      <x:c r="E25" s="21" t="str">
        <x:v>WEC14</x:v>
      </x:c>
      <x:c r="F25" s="21" t="str">
        <x:v>官方模块</x:v>
      </x:c>
      <x:c r="G25" s="21" t="str">
        <x:v>Pearson Edexcel</x:v>
      </x:c>
      <x:c r="H25" s="21" t="str">
        <x:v>International AS / A Level</x:v>
      </x:c>
      <x:c r="I25" s="21" t="str">
        <x:v>Pearson IAL Economics</x:v>
      </x:c>
      <x:c r="J25" s="21" t="str">
        <x:v>IA2</x:v>
      </x:c>
      <x:c r="K25" s="21" t="str">
        <x:v>与官方unit对应；中文及U序号为本模板显示方式；不自动表示已开班。</x:v>
      </x:c>
      <x:c r="L25" s="21" t="str">
        <x:v>P-ECONOMICS;P-MAN</x:v>
      </x:c>
    </x:row>
    <x:row r="26" ht="52" customHeight="1">
      <x:c r="A26" s="20" t="str">
        <x:v>U025</x:v>
      </x:c>
      <x:c r="B26" s="21" t="str">
        <x:v>语言：语境与身份</x:v>
      </x:c>
      <x:c r="C26" s="21" t="str">
        <x:v>Language: Context and Identity</x:v>
      </x:c>
      <x:c r="D26" s="21" t="str">
        <x:v>U1</x:v>
      </x:c>
      <x:c r="E26" s="21" t="str">
        <x:v>WEN01</x:v>
      </x:c>
      <x:c r="F26" s="21" t="str">
        <x:v>官方模块</x:v>
      </x:c>
      <x:c r="G26" s="21" t="str">
        <x:v>Pearson Edexcel</x:v>
      </x:c>
      <x:c r="H26" s="21" t="str">
        <x:v>International AS / A Level</x:v>
      </x:c>
      <x:c r="I26" s="21" t="str">
        <x:v>Pearson IAL English Language</x:v>
      </x:c>
      <x:c r="J26" s="21" t="str">
        <x:v>IAS</x:v>
      </x:c>
      <x:c r="K26" s="21" t="str">
        <x:v>与官方unit对应；中文及U序号为本模板显示方式；不自动表示已开班。</x:v>
      </x:c>
      <x:c r="L26" s="21" t="str">
        <x:v>P-ENGLISHLANGUAGE;P-MAN</x:v>
      </x:c>
    </x:row>
    <x:row r="27" ht="52" customHeight="1">
      <x:c r="A27" s="20" t="str">
        <x:v>U026</x:v>
      </x:c>
      <x:c r="B27" s="21" t="str">
        <x:v>变迁中的语言</x:v>
      </x:c>
      <x:c r="C27" s="21" t="str">
        <x:v>Language in Transition</x:v>
      </x:c>
      <x:c r="D27" s="21" t="str">
        <x:v>U2</x:v>
      </x:c>
      <x:c r="E27" s="21" t="str">
        <x:v>WEN02</x:v>
      </x:c>
      <x:c r="F27" s="21" t="str">
        <x:v>官方模块</x:v>
      </x:c>
      <x:c r="G27" s="21" t="str">
        <x:v>Pearson Edexcel</x:v>
      </x:c>
      <x:c r="H27" s="21" t="str">
        <x:v>International AS / A Level</x:v>
      </x:c>
      <x:c r="I27" s="21" t="str">
        <x:v>Pearson IAL English Language</x:v>
      </x:c>
      <x:c r="J27" s="21" t="str">
        <x:v>IAS</x:v>
      </x:c>
      <x:c r="K27" s="21" t="str">
        <x:v>与官方unit对应；中文及U序号为本模板显示方式；不自动表示已开班。</x:v>
      </x:c>
      <x:c r="L27" s="21" t="str">
        <x:v>P-ENGLISHLANGUAGE;P-MAN</x:v>
      </x:c>
    </x:row>
    <x:row r="28" ht="52" customHeight="1">
      <x:c r="A28" s="20" t="str">
        <x:v>U027</x:v>
      </x:c>
      <x:c r="B28" s="21" t="str">
        <x:v>语言创作（写作）</x:v>
      </x:c>
      <x:c r="C28" s="21" t="str">
        <x:v>Crafting Language (Writing)</x:v>
      </x:c>
      <x:c r="D28" s="21" t="str">
        <x:v>U3</x:v>
      </x:c>
      <x:c r="E28" s="21" t="str">
        <x:v>WEN03</x:v>
      </x:c>
      <x:c r="F28" s="21" t="str">
        <x:v>官方模块</x:v>
      </x:c>
      <x:c r="G28" s="21" t="str">
        <x:v>Pearson Edexcel</x:v>
      </x:c>
      <x:c r="H28" s="21" t="str">
        <x:v>International AS / A Level</x:v>
      </x:c>
      <x:c r="I28" s="21" t="str">
        <x:v>Pearson IAL English Language</x:v>
      </x:c>
      <x:c r="J28" s="21" t="str">
        <x:v>IA2</x:v>
      </x:c>
      <x:c r="K28" s="21" t="str">
        <x:v>与官方unit对应；中文及U序号为本模板显示方式；不自动表示已开班。</x:v>
      </x:c>
      <x:c r="L28" s="21" t="str">
        <x:v>P-ENGLISHLANGUAGE;P-MAN</x:v>
      </x:c>
    </x:row>
    <x:row r="29" ht="52" customHeight="1">
      <x:c r="A29" s="20" t="str">
        <x:v>U028</x:v>
      </x:c>
      <x:c r="B29" s="21" t="str">
        <x:v>语言研究</x:v>
      </x:c>
      <x:c r="C29" s="21" t="str">
        <x:v>Investigating Language</x:v>
      </x:c>
      <x:c r="D29" s="21" t="str">
        <x:v>U4</x:v>
      </x:c>
      <x:c r="E29" s="21" t="str">
        <x:v>WEN04</x:v>
      </x:c>
      <x:c r="F29" s="21" t="str">
        <x:v>官方模块</x:v>
      </x:c>
      <x:c r="G29" s="21" t="str">
        <x:v>Pearson Edexcel</x:v>
      </x:c>
      <x:c r="H29" s="21" t="str">
        <x:v>International AS / A Level</x:v>
      </x:c>
      <x:c r="I29" s="21" t="str">
        <x:v>Pearson IAL English Language</x:v>
      </x:c>
      <x:c r="J29" s="21" t="str">
        <x:v>IA2</x:v>
      </x:c>
      <x:c r="K29" s="21" t="str">
        <x:v>与官方unit对应；中文及U序号为本模板显示方式；不自动表示已开班。</x:v>
      </x:c>
      <x:c r="L29" s="21" t="str">
        <x:v>P-ENGLISHLANGUAGE;P-MAN</x:v>
      </x:c>
    </x:row>
    <x:row r="30" ht="52" customHeight="1">
      <x:c r="A30" s="20" t="str">
        <x:v>U029</x:v>
      </x:c>
      <x:c r="B30" s="21" t="str">
        <x:v>2000年后的诗歌与散文</x:v>
      </x:c>
      <x:c r="C30" s="21" t="str">
        <x:v>Post-2000 Poetry and Prose</x:v>
      </x:c>
      <x:c r="D30" s="21" t="str">
        <x:v>U1</x:v>
      </x:c>
      <x:c r="E30" s="21" t="str">
        <x:v>WET01</x:v>
      </x:c>
      <x:c r="F30" s="21" t="str">
        <x:v>官方模块</x:v>
      </x:c>
      <x:c r="G30" s="21" t="str">
        <x:v>Pearson Edexcel</x:v>
      </x:c>
      <x:c r="H30" s="21" t="str">
        <x:v>International AS / A Level</x:v>
      </x:c>
      <x:c r="I30" s="21" t="str">
        <x:v>Pearson IAL English Literature</x:v>
      </x:c>
      <x:c r="J30" s="21" t="str">
        <x:v>IAS</x:v>
      </x:c>
      <x:c r="K30" s="21" t="str">
        <x:v>与官方unit对应；中文及U序号为本模板显示方式；不自动表示已开班。</x:v>
      </x:c>
      <x:c r="L30" s="21" t="str">
        <x:v>P-ENGLISHLITERATURE;P-MAN</x:v>
      </x:c>
    </x:row>
    <x:row r="31" ht="52" customHeight="1">
      <x:c r="A31" s="20" t="str">
        <x:v>U030</x:v>
      </x:c>
      <x:c r="B31" s="21" t="str">
        <x:v>戏剧</x:v>
      </x:c>
      <x:c r="C31" s="21" t="str">
        <x:v>Drama</x:v>
      </x:c>
      <x:c r="D31" s="21" t="str">
        <x:v>U2</x:v>
      </x:c>
      <x:c r="E31" s="21" t="str">
        <x:v>WET02</x:v>
      </x:c>
      <x:c r="F31" s="21" t="str">
        <x:v>官方模块</x:v>
      </x:c>
      <x:c r="G31" s="21" t="str">
        <x:v>Pearson Edexcel</x:v>
      </x:c>
      <x:c r="H31" s="21" t="str">
        <x:v>International AS / A Level</x:v>
      </x:c>
      <x:c r="I31" s="21" t="str">
        <x:v>Pearson IAL English Literature</x:v>
      </x:c>
      <x:c r="J31" s="21" t="str">
        <x:v>IAS</x:v>
      </x:c>
      <x:c r="K31" s="21" t="str">
        <x:v>与官方unit对应；中文及U序号为本模板显示方式；不自动表示已开班。</x:v>
      </x:c>
      <x:c r="L31" s="21" t="str">
        <x:v>P-ENGLISHLITERATURE;P-MAN</x:v>
      </x:c>
    </x:row>
    <x:row r="32" ht="52" customHeight="1">
      <x:c r="A32" s="20" t="str">
        <x:v>U031</x:v>
      </x:c>
      <x:c r="B32" s="21" t="str">
        <x:v>诗歌与散文</x:v>
      </x:c>
      <x:c r="C32" s="21" t="str">
        <x:v>Poetry and Prose</x:v>
      </x:c>
      <x:c r="D32" s="21" t="str">
        <x:v>U3</x:v>
      </x:c>
      <x:c r="E32" s="21" t="str">
        <x:v>WET03</x:v>
      </x:c>
      <x:c r="F32" s="21" t="str">
        <x:v>官方模块</x:v>
      </x:c>
      <x:c r="G32" s="21" t="str">
        <x:v>Pearson Edexcel</x:v>
      </x:c>
      <x:c r="H32" s="21" t="str">
        <x:v>International AS / A Level</x:v>
      </x:c>
      <x:c r="I32" s="21" t="str">
        <x:v>Pearson IAL English Literature</x:v>
      </x:c>
      <x:c r="J32" s="21" t="str">
        <x:v>IA2</x:v>
      </x:c>
      <x:c r="K32" s="21" t="str">
        <x:v>与官方unit对应；中文及U序号为本模板显示方式；不自动表示已开班。</x:v>
      </x:c>
      <x:c r="L32" s="21" t="str">
        <x:v>P-ENGLISHLITERATURE;P-MAN</x:v>
      </x:c>
    </x:row>
    <x:row r="33" ht="52" customHeight="1">
      <x:c r="A33" s="20" t="str">
        <x:v>U032</x:v>
      </x:c>
      <x:c r="B33" s="21" t="str">
        <x:v>莎士比亚与1900年前诗歌</x:v>
      </x:c>
      <x:c r="C33" s="21" t="str">
        <x:v>Shakespeare and Pre-1900 Poetry</x:v>
      </x:c>
      <x:c r="D33" s="21" t="str">
        <x:v>U4</x:v>
      </x:c>
      <x:c r="E33" s="21" t="str">
        <x:v>WET04</x:v>
      </x:c>
      <x:c r="F33" s="21" t="str">
        <x:v>官方模块</x:v>
      </x:c>
      <x:c r="G33" s="21" t="str">
        <x:v>Pearson Edexcel</x:v>
      </x:c>
      <x:c r="H33" s="21" t="str">
        <x:v>International AS / A Level</x:v>
      </x:c>
      <x:c r="I33" s="21" t="str">
        <x:v>Pearson IAL English Literature</x:v>
      </x:c>
      <x:c r="J33" s="21" t="str">
        <x:v>IA2</x:v>
      </x:c>
      <x:c r="K33" s="21" t="str">
        <x:v>与官方unit对应；中文及U序号为本模板显示方式；不自动表示已开班。</x:v>
      </x:c>
      <x:c r="L33" s="21" t="str">
        <x:v>P-ENGLISHLITERATURE;P-MAN</x:v>
      </x:c>
    </x:row>
    <x:row r="34" ht="52" customHeight="1">
      <x:c r="A34" s="20" t="str">
        <x:v>U033</x:v>
      </x:c>
      <x:c r="B34" s="21" t="str">
        <x:v>口语表达与回应</x:v>
      </x:c>
      <x:c r="C34" s="21" t="str">
        <x:v>Spoken Expression and Response</x:v>
      </x:c>
      <x:c r="D34" s="21" t="str">
        <x:v>U1</x:v>
      </x:c>
      <x:c r="E34" s="21" t="str">
        <x:v>WFR01</x:v>
      </x:c>
      <x:c r="F34" s="21" t="str">
        <x:v>官方模块</x:v>
      </x:c>
      <x:c r="G34" s="21" t="str">
        <x:v>Pearson Edexcel</x:v>
      </x:c>
      <x:c r="H34" s="21" t="str">
        <x:v>International AS / A Level</x:v>
      </x:c>
      <x:c r="I34" s="21" t="str">
        <x:v>Pearson IAL French</x:v>
      </x:c>
      <x:c r="J34" s="21" t="str">
        <x:v>IAS</x:v>
      </x:c>
      <x:c r="K34" s="21" t="str">
        <x:v>与官方unit对应；中文及U序号为本模板显示方式；不自动表示已开班。</x:v>
      </x:c>
      <x:c r="L34" s="21" t="str">
        <x:v>P-MAN</x:v>
      </x:c>
    </x:row>
    <x:row r="35" ht="52" customHeight="1">
      <x:c r="A35" s="20" t="str">
        <x:v>U034</x:v>
      </x:c>
      <x:c r="B35" s="21" t="str">
        <x:v>理解与书面回应</x:v>
      </x:c>
      <x:c r="C35" s="21" t="str">
        <x:v>Understanding and Written Response</x:v>
      </x:c>
      <x:c r="D35" s="21" t="str">
        <x:v>U2</x:v>
      </x:c>
      <x:c r="E35" s="21" t="str">
        <x:v>WFR02</x:v>
      </x:c>
      <x:c r="F35" s="21" t="str">
        <x:v>官方模块</x:v>
      </x:c>
      <x:c r="G35" s="21" t="str">
        <x:v>Pearson Edexcel</x:v>
      </x:c>
      <x:c r="H35" s="21" t="str">
        <x:v>International AS / A Level</x:v>
      </x:c>
      <x:c r="I35" s="21" t="str">
        <x:v>Pearson IAL French</x:v>
      </x:c>
      <x:c r="J35" s="21" t="str">
        <x:v>IAS</x:v>
      </x:c>
      <x:c r="K35" s="21" t="str">
        <x:v>与官方unit对应；中文及U序号为本模板显示方式；不自动表示已开班。</x:v>
      </x:c>
      <x:c r="L35" s="21" t="str">
        <x:v>P-MAN</x:v>
      </x:c>
    </x:row>
    <x:row r="36" ht="52" customHeight="1">
      <x:c r="A36" s="20" t="str">
        <x:v>U035</x:v>
      </x:c>
      <x:c r="B36" s="21" t="str">
        <x:v>理解与口头回应</x:v>
      </x:c>
      <x:c r="C36" s="21" t="str">
        <x:v>Understanding and Spoken Response</x:v>
      </x:c>
      <x:c r="D36" s="21" t="str">
        <x:v>U3</x:v>
      </x:c>
      <x:c r="E36" s="21" t="str">
        <x:v>WFR03</x:v>
      </x:c>
      <x:c r="F36" s="21" t="str">
        <x:v>官方模块</x:v>
      </x:c>
      <x:c r="G36" s="21" t="str">
        <x:v>Pearson Edexcel</x:v>
      </x:c>
      <x:c r="H36" s="21" t="str">
        <x:v>International AS / A Level</x:v>
      </x:c>
      <x:c r="I36" s="21" t="str">
        <x:v>Pearson IAL French</x:v>
      </x:c>
      <x:c r="J36" s="21" t="str">
        <x:v>IA2</x:v>
      </x:c>
      <x:c r="K36" s="21" t="str">
        <x:v>与官方unit对应；中文及U序号为本模板显示方式；不自动表示已开班。</x:v>
      </x:c>
      <x:c r="L36" s="21" t="str">
        <x:v>P-MAN</x:v>
      </x:c>
    </x:row>
    <x:row r="37" ht="52" customHeight="1">
      <x:c r="A37" s="20" t="str">
        <x:v>U036</x:v>
      </x:c>
      <x:c r="B37" s="21" t="str">
        <x:v>研究、理解与书面回应</x:v>
      </x:c>
      <x:c r="C37" s="21" t="str">
        <x:v>Research, Understanding and Written Response</x:v>
      </x:c>
      <x:c r="D37" s="21" t="str">
        <x:v>U4</x:v>
      </x:c>
      <x:c r="E37" s="21" t="str">
        <x:v>WFR04</x:v>
      </x:c>
      <x:c r="F37" s="21" t="str">
        <x:v>官方模块</x:v>
      </x:c>
      <x:c r="G37" s="21" t="str">
        <x:v>Pearson Edexcel</x:v>
      </x:c>
      <x:c r="H37" s="21" t="str">
        <x:v>International AS / A Level</x:v>
      </x:c>
      <x:c r="I37" s="21" t="str">
        <x:v>Pearson IAL French</x:v>
      </x:c>
      <x:c r="J37" s="21" t="str">
        <x:v>IA2</x:v>
      </x:c>
      <x:c r="K37" s="21" t="str">
        <x:v>与官方unit对应；中文及U序号为本模板显示方式；不自动表示已开班。</x:v>
      </x:c>
      <x:c r="L37" s="21" t="str">
        <x:v>P-MAN</x:v>
      </x:c>
    </x:row>
    <x:row r="38" ht="52" customHeight="1">
      <x:c r="A38" s="20" t="str">
        <x:v>U037</x:v>
      </x:c>
      <x:c r="B38" s="21" t="str">
        <x:v>全球挑战</x:v>
      </x:c>
      <x:c r="C38" s="21" t="str">
        <x:v>Global Challenges</x:v>
      </x:c>
      <x:c r="D38" s="21" t="str">
        <x:v>U1</x:v>
      </x:c>
      <x:c r="E38" s="21" t="str">
        <x:v>WGE01</x:v>
      </x:c>
      <x:c r="F38" s="21" t="str">
        <x:v>官方模块</x:v>
      </x:c>
      <x:c r="G38" s="21" t="str">
        <x:v>Pearson Edexcel</x:v>
      </x:c>
      <x:c r="H38" s="21" t="str">
        <x:v>International AS / A Level</x:v>
      </x:c>
      <x:c r="I38" s="21" t="str">
        <x:v>Pearson IAL Geography</x:v>
      </x:c>
      <x:c r="J38" s="21" t="str">
        <x:v>IAS</x:v>
      </x:c>
      <x:c r="K38" s="21" t="str">
        <x:v>与官方unit对应；中文及U序号为本模板显示方式；不自动表示已开班。</x:v>
      </x:c>
      <x:c r="L38" s="21" t="str">
        <x:v>P-MAN</x:v>
      </x:c>
    </x:row>
    <x:row r="39" ht="52" customHeight="1">
      <x:c r="A39" s="20" t="str">
        <x:v>U038</x:v>
      </x:c>
      <x:c r="B39" s="21" t="str">
        <x:v>地理调查</x:v>
      </x:c>
      <x:c r="C39" s="21" t="str">
        <x:v>Geographical Investigations</x:v>
      </x:c>
      <x:c r="D39" s="21" t="str">
        <x:v>U2</x:v>
      </x:c>
      <x:c r="E39" s="21" t="str">
        <x:v>WGE02</x:v>
      </x:c>
      <x:c r="F39" s="21" t="str">
        <x:v>官方模块</x:v>
      </x:c>
      <x:c r="G39" s="21" t="str">
        <x:v>Pearson Edexcel</x:v>
      </x:c>
      <x:c r="H39" s="21" t="str">
        <x:v>International AS / A Level</x:v>
      </x:c>
      <x:c r="I39" s="21" t="str">
        <x:v>Pearson IAL Geography</x:v>
      </x:c>
      <x:c r="J39" s="21" t="str">
        <x:v>IAS</x:v>
      </x:c>
      <x:c r="K39" s="21" t="str">
        <x:v>与官方unit对应；中文及U序号为本模板显示方式；不自动表示已开班。</x:v>
      </x:c>
      <x:c r="L39" s="21" t="str">
        <x:v>P-MAN</x:v>
      </x:c>
    </x:row>
    <x:row r="40" ht="52" customHeight="1">
      <x:c r="A40" s="20" t="str">
        <x:v>U039</x:v>
      </x:c>
      <x:c r="B40" s="21" t="str">
        <x:v>充满争议的地球</x:v>
      </x:c>
      <x:c r="C40" s="21" t="str">
        <x:v>Contested Planet</x:v>
      </x:c>
      <x:c r="D40" s="21" t="str">
        <x:v>U3</x:v>
      </x:c>
      <x:c r="E40" s="21" t="str">
        <x:v>WGE03</x:v>
      </x:c>
      <x:c r="F40" s="21" t="str">
        <x:v>官方模块</x:v>
      </x:c>
      <x:c r="G40" s="21" t="str">
        <x:v>Pearson Edexcel</x:v>
      </x:c>
      <x:c r="H40" s="21" t="str">
        <x:v>International AS / A Level</x:v>
      </x:c>
      <x:c r="I40" s="21" t="str">
        <x:v>Pearson IAL Geography</x:v>
      </x:c>
      <x:c r="J40" s="21" t="str">
        <x:v>IA2</x:v>
      </x:c>
      <x:c r="K40" s="21" t="str">
        <x:v>与官方unit对应；中文及U序号为本模板显示方式；不自动表示已开班。</x:v>
      </x:c>
      <x:c r="L40" s="21" t="str">
        <x:v>P-MAN</x:v>
      </x:c>
    </x:row>
    <x:row r="41" ht="52" customHeight="1">
      <x:c r="A41" s="20" t="str">
        <x:v>U040</x:v>
      </x:c>
      <x:c r="B41" s="21" t="str">
        <x:v>地理研究</x:v>
      </x:c>
      <x:c r="C41" s="21" t="str">
        <x:v>Researching Geography</x:v>
      </x:c>
      <x:c r="D41" s="21" t="str">
        <x:v>U4</x:v>
      </x:c>
      <x:c r="E41" s="21" t="str">
        <x:v>WGE04</x:v>
      </x:c>
      <x:c r="F41" s="21" t="str">
        <x:v>官方模块</x:v>
      </x:c>
      <x:c r="G41" s="21" t="str">
        <x:v>Pearson Edexcel</x:v>
      </x:c>
      <x:c r="H41" s="21" t="str">
        <x:v>International AS / A Level</x:v>
      </x:c>
      <x:c r="I41" s="21" t="str">
        <x:v>Pearson IAL Geography</x:v>
      </x:c>
      <x:c r="J41" s="21" t="str">
        <x:v>IA2</x:v>
      </x:c>
      <x:c r="K41" s="21" t="str">
        <x:v>与官方unit对应；中文及U序号为本模板显示方式；不自动表示已开班。</x:v>
      </x:c>
      <x:c r="L41" s="21" t="str">
        <x:v>P-MAN</x:v>
      </x:c>
    </x:row>
    <x:row r="42" ht="52" customHeight="1">
      <x:c r="A42" s="20" t="str">
        <x:v>U041</x:v>
      </x:c>
      <x:c r="B42" s="21" t="str">
        <x:v>口语表达与回应</x:v>
      </x:c>
      <x:c r="C42" s="21" t="str">
        <x:v>Spoken Expression and Response</x:v>
      </x:c>
      <x:c r="D42" s="21" t="str">
        <x:v>U1</x:v>
      </x:c>
      <x:c r="E42" s="21" t="str">
        <x:v>WGN01</x:v>
      </x:c>
      <x:c r="F42" s="21" t="str">
        <x:v>官方模块</x:v>
      </x:c>
      <x:c r="G42" s="21" t="str">
        <x:v>Pearson Edexcel</x:v>
      </x:c>
      <x:c r="H42" s="21" t="str">
        <x:v>International AS / A Level</x:v>
      </x:c>
      <x:c r="I42" s="21" t="str">
        <x:v>Pearson IAL German</x:v>
      </x:c>
      <x:c r="J42" s="21" t="str">
        <x:v>IAS</x:v>
      </x:c>
      <x:c r="K42" s="21" t="str">
        <x:v>与官方unit对应；中文及U序号为本模板显示方式；不自动表示已开班。</x:v>
      </x:c>
      <x:c r="L42" s="21" t="str">
        <x:v>P-MAN</x:v>
      </x:c>
    </x:row>
    <x:row r="43" ht="52" customHeight="1">
      <x:c r="A43" s="20" t="str">
        <x:v>U042</x:v>
      </x:c>
      <x:c r="B43" s="21" t="str">
        <x:v>理解与书面回应</x:v>
      </x:c>
      <x:c r="C43" s="21" t="str">
        <x:v>Understanding and Written Response</x:v>
      </x:c>
      <x:c r="D43" s="21" t="str">
        <x:v>U2</x:v>
      </x:c>
      <x:c r="E43" s="21" t="str">
        <x:v>WGN02</x:v>
      </x:c>
      <x:c r="F43" s="21" t="str">
        <x:v>官方模块</x:v>
      </x:c>
      <x:c r="G43" s="21" t="str">
        <x:v>Pearson Edexcel</x:v>
      </x:c>
      <x:c r="H43" s="21" t="str">
        <x:v>International AS / A Level</x:v>
      </x:c>
      <x:c r="I43" s="21" t="str">
        <x:v>Pearson IAL German</x:v>
      </x:c>
      <x:c r="J43" s="21" t="str">
        <x:v>IAS</x:v>
      </x:c>
      <x:c r="K43" s="21" t="str">
        <x:v>与官方unit对应；中文及U序号为本模板显示方式；不自动表示已开班。</x:v>
      </x:c>
      <x:c r="L43" s="21" t="str">
        <x:v>P-MAN</x:v>
      </x:c>
    </x:row>
    <x:row r="44" ht="52" customHeight="1">
      <x:c r="A44" s="20" t="str">
        <x:v>U043</x:v>
      </x:c>
      <x:c r="B44" s="21" t="str">
        <x:v>理解与口头回应</x:v>
      </x:c>
      <x:c r="C44" s="21" t="str">
        <x:v>Understanding and Spoken Response</x:v>
      </x:c>
      <x:c r="D44" s="21" t="str">
        <x:v>U3</x:v>
      </x:c>
      <x:c r="E44" s="21" t="str">
        <x:v>WGN03</x:v>
      </x:c>
      <x:c r="F44" s="21" t="str">
        <x:v>官方模块</x:v>
      </x:c>
      <x:c r="G44" s="21" t="str">
        <x:v>Pearson Edexcel</x:v>
      </x:c>
      <x:c r="H44" s="21" t="str">
        <x:v>International AS / A Level</x:v>
      </x:c>
      <x:c r="I44" s="21" t="str">
        <x:v>Pearson IAL German</x:v>
      </x:c>
      <x:c r="J44" s="21" t="str">
        <x:v>IA2</x:v>
      </x:c>
      <x:c r="K44" s="21" t="str">
        <x:v>与官方unit对应；中文及U序号为本模板显示方式；不自动表示已开班。</x:v>
      </x:c>
      <x:c r="L44" s="21" t="str">
        <x:v>P-MAN</x:v>
      </x:c>
    </x:row>
    <x:row r="45" ht="52" customHeight="1">
      <x:c r="A45" s="20" t="str">
        <x:v>U044</x:v>
      </x:c>
      <x:c r="B45" s="21" t="str">
        <x:v>研究、理解与书面回应</x:v>
      </x:c>
      <x:c r="C45" s="21" t="str">
        <x:v>Research, Understanding and Written Response</x:v>
      </x:c>
      <x:c r="D45" s="21" t="str">
        <x:v>U4</x:v>
      </x:c>
      <x:c r="E45" s="21" t="str">
        <x:v>WGN04</x:v>
      </x:c>
      <x:c r="F45" s="21" t="str">
        <x:v>官方模块</x:v>
      </x:c>
      <x:c r="G45" s="21" t="str">
        <x:v>Pearson Edexcel</x:v>
      </x:c>
      <x:c r="H45" s="21" t="str">
        <x:v>International AS / A Level</x:v>
      </x:c>
      <x:c r="I45" s="21" t="str">
        <x:v>Pearson IAL German</x:v>
      </x:c>
      <x:c r="J45" s="21" t="str">
        <x:v>IA2</x:v>
      </x:c>
      <x:c r="K45" s="21" t="str">
        <x:v>与官方unit对应；中文及U序号为本模板显示方式；不自动表示已开班。</x:v>
      </x:c>
      <x:c r="L45" s="21" t="str">
        <x:v>P-MAN</x:v>
      </x:c>
    </x:row>
    <x:row r="46" ht="52" customHeight="1">
      <x:c r="A46" s="20" t="str">
        <x:v>U045</x:v>
      </x:c>
      <x:c r="B46" s="21" t="str">
        <x:v>深度研究与史学解释</x:v>
      </x:c>
      <x:c r="C46" s="21" t="str">
        <x:v>Depth Study with Interpretations</x:v>
      </x:c>
      <x:c r="D46" s="21" t="str">
        <x:v>U1</x:v>
      </x:c>
      <x:c r="E46" s="21" t="str">
        <x:v>WHI01</x:v>
      </x:c>
      <x:c r="F46" s="21" t="str">
        <x:v>官方模块</x:v>
      </x:c>
      <x:c r="G46" s="21" t="str">
        <x:v>Pearson Edexcel</x:v>
      </x:c>
      <x:c r="H46" s="21" t="str">
        <x:v>International AS / A Level</x:v>
      </x:c>
      <x:c r="I46" s="21" t="str">
        <x:v>Pearson IAL History</x:v>
      </x:c>
      <x:c r="J46" s="21" t="str">
        <x:v>IAS</x:v>
      </x:c>
      <x:c r="K46" s="21" t="str">
        <x:v>与官方unit对应；中文及U序号为本模板显示方式；不自动表示已开班。</x:v>
      </x:c>
      <x:c r="L46" s="21" t="str">
        <x:v>P-MAN</x:v>
      </x:c>
    </x:row>
    <x:row r="47" ht="52" customHeight="1">
      <x:c r="A47" s="20" t="str">
        <x:v>U046</x:v>
      </x:c>
      <x:c r="B47" s="21" t="str">
        <x:v>广度研究与史料评价</x:v>
      </x:c>
      <x:c r="C47" s="21" t="str">
        <x:v>Breadth Study with Source Evaluation</x:v>
      </x:c>
      <x:c r="D47" s="21" t="str">
        <x:v>U2</x:v>
      </x:c>
      <x:c r="E47" s="21" t="str">
        <x:v>WHI02</x:v>
      </x:c>
      <x:c r="F47" s="21" t="str">
        <x:v>官方模块</x:v>
      </x:c>
      <x:c r="G47" s="21" t="str">
        <x:v>Pearson Edexcel</x:v>
      </x:c>
      <x:c r="H47" s="21" t="str">
        <x:v>International AS / A Level</x:v>
      </x:c>
      <x:c r="I47" s="21" t="str">
        <x:v>Pearson IAL History</x:v>
      </x:c>
      <x:c r="J47" s="21" t="str">
        <x:v>IAS</x:v>
      </x:c>
      <x:c r="K47" s="21" t="str">
        <x:v>与官方unit对应；中文及U序号为本模板显示方式；不自动表示已开班。</x:v>
      </x:c>
      <x:c r="L47" s="21" t="str">
        <x:v>P-MAN</x:v>
      </x:c>
    </x:row>
    <x:row r="48" ht="52" customHeight="1">
      <x:c r="A48" s="20" t="str">
        <x:v>U047</x:v>
      </x:c>
      <x:c r="B48" s="21" t="str">
        <x:v>专题研究与史料评价</x:v>
      </x:c>
      <x:c r="C48" s="21" t="str">
        <x:v>Thematic Study with Source Evaluation</x:v>
      </x:c>
      <x:c r="D48" s="21" t="str">
        <x:v>U3</x:v>
      </x:c>
      <x:c r="E48" s="21" t="str">
        <x:v>WHI03</x:v>
      </x:c>
      <x:c r="F48" s="21" t="str">
        <x:v>官方模块</x:v>
      </x:c>
      <x:c r="G48" s="21" t="str">
        <x:v>Pearson Edexcel</x:v>
      </x:c>
      <x:c r="H48" s="21" t="str">
        <x:v>International AS / A Level</x:v>
      </x:c>
      <x:c r="I48" s="21" t="str">
        <x:v>Pearson IAL History</x:v>
      </x:c>
      <x:c r="J48" s="21" t="str">
        <x:v>IA2</x:v>
      </x:c>
      <x:c r="K48" s="21" t="str">
        <x:v>与官方unit对应；中文及U序号为本模板显示方式；不自动表示已开班。</x:v>
      </x:c>
      <x:c r="L48" s="21" t="str">
        <x:v>P-MAN</x:v>
      </x:c>
    </x:row>
    <x:row r="49" ht="52" customHeight="1">
      <x:c r="A49" s="20" t="str">
        <x:v>U048</x:v>
      </x:c>
      <x:c r="B49" s="21" t="str">
        <x:v>国际研究与历史解释</x:v>
      </x:c>
      <x:c r="C49" s="21" t="str">
        <x:v>International Study with Historical Interpretations</x:v>
      </x:c>
      <x:c r="D49" s="21" t="str">
        <x:v>U4</x:v>
      </x:c>
      <x:c r="E49" s="21" t="str">
        <x:v>WHI04</x:v>
      </x:c>
      <x:c r="F49" s="21" t="str">
        <x:v>官方模块</x:v>
      </x:c>
      <x:c r="G49" s="21" t="str">
        <x:v>Pearson Edexcel</x:v>
      </x:c>
      <x:c r="H49" s="21" t="str">
        <x:v>International AS / A Level</x:v>
      </x:c>
      <x:c r="I49" s="21" t="str">
        <x:v>Pearson IAL History</x:v>
      </x:c>
      <x:c r="J49" s="21" t="str">
        <x:v>IA2</x:v>
      </x:c>
      <x:c r="K49" s="21" t="str">
        <x:v>与官方unit对应；中文及U序号为本模板显示方式；不自动表示已开班。</x:v>
      </x:c>
      <x:c r="L49" s="21" t="str">
        <x:v>P-MAN</x:v>
      </x:c>
    </x:row>
    <x:row r="50" ht="52" customHeight="1">
      <x:c r="A50" s="20" t="str">
        <x:v>U049</x:v>
      </x:c>
      <x:c r="B50" s="21" t="str">
        <x:v>信息技术单元 1</x:v>
      </x:c>
      <x:c r="C50" s="21" t="str">
        <x:v>Unit 1</x:v>
      </x:c>
      <x:c r="D50" s="21" t="str">
        <x:v>U1</x:v>
      </x:c>
      <x:c r="E50" s="21" t="str">
        <x:v>WIT11</x:v>
      </x:c>
      <x:c r="F50" s="21" t="str">
        <x:v>官方模块</x:v>
      </x:c>
      <x:c r="G50" s="21" t="str">
        <x:v>Pearson Edexcel</x:v>
      </x:c>
      <x:c r="H50" s="21" t="str">
        <x:v>International AS / A Level</x:v>
      </x:c>
      <x:c r="I50" s="21" t="str">
        <x:v>Pearson IAL Information Technology</x:v>
      </x:c>
      <x:c r="J50" s="21" t="str">
        <x:v>IAS</x:v>
      </x:c>
      <x:c r="K50" s="21" t="str">
        <x:v>与官方unit对应；中文及U序号为本模板显示方式；不自动表示已开班。</x:v>
      </x:c>
      <x:c r="L50" s="21" t="str">
        <x:v>P-INFORMATIONTECHNOLOGY;P-MAN</x:v>
      </x:c>
    </x:row>
    <x:row r="51" ht="52" customHeight="1">
      <x:c r="A51" s="20" t="str">
        <x:v>U050</x:v>
      </x:c>
      <x:c r="B51" s="21" t="str">
        <x:v>信息技术单元 2</x:v>
      </x:c>
      <x:c r="C51" s="21" t="str">
        <x:v>Unit 2</x:v>
      </x:c>
      <x:c r="D51" s="21" t="str">
        <x:v>U2</x:v>
      </x:c>
      <x:c r="E51" s="21" t="str">
        <x:v>WIT12</x:v>
      </x:c>
      <x:c r="F51" s="21" t="str">
        <x:v>官方模块</x:v>
      </x:c>
      <x:c r="G51" s="21" t="str">
        <x:v>Pearson Edexcel</x:v>
      </x:c>
      <x:c r="H51" s="21" t="str">
        <x:v>International AS / A Level</x:v>
      </x:c>
      <x:c r="I51" s="21" t="str">
        <x:v>Pearson IAL Information Technology</x:v>
      </x:c>
      <x:c r="J51" s="21" t="str">
        <x:v>IAS</x:v>
      </x:c>
      <x:c r="K51" s="21" t="str">
        <x:v>与官方unit对应；中文及U序号为本模板显示方式；不自动表示已开班。</x:v>
      </x:c>
      <x:c r="L51" s="21" t="str">
        <x:v>P-INFORMATIONTECHNOLOGY;P-MAN</x:v>
      </x:c>
    </x:row>
    <x:row r="52" ht="52" customHeight="1">
      <x:c r="A52" s="20" t="str">
        <x:v>U051</x:v>
      </x:c>
      <x:c r="B52" s="21" t="str">
        <x:v>信息技术单元 3</x:v>
      </x:c>
      <x:c r="C52" s="21" t="str">
        <x:v>Unit 3</x:v>
      </x:c>
      <x:c r="D52" s="21" t="str">
        <x:v>U3</x:v>
      </x:c>
      <x:c r="E52" s="21" t="str">
        <x:v>WIT13</x:v>
      </x:c>
      <x:c r="F52" s="21" t="str">
        <x:v>官方模块</x:v>
      </x:c>
      <x:c r="G52" s="21" t="str">
        <x:v>Pearson Edexcel</x:v>
      </x:c>
      <x:c r="H52" s="21" t="str">
        <x:v>International AS / A Level</x:v>
      </x:c>
      <x:c r="I52" s="21" t="str">
        <x:v>Pearson IAL Information Technology</x:v>
      </x:c>
      <x:c r="J52" s="21" t="str">
        <x:v>IA2</x:v>
      </x:c>
      <x:c r="K52" s="21" t="str">
        <x:v>与官方unit对应；中文及U序号为本模板显示方式；不自动表示已开班。</x:v>
      </x:c>
      <x:c r="L52" s="21" t="str">
        <x:v>P-INFORMATIONTECHNOLOGY;P-MAN</x:v>
      </x:c>
    </x:row>
    <x:row r="53" ht="52" customHeight="1">
      <x:c r="A53" s="20" t="str">
        <x:v>U052</x:v>
      </x:c>
      <x:c r="B53" s="21" t="str">
        <x:v>信息技术单元 4</x:v>
      </x:c>
      <x:c r="C53" s="21" t="str">
        <x:v>Unit 4</x:v>
      </x:c>
      <x:c r="D53" s="21" t="str">
        <x:v>U4</x:v>
      </x:c>
      <x:c r="E53" s="21" t="str">
        <x:v>WIT14</x:v>
      </x:c>
      <x:c r="F53" s="21" t="str">
        <x:v>官方模块</x:v>
      </x:c>
      <x:c r="G53" s="21" t="str">
        <x:v>Pearson Edexcel</x:v>
      </x:c>
      <x:c r="H53" s="21" t="str">
        <x:v>International AS / A Level</x:v>
      </x:c>
      <x:c r="I53" s="21" t="str">
        <x:v>Pearson IAL Information Technology</x:v>
      </x:c>
      <x:c r="J53" s="21" t="str">
        <x:v>IA2</x:v>
      </x:c>
      <x:c r="K53" s="21" t="str">
        <x:v>与官方unit对应；中文及U序号为本模板显示方式；不自动表示已开班。</x:v>
      </x:c>
      <x:c r="L53" s="21" t="str">
        <x:v>P-INFORMATIONTECHNOLOGY;P-MAN</x:v>
      </x:c>
    </x:row>
    <x:row r="54" ht="52" customHeight="1">
      <x:c r="A54" s="20" t="str">
        <x:v>U053</x:v>
      </x:c>
      <x:c r="B54" s="21" t="str">
        <x:v>力学与材料</x:v>
      </x:c>
      <x:c r="C54" s="21" t="str">
        <x:v>Mechanics and Materials</x:v>
      </x:c>
      <x:c r="D54" s="21" t="str">
        <x:v>U1</x:v>
      </x:c>
      <x:c r="E54" s="21" t="str">
        <x:v>WPH11</x:v>
      </x:c>
      <x:c r="F54" s="21" t="str">
        <x:v>官方模块</x:v>
      </x:c>
      <x:c r="G54" s="21" t="str">
        <x:v>Pearson Edexcel</x:v>
      </x:c>
      <x:c r="H54" s="21" t="str">
        <x:v>International AS / A Level</x:v>
      </x:c>
      <x:c r="I54" s="21" t="str">
        <x:v>Pearson IAL Physics</x:v>
      </x:c>
      <x:c r="J54" s="21" t="str">
        <x:v>IAS</x:v>
      </x:c>
      <x:c r="K54" s="21" t="str">
        <x:v>与官方unit对应；中文及U序号为本模板显示方式；不自动表示已开班。</x:v>
      </x:c>
      <x:c r="L54" s="21" t="str">
        <x:v>P-MAN</x:v>
      </x:c>
    </x:row>
    <x:row r="55" ht="52" customHeight="1">
      <x:c r="A55" s="20" t="str">
        <x:v>U054</x:v>
      </x:c>
      <x:c r="B55" s="21" t="str">
        <x:v>波与电</x:v>
      </x:c>
      <x:c r="C55" s="21" t="str">
        <x:v>Waves and Electricity</x:v>
      </x:c>
      <x:c r="D55" s="21" t="str">
        <x:v>U2</x:v>
      </x:c>
      <x:c r="E55" s="21" t="str">
        <x:v>WPH12</x:v>
      </x:c>
      <x:c r="F55" s="21" t="str">
        <x:v>官方模块</x:v>
      </x:c>
      <x:c r="G55" s="21" t="str">
        <x:v>Pearson Edexcel</x:v>
      </x:c>
      <x:c r="H55" s="21" t="str">
        <x:v>International AS / A Level</x:v>
      </x:c>
      <x:c r="I55" s="21" t="str">
        <x:v>Pearson IAL Physics</x:v>
      </x:c>
      <x:c r="J55" s="21" t="str">
        <x:v>IAS</x:v>
      </x:c>
      <x:c r="K55" s="21" t="str">
        <x:v>与官方unit对应；中文及U序号为本模板显示方式；不自动表示已开班。</x:v>
      </x:c>
      <x:c r="L55" s="21" t="str">
        <x:v>P-MAN</x:v>
      </x:c>
    </x:row>
    <x:row r="56" ht="52" customHeight="1">
      <x:c r="A56" s="20" t="str">
        <x:v>U055</x:v>
      </x:c>
      <x:c r="B56" s="21" t="str">
        <x:v>物理实验技能 I</x:v>
      </x:c>
      <x:c r="C56" s="21" t="str">
        <x:v>Practical Skills in Physics I</x:v>
      </x:c>
      <x:c r="D56" s="21" t="str">
        <x:v>U3</x:v>
      </x:c>
      <x:c r="E56" s="21" t="str">
        <x:v>WPH13</x:v>
      </x:c>
      <x:c r="F56" s="21" t="str">
        <x:v>官方模块</x:v>
      </x:c>
      <x:c r="G56" s="21" t="str">
        <x:v>Pearson Edexcel</x:v>
      </x:c>
      <x:c r="H56" s="21" t="str">
        <x:v>International AS / A Level</x:v>
      </x:c>
      <x:c r="I56" s="21" t="str">
        <x:v>Pearson IAL Physics</x:v>
      </x:c>
      <x:c r="J56" s="21" t="str">
        <x:v>IAS</x:v>
      </x:c>
      <x:c r="K56" s="21" t="str">
        <x:v>与官方unit对应；中文及U序号为本模板显示方式；不自动表示已开班。</x:v>
      </x:c>
      <x:c r="L56" s="21" t="str">
        <x:v>P-MAN</x:v>
      </x:c>
    </x:row>
    <x:row r="57" ht="52" customHeight="1">
      <x:c r="A57" s="20" t="str">
        <x:v>U056</x:v>
      </x:c>
      <x:c r="B57" s="21" t="str">
        <x:v>进阶力学、场与粒子</x:v>
      </x:c>
      <x:c r="C57" s="21" t="str">
        <x:v>Further Mechanics, Fields and Particles</x:v>
      </x:c>
      <x:c r="D57" s="21" t="str">
        <x:v>U4</x:v>
      </x:c>
      <x:c r="E57" s="21" t="str">
        <x:v>WPH14</x:v>
      </x:c>
      <x:c r="F57" s="21" t="str">
        <x:v>官方模块</x:v>
      </x:c>
      <x:c r="G57" s="21" t="str">
        <x:v>Pearson Edexcel</x:v>
      </x:c>
      <x:c r="H57" s="21" t="str">
        <x:v>International AS / A Level</x:v>
      </x:c>
      <x:c r="I57" s="21" t="str">
        <x:v>Pearson IAL Physics</x:v>
      </x:c>
      <x:c r="J57" s="21" t="str">
        <x:v>IA2</x:v>
      </x:c>
      <x:c r="K57" s="21" t="str">
        <x:v>与官方unit对应；中文及U序号为本模板显示方式；不自动表示已开班。</x:v>
      </x:c>
      <x:c r="L57" s="21" t="str">
        <x:v>P-MAN</x:v>
      </x:c>
    </x:row>
    <x:row r="58" ht="52" customHeight="1">
      <x:c r="A58" s="20" t="str">
        <x:v>U057</x:v>
      </x:c>
      <x:c r="B58" s="21" t="str">
        <x:v>热力学、辐射、振动与宇宙学</x:v>
      </x:c>
      <x:c r="C58" s="21" t="str">
        <x:v>Thermodynamics, Radiation, Oscillations and Cosmology</x:v>
      </x:c>
      <x:c r="D58" s="21" t="str">
        <x:v>U5</x:v>
      </x:c>
      <x:c r="E58" s="21" t="str">
        <x:v>WPH15</x:v>
      </x:c>
      <x:c r="F58" s="21" t="str">
        <x:v>官方模块</x:v>
      </x:c>
      <x:c r="G58" s="21" t="str">
        <x:v>Pearson Edexcel</x:v>
      </x:c>
      <x:c r="H58" s="21" t="str">
        <x:v>International AS / A Level</x:v>
      </x:c>
      <x:c r="I58" s="21" t="str">
        <x:v>Pearson IAL Physics</x:v>
      </x:c>
      <x:c r="J58" s="21" t="str">
        <x:v>IA2</x:v>
      </x:c>
      <x:c r="K58" s="21" t="str">
        <x:v>与官方unit对应；中文及U序号为本模板显示方式；不自动表示已开班。</x:v>
      </x:c>
      <x:c r="L58" s="21" t="str">
        <x:v>P-MAN</x:v>
      </x:c>
    </x:row>
    <x:row r="59" ht="52" customHeight="1">
      <x:c r="A59" s="20" t="str">
        <x:v>U058</x:v>
      </x:c>
      <x:c r="B59" s="21" t="str">
        <x:v>物理实验技能 II</x:v>
      </x:c>
      <x:c r="C59" s="21" t="str">
        <x:v>Practical Skills in Physics II</x:v>
      </x:c>
      <x:c r="D59" s="21" t="str">
        <x:v>U6</x:v>
      </x:c>
      <x:c r="E59" s="21" t="str">
        <x:v>WPH16</x:v>
      </x:c>
      <x:c r="F59" s="21" t="str">
        <x:v>官方模块</x:v>
      </x:c>
      <x:c r="G59" s="21" t="str">
        <x:v>Pearson Edexcel</x:v>
      </x:c>
      <x:c r="H59" s="21" t="str">
        <x:v>International AS / A Level</x:v>
      </x:c>
      <x:c r="I59" s="21" t="str">
        <x:v>Pearson IAL Physics</x:v>
      </x:c>
      <x:c r="J59" s="21" t="str">
        <x:v>IA2</x:v>
      </x:c>
      <x:c r="K59" s="21" t="str">
        <x:v>与官方unit对应；中文及U序号为本模板显示方式；不自动表示已开班。</x:v>
      </x:c>
      <x:c r="L59" s="21" t="str">
        <x:v>P-MAN</x:v>
      </x:c>
    </x:row>
    <x:row r="60" ht="52" customHeight="1">
      <x:c r="A60" s="20" t="str">
        <x:v>U059</x:v>
      </x:c>
      <x:c r="B60" s="21" t="str">
        <x:v>社会与认知心理学</x:v>
      </x:c>
      <x:c r="C60" s="21" t="str">
        <x:v>Social and Cognitive Psychology</x:v>
      </x:c>
      <x:c r="D60" s="21" t="str">
        <x:v>U1</x:v>
      </x:c>
      <x:c r="E60" s="21" t="str">
        <x:v>WPS01</x:v>
      </x:c>
      <x:c r="F60" s="21" t="str">
        <x:v>官方模块</x:v>
      </x:c>
      <x:c r="G60" s="21" t="str">
        <x:v>Pearson Edexcel</x:v>
      </x:c>
      <x:c r="H60" s="21" t="str">
        <x:v>International AS / A Level</x:v>
      </x:c>
      <x:c r="I60" s="21" t="str">
        <x:v>Pearson IAL Psychology</x:v>
      </x:c>
      <x:c r="J60" s="21" t="str">
        <x:v>IAS</x:v>
      </x:c>
      <x:c r="K60" s="21" t="str">
        <x:v>与官方unit对应；中文及U序号为本模板显示方式；不自动表示已开班。</x:v>
      </x:c>
      <x:c r="L60" s="21" t="str">
        <x:v>P-MAN</x:v>
      </x:c>
    </x:row>
    <x:row r="61" ht="52" customHeight="1">
      <x:c r="A61" s="20" t="str">
        <x:v>U060</x:v>
      </x:c>
      <x:c r="B61" s="21" t="str">
        <x:v>生物心理学、学习理论与发展</x:v>
      </x:c>
      <x:c r="C61" s="21" t="str">
        <x:v>Biological Psychology, Learning Theories and Development</x:v>
      </x:c>
      <x:c r="D61" s="21" t="str">
        <x:v>U2</x:v>
      </x:c>
      <x:c r="E61" s="21" t="str">
        <x:v>WPS02</x:v>
      </x:c>
      <x:c r="F61" s="21" t="str">
        <x:v>官方模块</x:v>
      </x:c>
      <x:c r="G61" s="21" t="str">
        <x:v>Pearson Edexcel</x:v>
      </x:c>
      <x:c r="H61" s="21" t="str">
        <x:v>International AS / A Level</x:v>
      </x:c>
      <x:c r="I61" s="21" t="str">
        <x:v>Pearson IAL Psychology</x:v>
      </x:c>
      <x:c r="J61" s="21" t="str">
        <x:v>IAS</x:v>
      </x:c>
      <x:c r="K61" s="21" t="str">
        <x:v>与官方unit对应；中文及U序号为本模板显示方式；不自动表示已开班。</x:v>
      </x:c>
      <x:c r="L61" s="21" t="str">
        <x:v>P-MAN</x:v>
      </x:c>
    </x:row>
    <x:row r="62" ht="52" customHeight="1">
      <x:c r="A62" s="20" t="str">
        <x:v>U061</x:v>
      </x:c>
      <x:c r="B62" s="21" t="str">
        <x:v>心理学应用</x:v>
      </x:c>
      <x:c r="C62" s="21" t="str">
        <x:v>Applications of Psychology</x:v>
      </x:c>
      <x:c r="D62" s="21" t="str">
        <x:v>U3</x:v>
      </x:c>
      <x:c r="E62" s="21" t="str">
        <x:v>WPS03</x:v>
      </x:c>
      <x:c r="F62" s="21" t="str">
        <x:v>官方模块</x:v>
      </x:c>
      <x:c r="G62" s="21" t="str">
        <x:v>Pearson Edexcel</x:v>
      </x:c>
      <x:c r="H62" s="21" t="str">
        <x:v>International AS / A Level</x:v>
      </x:c>
      <x:c r="I62" s="21" t="str">
        <x:v>Pearson IAL Psychology</x:v>
      </x:c>
      <x:c r="J62" s="21" t="str">
        <x:v>IA2</x:v>
      </x:c>
      <x:c r="K62" s="21" t="str">
        <x:v>与官方unit对应；中文及U序号为本模板显示方式；不自动表示已开班。</x:v>
      </x:c>
      <x:c r="L62" s="21" t="str">
        <x:v>P-MAN</x:v>
      </x:c>
    </x:row>
    <x:row r="63" ht="52" customHeight="1">
      <x:c r="A63" s="20" t="str">
        <x:v>U062</x:v>
      </x:c>
      <x:c r="B63" s="21" t="str">
        <x:v>临床心理学与心理学技能</x:v>
      </x:c>
      <x:c r="C63" s="21" t="str">
        <x:v>Clinical Psychology and Psychological Skills</x:v>
      </x:c>
      <x:c r="D63" s="21" t="str">
        <x:v>U4</x:v>
      </x:c>
      <x:c r="E63" s="21" t="str">
        <x:v>WPS04</x:v>
      </x:c>
      <x:c r="F63" s="21" t="str">
        <x:v>官方模块</x:v>
      </x:c>
      <x:c r="G63" s="21" t="str">
        <x:v>Pearson Edexcel</x:v>
      </x:c>
      <x:c r="H63" s="21" t="str">
        <x:v>International AS / A Level</x:v>
      </x:c>
      <x:c r="I63" s="21" t="str">
        <x:v>Pearson IAL Psychology</x:v>
      </x:c>
      <x:c r="J63" s="21" t="str">
        <x:v>IA2</x:v>
      </x:c>
      <x:c r="K63" s="21" t="str">
        <x:v>与官方unit对应；中文及U序号为本模板显示方式；不自动表示已开班。</x:v>
      </x:c>
      <x:c r="L63" s="21" t="str">
        <x:v>P-MAN</x:v>
      </x:c>
    </x:row>
    <x:row r="64" ht="52" customHeight="1">
      <x:c r="A64" s="20" t="str">
        <x:v>U063</x:v>
      </x:c>
      <x:c r="B64" s="21" t="str">
        <x:v>口语表达与回应</x:v>
      </x:c>
      <x:c r="C64" s="21" t="str">
        <x:v>Spoken Expression and Response</x:v>
      </x:c>
      <x:c r="D64" s="21" t="str">
        <x:v>U1</x:v>
      </x:c>
      <x:c r="E64" s="21" t="str">
        <x:v>WSP01</x:v>
      </x:c>
      <x:c r="F64" s="21" t="str">
        <x:v>官方模块</x:v>
      </x:c>
      <x:c r="G64" s="21" t="str">
        <x:v>Pearson Edexcel</x:v>
      </x:c>
      <x:c r="H64" s="21" t="str">
        <x:v>International AS / A Level</x:v>
      </x:c>
      <x:c r="I64" s="21" t="str">
        <x:v>Pearson IAL Spanish</x:v>
      </x:c>
      <x:c r="J64" s="21" t="str">
        <x:v>IAS</x:v>
      </x:c>
      <x:c r="K64" s="21" t="str">
        <x:v>与官方unit对应；中文及U序号为本模板显示方式；不自动表示已开班。</x:v>
      </x:c>
      <x:c r="L64" s="21" t="str">
        <x:v>P-MAN</x:v>
      </x:c>
    </x:row>
    <x:row r="65" ht="52" customHeight="1">
      <x:c r="A65" s="20" t="str">
        <x:v>U064</x:v>
      </x:c>
      <x:c r="B65" s="21" t="str">
        <x:v>理解与书面回应</x:v>
      </x:c>
      <x:c r="C65" s="21" t="str">
        <x:v>Understanding and Written Response</x:v>
      </x:c>
      <x:c r="D65" s="21" t="str">
        <x:v>U2</x:v>
      </x:c>
      <x:c r="E65" s="21" t="str">
        <x:v>WSP02</x:v>
      </x:c>
      <x:c r="F65" s="21" t="str">
        <x:v>官方模块</x:v>
      </x:c>
      <x:c r="G65" s="21" t="str">
        <x:v>Pearson Edexcel</x:v>
      </x:c>
      <x:c r="H65" s="21" t="str">
        <x:v>International AS / A Level</x:v>
      </x:c>
      <x:c r="I65" s="21" t="str">
        <x:v>Pearson IAL Spanish</x:v>
      </x:c>
      <x:c r="J65" s="21" t="str">
        <x:v>IAS</x:v>
      </x:c>
      <x:c r="K65" s="21" t="str">
        <x:v>与官方unit对应；中文及U序号为本模板显示方式；不自动表示已开班。</x:v>
      </x:c>
      <x:c r="L65" s="21" t="str">
        <x:v>P-MAN</x:v>
      </x:c>
    </x:row>
    <x:row r="66" ht="52" customHeight="1">
      <x:c r="A66" s="20" t="str">
        <x:v>U065</x:v>
      </x:c>
      <x:c r="B66" s="21" t="str">
        <x:v>理解与口头回应</x:v>
      </x:c>
      <x:c r="C66" s="21" t="str">
        <x:v>Understanding and Spoken Response</x:v>
      </x:c>
      <x:c r="D66" s="21" t="str">
        <x:v>U3</x:v>
      </x:c>
      <x:c r="E66" s="21" t="str">
        <x:v>WSP03</x:v>
      </x:c>
      <x:c r="F66" s="21" t="str">
        <x:v>官方模块</x:v>
      </x:c>
      <x:c r="G66" s="21" t="str">
        <x:v>Pearson Edexcel</x:v>
      </x:c>
      <x:c r="H66" s="21" t="str">
        <x:v>International AS / A Level</x:v>
      </x:c>
      <x:c r="I66" s="21" t="str">
        <x:v>Pearson IAL Spanish</x:v>
      </x:c>
      <x:c r="J66" s="21" t="str">
        <x:v>IA2</x:v>
      </x:c>
      <x:c r="K66" s="21" t="str">
        <x:v>与官方unit对应；中文及U序号为本模板显示方式；不自动表示已开班。</x:v>
      </x:c>
      <x:c r="L66" s="21" t="str">
        <x:v>P-MAN</x:v>
      </x:c>
    </x:row>
    <x:row r="67" ht="52" customHeight="1">
      <x:c r="A67" s="20" t="str">
        <x:v>U066</x:v>
      </x:c>
      <x:c r="B67" s="21" t="str">
        <x:v>研究、理解与书面回应</x:v>
      </x:c>
      <x:c r="C67" s="21" t="str">
        <x:v>Research, Understanding and Written Response</x:v>
      </x:c>
      <x:c r="D67" s="21" t="str">
        <x:v>U4</x:v>
      </x:c>
      <x:c r="E67" s="21" t="str">
        <x:v>WSP04</x:v>
      </x:c>
      <x:c r="F67" s="21" t="str">
        <x:v>官方模块</x:v>
      </x:c>
      <x:c r="G67" s="21" t="str">
        <x:v>Pearson Edexcel</x:v>
      </x:c>
      <x:c r="H67" s="21" t="str">
        <x:v>International AS / A Level</x:v>
      </x:c>
      <x:c r="I67" s="21" t="str">
        <x:v>Pearson IAL Spanish</x:v>
      </x:c>
      <x:c r="J67" s="21" t="str">
        <x:v>IA2</x:v>
      </x:c>
      <x:c r="K67" s="21" t="str">
        <x:v>与官方unit对应；中文及U序号为本模板显示方式；不自动表示已开班。</x:v>
      </x:c>
      <x:c r="L67" s="21" t="str">
        <x:v>P-MAN</x:v>
      </x:c>
    </x:row>
    <x:row r="68" ht="52" customHeight="1">
      <x:c r="A68" s="20" t="str">
        <x:v>U067</x:v>
      </x:c>
      <x:c r="B68" s="21" t="str">
        <x:v>理解与书面回应</x:v>
      </x:c>
      <x:c r="C68" s="21" t="str">
        <x:v>Understanding and Written Response</x:v>
      </x:c>
      <x:c r="D68" s="21" t="str">
        <x:v>U1</x:v>
      </x:c>
      <x:c r="E68" s="21" t="str">
        <x:v>WGK01</x:v>
      </x:c>
      <x:c r="F68" s="21" t="str">
        <x:v>官方模块</x:v>
      </x:c>
      <x:c r="G68" s="21" t="str">
        <x:v>Pearson Edexcel</x:v>
      </x:c>
      <x:c r="H68" s="21" t="str">
        <x:v>International AS / A Level</x:v>
      </x:c>
      <x:c r="I68" s="21" t="str">
        <x:v>Pearson IAL Greek</x:v>
      </x:c>
      <x:c r="J68" s="21" t="str">
        <x:v>IAS</x:v>
      </x:c>
      <x:c r="K68" s="21" t="str">
        <x:v>与官方unit对应；中文及U序号为本模板显示方式；不自动表示已开班。</x:v>
      </x:c>
      <x:c r="L68" s="21" t="str">
        <x:v>P-MAN</x:v>
      </x:c>
    </x:row>
    <x:row r="69" ht="52" customHeight="1">
      <x:c r="A69" s="20" t="str">
        <x:v>U068</x:v>
      </x:c>
      <x:c r="B69" s="21" t="str">
        <x:v>写作与研究</x:v>
      </x:c>
      <x:c r="C69" s="21" t="str">
        <x:v>Writing and Research</x:v>
      </x:c>
      <x:c r="D69" s="21" t="str">
        <x:v>U2</x:v>
      </x:c>
      <x:c r="E69" s="21" t="str">
        <x:v>WGK02</x:v>
      </x:c>
      <x:c r="F69" s="21" t="str">
        <x:v>官方模块</x:v>
      </x:c>
      <x:c r="G69" s="21" t="str">
        <x:v>Pearson Edexcel</x:v>
      </x:c>
      <x:c r="H69" s="21" t="str">
        <x:v>International AS / A Level</x:v>
      </x:c>
      <x:c r="I69" s="21" t="str">
        <x:v>Pearson IAL Greek</x:v>
      </x:c>
      <x:c r="J69" s="21" t="str">
        <x:v>IA2</x:v>
      </x:c>
      <x:c r="K69" s="21" t="str">
        <x:v>与官方unit对应；中文及U序号为本模板显示方式；不自动表示已开班。</x:v>
      </x:c>
      <x:c r="L69" s="21" t="str">
        <x:v>P-MAN</x:v>
      </x:c>
    </x:row>
    <x:row r="70" ht="52" customHeight="1">
      <x:c r="A70" s="20" t="str">
        <x:v>U069</x:v>
      </x:c>
      <x:c r="B70" s="21" t="str">
        <x:v>纯数 1</x:v>
      </x:c>
      <x:c r="C70" s="21" t="str">
        <x:v>Pure Mathematics 1</x:v>
      </x:c>
      <x:c r="D70" s="21" t="str">
        <x:v>P1</x:v>
      </x:c>
      <x:c r="E70" s="21" t="str">
        <x:v>WMA11</x:v>
      </x:c>
      <x:c r="F70" s="21" t="str">
        <x:v>官方模块</x:v>
      </x:c>
      <x:c r="G70" s="21" t="str">
        <x:v>Pearson Edexcel</x:v>
      </x:c>
      <x:c r="H70" s="21" t="str">
        <x:v>International AS / A Level</x:v>
      </x:c>
      <x:c r="I70" s="21" t="str">
        <x:v>Pearson IAL Mathematics 单元共享池</x:v>
      </x:c>
      <x:c r="J70" s="21" t="str">
        <x:v>IAS</x:v>
      </x:c>
      <x:c r="K70" s="21" t="str">
        <x:v>同一官方单元仅建一次；课程关系不同不复制单元定义。</x:v>
      </x:c>
      <x:c r="L70" s="21" t="str">
        <x:v>P-MATH;P-MAN</x:v>
      </x:c>
    </x:row>
    <x:row r="71" ht="52" customHeight="1">
      <x:c r="A71" s="20" t="str">
        <x:v>U070</x:v>
      </x:c>
      <x:c r="B71" s="21" t="str">
        <x:v>纯数 2</x:v>
      </x:c>
      <x:c r="C71" s="21" t="str">
        <x:v>Pure Mathematics 2</x:v>
      </x:c>
      <x:c r="D71" s="21" t="str">
        <x:v>P2</x:v>
      </x:c>
      <x:c r="E71" s="21" t="str">
        <x:v>WMA12</x:v>
      </x:c>
      <x:c r="F71" s="21" t="str">
        <x:v>官方模块</x:v>
      </x:c>
      <x:c r="G71" s="21" t="str">
        <x:v>Pearson Edexcel</x:v>
      </x:c>
      <x:c r="H71" s="21" t="str">
        <x:v>International AS / A Level</x:v>
      </x:c>
      <x:c r="I71" s="21" t="str">
        <x:v>Pearson IAL Mathematics 单元共享池</x:v>
      </x:c>
      <x:c r="J71" s="21" t="str">
        <x:v>IAS</x:v>
      </x:c>
      <x:c r="K71" s="21" t="str">
        <x:v>同一官方单元仅建一次；课程关系不同不复制单元定义。</x:v>
      </x:c>
      <x:c r="L71" s="21" t="str">
        <x:v>P-MATH;P-MAN</x:v>
      </x:c>
    </x:row>
    <x:row r="72" ht="52" customHeight="1">
      <x:c r="A72" s="20" t="str">
        <x:v>U071</x:v>
      </x:c>
      <x:c r="B72" s="21" t="str">
        <x:v>纯数 3</x:v>
      </x:c>
      <x:c r="C72" s="21" t="str">
        <x:v>Pure Mathematics 3</x:v>
      </x:c>
      <x:c r="D72" s="21" t="str">
        <x:v>P3</x:v>
      </x:c>
      <x:c r="E72" s="21" t="str">
        <x:v>WMA13</x:v>
      </x:c>
      <x:c r="F72" s="21" t="str">
        <x:v>官方模块</x:v>
      </x:c>
      <x:c r="G72" s="21" t="str">
        <x:v>Pearson Edexcel</x:v>
      </x:c>
      <x:c r="H72" s="21" t="str">
        <x:v>International AS / A Level</x:v>
      </x:c>
      <x:c r="I72" s="21" t="str">
        <x:v>Pearson IAL Mathematics 单元共享池</x:v>
      </x:c>
      <x:c r="J72" s="21" t="str">
        <x:v>IA2</x:v>
      </x:c>
      <x:c r="K72" s="21" t="str">
        <x:v>同一官方单元仅建一次；课程关系不同不复制单元定义。</x:v>
      </x:c>
      <x:c r="L72" s="21" t="str">
        <x:v>P-MATH;P-MAN</x:v>
      </x:c>
    </x:row>
    <x:row r="73" ht="52" customHeight="1">
      <x:c r="A73" s="20" t="str">
        <x:v>U072</x:v>
      </x:c>
      <x:c r="B73" s="21" t="str">
        <x:v>纯数 4</x:v>
      </x:c>
      <x:c r="C73" s="21" t="str">
        <x:v>Pure Mathematics 4</x:v>
      </x:c>
      <x:c r="D73" s="21" t="str">
        <x:v>P4</x:v>
      </x:c>
      <x:c r="E73" s="21" t="str">
        <x:v>WMA14</x:v>
      </x:c>
      <x:c r="F73" s="21" t="str">
        <x:v>官方模块</x:v>
      </x:c>
      <x:c r="G73" s="21" t="str">
        <x:v>Pearson Edexcel</x:v>
      </x:c>
      <x:c r="H73" s="21" t="str">
        <x:v>International AS / A Level</x:v>
      </x:c>
      <x:c r="I73" s="21" t="str">
        <x:v>Pearson IAL Mathematics 单元共享池</x:v>
      </x:c>
      <x:c r="J73" s="21" t="str">
        <x:v>IA2</x:v>
      </x:c>
      <x:c r="K73" s="21" t="str">
        <x:v>同一官方单元仅建一次；课程关系不同不复制单元定义。</x:v>
      </x:c>
      <x:c r="L73" s="21" t="str">
        <x:v>P-MATH;P-MAN</x:v>
      </x:c>
    </x:row>
    <x:row r="74" ht="52" customHeight="1">
      <x:c r="A74" s="20" t="str">
        <x:v>U073</x:v>
      </x:c>
      <x:c r="B74" s="21" t="str">
        <x:v>进阶纯数 1</x:v>
      </x:c>
      <x:c r="C74" s="21" t="str">
        <x:v>Further Pure Mathematics 1</x:v>
      </x:c>
      <x:c r="D74" s="21" t="str">
        <x:v>FP1</x:v>
      </x:c>
      <x:c r="E74" s="21" t="str">
        <x:v>WFM01</x:v>
      </x:c>
      <x:c r="F74" s="21" t="str">
        <x:v>官方模块</x:v>
      </x:c>
      <x:c r="G74" s="21" t="str">
        <x:v>Pearson Edexcel</x:v>
      </x:c>
      <x:c r="H74" s="21" t="str">
        <x:v>International AS / A Level</x:v>
      </x:c>
      <x:c r="I74" s="21" t="str">
        <x:v>Pearson IAL Mathematics 单元共享池</x:v>
      </x:c>
      <x:c r="J74" s="21" t="str">
        <x:v>IAS</x:v>
      </x:c>
      <x:c r="K74" s="21" t="str">
        <x:v>同一官方单元仅建一次；课程关系不同不复制单元定义。</x:v>
      </x:c>
      <x:c r="L74" s="21" t="str">
        <x:v>P-MATH;P-MAN</x:v>
      </x:c>
    </x:row>
    <x:row r="75" ht="52" customHeight="1">
      <x:c r="A75" s="20" t="str">
        <x:v>U074</x:v>
      </x:c>
      <x:c r="B75" s="21" t="str">
        <x:v>进阶纯数 2</x:v>
      </x:c>
      <x:c r="C75" s="21" t="str">
        <x:v>Further Pure Mathematics 2</x:v>
      </x:c>
      <x:c r="D75" s="21" t="str">
        <x:v>FP2</x:v>
      </x:c>
      <x:c r="E75" s="21" t="str">
        <x:v>WFM02</x:v>
      </x:c>
      <x:c r="F75" s="21" t="str">
        <x:v>官方模块</x:v>
      </x:c>
      <x:c r="G75" s="21" t="str">
        <x:v>Pearson Edexcel</x:v>
      </x:c>
      <x:c r="H75" s="21" t="str">
        <x:v>International AS / A Level</x:v>
      </x:c>
      <x:c r="I75" s="21" t="str">
        <x:v>Pearson IAL Mathematics 单元共享池</x:v>
      </x:c>
      <x:c r="J75" s="21" t="str">
        <x:v>IA2</x:v>
      </x:c>
      <x:c r="K75" s="21" t="str">
        <x:v>同一官方单元仅建一次；课程关系不同不复制单元定义。</x:v>
      </x:c>
      <x:c r="L75" s="21" t="str">
        <x:v>P-MATH;P-MAN</x:v>
      </x:c>
    </x:row>
    <x:row r="76" ht="52" customHeight="1">
      <x:c r="A76" s="20" t="str">
        <x:v>U075</x:v>
      </x:c>
      <x:c r="B76" s="21" t="str">
        <x:v>进阶纯数 3</x:v>
      </x:c>
      <x:c r="C76" s="21" t="str">
        <x:v>Further Pure Mathematics 3</x:v>
      </x:c>
      <x:c r="D76" s="21" t="str">
        <x:v>FP3</x:v>
      </x:c>
      <x:c r="E76" s="21" t="str">
        <x:v>WFM03</x:v>
      </x:c>
      <x:c r="F76" s="21" t="str">
        <x:v>官方模块</x:v>
      </x:c>
      <x:c r="G76" s="21" t="str">
        <x:v>Pearson Edexcel</x:v>
      </x:c>
      <x:c r="H76" s="21" t="str">
        <x:v>International AS / A Level</x:v>
      </x:c>
      <x:c r="I76" s="21" t="str">
        <x:v>Pearson IAL Mathematics 单元共享池</x:v>
      </x:c>
      <x:c r="J76" s="21" t="str">
        <x:v>IA2</x:v>
      </x:c>
      <x:c r="K76" s="21" t="str">
        <x:v>同一官方单元仅建一次；课程关系不同不复制单元定义。</x:v>
      </x:c>
      <x:c r="L76" s="21" t="str">
        <x:v>P-MATH;P-MAN</x:v>
      </x:c>
    </x:row>
    <x:row r="77" ht="52" customHeight="1">
      <x:c r="A77" s="20" t="str">
        <x:v>U076</x:v>
      </x:c>
      <x:c r="B77" s="21" t="str">
        <x:v>力学 1</x:v>
      </x:c>
      <x:c r="C77" s="21" t="str">
        <x:v>Mechanics 1</x:v>
      </x:c>
      <x:c r="D77" s="21" t="str">
        <x:v>M1</x:v>
      </x:c>
      <x:c r="E77" s="21" t="str">
        <x:v>WME01</x:v>
      </x:c>
      <x:c r="F77" s="21" t="str">
        <x:v>官方模块</x:v>
      </x:c>
      <x:c r="G77" s="21" t="str">
        <x:v>Pearson Edexcel</x:v>
      </x:c>
      <x:c r="H77" s="21" t="str">
        <x:v>International AS / A Level</x:v>
      </x:c>
      <x:c r="I77" s="21" t="str">
        <x:v>Pearson IAL Mathematics 单元共享池</x:v>
      </x:c>
      <x:c r="J77" s="21" t="str">
        <x:v>IAS</x:v>
      </x:c>
      <x:c r="K77" s="21" t="str">
        <x:v>同一官方单元仅建一次；课程关系不同不复制单元定义。</x:v>
      </x:c>
      <x:c r="L77" s="21" t="str">
        <x:v>P-MATH;P-MAN</x:v>
      </x:c>
    </x:row>
    <x:row r="78" ht="52" customHeight="1">
      <x:c r="A78" s="20" t="str">
        <x:v>U077</x:v>
      </x:c>
      <x:c r="B78" s="21" t="str">
        <x:v>力学 2</x:v>
      </x:c>
      <x:c r="C78" s="21" t="str">
        <x:v>Mechanics 2</x:v>
      </x:c>
      <x:c r="D78" s="21" t="str">
        <x:v>M2</x:v>
      </x:c>
      <x:c r="E78" s="21" t="str">
        <x:v>WME02</x:v>
      </x:c>
      <x:c r="F78" s="21" t="str">
        <x:v>官方模块</x:v>
      </x:c>
      <x:c r="G78" s="21" t="str">
        <x:v>Pearson Edexcel</x:v>
      </x:c>
      <x:c r="H78" s="21" t="str">
        <x:v>International AS / A Level</x:v>
      </x:c>
      <x:c r="I78" s="21" t="str">
        <x:v>Pearson IAL Mathematics 单元共享池</x:v>
      </x:c>
      <x:c r="J78" s="21" t="str">
        <x:v>IA2</x:v>
      </x:c>
      <x:c r="K78" s="21" t="str">
        <x:v>同一官方单元仅建一次；课程关系不同不复制单元定义。</x:v>
      </x:c>
      <x:c r="L78" s="21" t="str">
        <x:v>P-MATH;P-MAN</x:v>
      </x:c>
    </x:row>
    <x:row r="79" ht="52" customHeight="1">
      <x:c r="A79" s="20" t="str">
        <x:v>U078</x:v>
      </x:c>
      <x:c r="B79" s="21" t="str">
        <x:v>力学 3</x:v>
      </x:c>
      <x:c r="C79" s="21" t="str">
        <x:v>Mechanics 3</x:v>
      </x:c>
      <x:c r="D79" s="21" t="str">
        <x:v>M3</x:v>
      </x:c>
      <x:c r="E79" s="21" t="str">
        <x:v>WME03</x:v>
      </x:c>
      <x:c r="F79" s="21" t="str">
        <x:v>官方模块</x:v>
      </x:c>
      <x:c r="G79" s="21" t="str">
        <x:v>Pearson Edexcel</x:v>
      </x:c>
      <x:c r="H79" s="21" t="str">
        <x:v>International AS / A Level</x:v>
      </x:c>
      <x:c r="I79" s="21" t="str">
        <x:v>Pearson IAL Mathematics 单元共享池</x:v>
      </x:c>
      <x:c r="J79" s="21" t="str">
        <x:v>IA2</x:v>
      </x:c>
      <x:c r="K79" s="21" t="str">
        <x:v>同一官方单元仅建一次；课程关系不同不复制单元定义。</x:v>
      </x:c>
      <x:c r="L79" s="21" t="str">
        <x:v>P-MATH;P-MAN</x:v>
      </x:c>
    </x:row>
    <x:row r="80" ht="52" customHeight="1">
      <x:c r="A80" s="20" t="str">
        <x:v>U079</x:v>
      </x:c>
      <x:c r="B80" s="21" t="str">
        <x:v>统计 1</x:v>
      </x:c>
      <x:c r="C80" s="21" t="str">
        <x:v>Statistics 1</x:v>
      </x:c>
      <x:c r="D80" s="21" t="str">
        <x:v>S1</x:v>
      </x:c>
      <x:c r="E80" s="21" t="str">
        <x:v>WST01</x:v>
      </x:c>
      <x:c r="F80" s="21" t="str">
        <x:v>官方模块</x:v>
      </x:c>
      <x:c r="G80" s="21" t="str">
        <x:v>Pearson Edexcel</x:v>
      </x:c>
      <x:c r="H80" s="21" t="str">
        <x:v>International AS / A Level</x:v>
      </x:c>
      <x:c r="I80" s="21" t="str">
        <x:v>Pearson IAL Mathematics 单元共享池</x:v>
      </x:c>
      <x:c r="J80" s="21" t="str">
        <x:v>IAS</x:v>
      </x:c>
      <x:c r="K80" s="21" t="str">
        <x:v>同一官方单元仅建一次；课程关系不同不复制单元定义。</x:v>
      </x:c>
      <x:c r="L80" s="21" t="str">
        <x:v>P-MATH;P-MAN</x:v>
      </x:c>
    </x:row>
    <x:row r="81" ht="52" customHeight="1">
      <x:c r="A81" s="20" t="str">
        <x:v>U080</x:v>
      </x:c>
      <x:c r="B81" s="21" t="str">
        <x:v>统计 2</x:v>
      </x:c>
      <x:c r="C81" s="21" t="str">
        <x:v>Statistics 2</x:v>
      </x:c>
      <x:c r="D81" s="21" t="str">
        <x:v>S2</x:v>
      </x:c>
      <x:c r="E81" s="21" t="str">
        <x:v>WST02</x:v>
      </x:c>
      <x:c r="F81" s="21" t="str">
        <x:v>官方模块</x:v>
      </x:c>
      <x:c r="G81" s="21" t="str">
        <x:v>Pearson Edexcel</x:v>
      </x:c>
      <x:c r="H81" s="21" t="str">
        <x:v>International AS / A Level</x:v>
      </x:c>
      <x:c r="I81" s="21" t="str">
        <x:v>Pearson IAL Mathematics 单元共享池</x:v>
      </x:c>
      <x:c r="J81" s="21" t="str">
        <x:v>IA2</x:v>
      </x:c>
      <x:c r="K81" s="21" t="str">
        <x:v>同一官方单元仅建一次；课程关系不同不复制单元定义。</x:v>
      </x:c>
      <x:c r="L81" s="21" t="str">
        <x:v>P-MATH;P-MAN</x:v>
      </x:c>
    </x:row>
    <x:row r="82" ht="52" customHeight="1">
      <x:c r="A82" s="20" t="str">
        <x:v>U081</x:v>
      </x:c>
      <x:c r="B82" s="21" t="str">
        <x:v>统计 3</x:v>
      </x:c>
      <x:c r="C82" s="21" t="str">
        <x:v>Statistics 3</x:v>
      </x:c>
      <x:c r="D82" s="21" t="str">
        <x:v>S3</x:v>
      </x:c>
      <x:c r="E82" s="21" t="str">
        <x:v>WST03</x:v>
      </x:c>
      <x:c r="F82" s="21" t="str">
        <x:v>官方模块</x:v>
      </x:c>
      <x:c r="G82" s="21" t="str">
        <x:v>Pearson Edexcel</x:v>
      </x:c>
      <x:c r="H82" s="21" t="str">
        <x:v>International AS / A Level</x:v>
      </x:c>
      <x:c r="I82" s="21" t="str">
        <x:v>Pearson IAL Mathematics 单元共享池</x:v>
      </x:c>
      <x:c r="J82" s="21" t="str">
        <x:v>IA2</x:v>
      </x:c>
      <x:c r="K82" s="21" t="str">
        <x:v>同一官方单元仅建一次；课程关系不同不复制单元定义。</x:v>
      </x:c>
      <x:c r="L82" s="21" t="str">
        <x:v>P-MATH;P-MAN</x:v>
      </x:c>
    </x:row>
    <x:row r="83" ht="52" customHeight="1">
      <x:c r="A83" s="20" t="str">
        <x:v>U082</x:v>
      </x:c>
      <x:c r="B83" s="21" t="str">
        <x:v>决策数学 1</x:v>
      </x:c>
      <x:c r="C83" s="21" t="str">
        <x:v>Decision Mathematics 1</x:v>
      </x:c>
      <x:c r="D83" s="21" t="str">
        <x:v>D1</x:v>
      </x:c>
      <x:c r="E83" s="21" t="str">
        <x:v>WDM11</x:v>
      </x:c>
      <x:c r="F83" s="21" t="str">
        <x:v>官方模块</x:v>
      </x:c>
      <x:c r="G83" s="21" t="str">
        <x:v>Pearson Edexcel</x:v>
      </x:c>
      <x:c r="H83" s="21" t="str">
        <x:v>International AS / A Level</x:v>
      </x:c>
      <x:c r="I83" s="21" t="str">
        <x:v>Pearson IAL Mathematics 单元共享池</x:v>
      </x:c>
      <x:c r="J83" s="21" t="str">
        <x:v>IAS</x:v>
      </x:c>
      <x:c r="K83" s="21" t="str">
        <x:v>同一官方单元仅建一次；课程关系不同不复制单元定义。</x:v>
      </x:c>
      <x:c r="L83" s="21" t="str">
        <x:v>P-MATH;P-MAN</x:v>
      </x:c>
    </x:row>
    <x:row r="84" ht="52" customHeight="1">
      <x:c r="A84" s="20" t="str">
        <x:v>U083</x:v>
      </x:c>
      <x:c r="B84" s="21" t="str">
        <x:v>纯数学1</x:v>
      </x:c>
      <x:c r="C84" s="21" t="str">
        <x:v>Pure Mathematics 1</x:v>
      </x:c>
      <x:c r="D84" s="21" t="str">
        <x:v>P1</x:v>
      </x:c>
      <x:c r="E84" s="21" t="str">
        <x:v>不适用</x:v>
      </x:c>
      <x:c r="F84" s="21" t="str">
        <x:v>官方内容单元</x:v>
      </x:c>
      <x:c r="G84" s="21" t="str">
        <x:v>Cambridge International</x:v>
      </x:c>
      <x:c r="H84" s="21" t="str">
        <x:v>International AS / A Level</x:v>
      </x:c>
      <x:c r="I84" s="21" t="str">
        <x:v>9709</x:v>
      </x:c>
      <x:c r="J84" s="21" t="str">
        <x:v>AS / AL</x:v>
      </x:c>
      <x:c r="K84" s="21" t="str">
        <x:v>P/S/M简称为校内显示；没有另造独立官方单元代码。试卷另见考核表。</x:v>
      </x:c>
      <x:c r="L84" s="21" t="str">
        <x:v>C-9709-PDF</x:v>
      </x:c>
    </x:row>
    <x:row r="85" ht="52" customHeight="1">
      <x:c r="A85" s="20" t="str">
        <x:v>U084</x:v>
      </x:c>
      <x:c r="B85" s="21" t="str">
        <x:v>纯数学2</x:v>
      </x:c>
      <x:c r="C85" s="21" t="str">
        <x:v>Pure Mathematics 2</x:v>
      </x:c>
      <x:c r="D85" s="21" t="str">
        <x:v>P2</x:v>
      </x:c>
      <x:c r="E85" s="21" t="str">
        <x:v>不适用</x:v>
      </x:c>
      <x:c r="F85" s="21" t="str">
        <x:v>官方内容单元</x:v>
      </x:c>
      <x:c r="G85" s="21" t="str">
        <x:v>Cambridge International</x:v>
      </x:c>
      <x:c r="H85" s="21" t="str">
        <x:v>International AS / A Level</x:v>
      </x:c>
      <x:c r="I85" s="21" t="str">
        <x:v>9709</x:v>
      </x:c>
      <x:c r="J85" s="21" t="str">
        <x:v>AS-only</x:v>
      </x:c>
      <x:c r="K85" s="21" t="str">
        <x:v>P/S/M简称为校内显示；没有另造独立官方单元代码。试卷另见考核表。</x:v>
      </x:c>
      <x:c r="L85" s="21" t="str">
        <x:v>C-9709-PDF</x:v>
      </x:c>
    </x:row>
    <x:row r="86" ht="52" customHeight="1">
      <x:c r="A86" s="20" t="str">
        <x:v>U085</x:v>
      </x:c>
      <x:c r="B86" s="21" t="str">
        <x:v>纯数学3</x:v>
      </x:c>
      <x:c r="C86" s="21" t="str">
        <x:v>Pure Mathematics 3</x:v>
      </x:c>
      <x:c r="D86" s="21" t="str">
        <x:v>P3</x:v>
      </x:c>
      <x:c r="E86" s="21" t="str">
        <x:v>不适用</x:v>
      </x:c>
      <x:c r="F86" s="21" t="str">
        <x:v>官方内容单元</x:v>
      </x:c>
      <x:c r="G86" s="21" t="str">
        <x:v>Cambridge International</x:v>
      </x:c>
      <x:c r="H86" s="21" t="str">
        <x:v>International AS / A Level</x:v>
      </x:c>
      <x:c r="I86" s="21" t="str">
        <x:v>9709</x:v>
      </x:c>
      <x:c r="J86" s="21" t="str">
        <x:v>AL</x:v>
      </x:c>
      <x:c r="K86" s="21" t="str">
        <x:v>P/S/M简称为校内显示；没有另造独立官方单元代码。试卷另见考核表。</x:v>
      </x:c>
      <x:c r="L86" s="21" t="str">
        <x:v>C-9709-PDF</x:v>
      </x:c>
    </x:row>
    <x:row r="87" ht="52" customHeight="1">
      <x:c r="A87" s="20" t="str">
        <x:v>U086</x:v>
      </x:c>
      <x:c r="B87" s="21" t="str">
        <x:v>力学</x:v>
      </x:c>
      <x:c r="C87" s="21" t="str">
        <x:v>Mechanics</x:v>
      </x:c>
      <x:c r="D87" s="21" t="str">
        <x:v>M1</x:v>
      </x:c>
      <x:c r="E87" s="21" t="str">
        <x:v>不适用</x:v>
      </x:c>
      <x:c r="F87" s="21" t="str">
        <x:v>官方内容单元</x:v>
      </x:c>
      <x:c r="G87" s="21" t="str">
        <x:v>Cambridge International</x:v>
      </x:c>
      <x:c r="H87" s="21" t="str">
        <x:v>International AS / A Level</x:v>
      </x:c>
      <x:c r="I87" s="21" t="str">
        <x:v>9709</x:v>
      </x:c>
      <x:c r="J87" s="21" t="str">
        <x:v>AS / AL</x:v>
      </x:c>
      <x:c r="K87" s="21" t="str">
        <x:v>P/S/M简称为校内显示；没有另造独立官方单元代码。试卷另见考核表。</x:v>
      </x:c>
      <x:c r="L87" s="21" t="str">
        <x:v>C-9709-PDF</x:v>
      </x:c>
    </x:row>
    <x:row r="88" ht="52" customHeight="1">
      <x:c r="A88" s="20" t="str">
        <x:v>U087</x:v>
      </x:c>
      <x:c r="B88" s="21" t="str">
        <x:v>概率与统计1</x:v>
      </x:c>
      <x:c r="C88" s="21" t="str">
        <x:v>Probability &amp; Statistics 1</x:v>
      </x:c>
      <x:c r="D88" s="21" t="str">
        <x:v>S1</x:v>
      </x:c>
      <x:c r="E88" s="21" t="str">
        <x:v>不适用</x:v>
      </x:c>
      <x:c r="F88" s="21" t="str">
        <x:v>官方内容单元</x:v>
      </x:c>
      <x:c r="G88" s="21" t="str">
        <x:v>Cambridge International</x:v>
      </x:c>
      <x:c r="H88" s="21" t="str">
        <x:v>International AS / A Level</x:v>
      </x:c>
      <x:c r="I88" s="21" t="str">
        <x:v>9709</x:v>
      </x:c>
      <x:c r="J88" s="21" t="str">
        <x:v>AS / AL</x:v>
      </x:c>
      <x:c r="K88" s="21" t="str">
        <x:v>P/S/M简称为校内显示；没有另造独立官方单元代码。试卷另见考核表。</x:v>
      </x:c>
      <x:c r="L88" s="21" t="str">
        <x:v>C-9709-PDF</x:v>
      </x:c>
    </x:row>
    <x:row r="89" ht="52" customHeight="1">
      <x:c r="A89" s="20" t="str">
        <x:v>U088</x:v>
      </x:c>
      <x:c r="B89" s="21" t="str">
        <x:v>概率与统计2</x:v>
      </x:c>
      <x:c r="C89" s="21" t="str">
        <x:v>Probability &amp; Statistics 2</x:v>
      </x:c>
      <x:c r="D89" s="21" t="str">
        <x:v>S2</x:v>
      </x:c>
      <x:c r="E89" s="21" t="str">
        <x:v>不适用</x:v>
      </x:c>
      <x:c r="F89" s="21" t="str">
        <x:v>官方内容单元</x:v>
      </x:c>
      <x:c r="G89" s="21" t="str">
        <x:v>Cambridge International</x:v>
      </x:c>
      <x:c r="H89" s="21" t="str">
        <x:v>International AS / A Level</x:v>
      </x:c>
      <x:c r="I89" s="21" t="str">
        <x:v>9709</x:v>
      </x:c>
      <x:c r="J89" s="21" t="str">
        <x:v>AL</x:v>
      </x:c>
      <x:c r="K89" s="21" t="str">
        <x:v>P/S/M简称为校内显示；没有另造独立官方单元代码。试卷另见考核表。</x:v>
      </x:c>
      <x:c r="L89" s="21" t="str">
        <x:v>C-9709-PDF</x:v>
      </x:c>
    </x:row>
    <x:row r="90" ht="52" customHeight="1">
      <x:c r="A90" s="20" t="str">
        <x:v>U089</x:v>
      </x:c>
      <x:c r="B90" s="21" t="str">
        <x:v>进阶纯数学1</x:v>
      </x:c>
      <x:c r="C90" s="21" t="str">
        <x:v>Further Pure Mathematics 1</x:v>
      </x:c>
      <x:c r="D90" s="21" t="str">
        <x:v>FP1</x:v>
      </x:c>
      <x:c r="E90" s="21" t="str">
        <x:v>不适用</x:v>
      </x:c>
      <x:c r="F90" s="21" t="str">
        <x:v>官方内容单元</x:v>
      </x:c>
      <x:c r="G90" s="21" t="str">
        <x:v>Cambridge International</x:v>
      </x:c>
      <x:c r="H90" s="21" t="str">
        <x:v>International AS / A Level</x:v>
      </x:c>
      <x:c r="I90" s="21" t="str">
        <x:v>9231</x:v>
      </x:c>
      <x:c r="J90" s="21" t="str">
        <x:v>AS / AL</x:v>
      </x:c>
      <x:c r="K90" s="21" t="str">
        <x:v>官方内容名称；简称为校内显示，Paper编号不是目录单元ID。</x:v>
      </x:c>
      <x:c r="L90" s="21" t="str">
        <x:v>C-9231-PDF</x:v>
      </x:c>
    </x:row>
    <x:row r="91" ht="52" customHeight="1">
      <x:c r="A91" s="20" t="str">
        <x:v>U090</x:v>
      </x:c>
      <x:c r="B91" s="21" t="str">
        <x:v>进阶纯数学2</x:v>
      </x:c>
      <x:c r="C91" s="21" t="str">
        <x:v>Further Pure Mathematics 2</x:v>
      </x:c>
      <x:c r="D91" s="21" t="str">
        <x:v>FP2</x:v>
      </x:c>
      <x:c r="E91" s="21" t="str">
        <x:v>不适用</x:v>
      </x:c>
      <x:c r="F91" s="21" t="str">
        <x:v>官方内容单元</x:v>
      </x:c>
      <x:c r="G91" s="21" t="str">
        <x:v>Cambridge International</x:v>
      </x:c>
      <x:c r="H91" s="21" t="str">
        <x:v>International AS / A Level</x:v>
      </x:c>
      <x:c r="I91" s="21" t="str">
        <x:v>9231</x:v>
      </x:c>
      <x:c r="J91" s="21" t="str">
        <x:v>AL</x:v>
      </x:c>
      <x:c r="K91" s="21" t="str">
        <x:v>官方内容名称；简称为校内显示，Paper编号不是目录单元ID。</x:v>
      </x:c>
      <x:c r="L91" s="21" t="str">
        <x:v>C-9231-PDF</x:v>
      </x:c>
    </x:row>
    <x:row r="92" ht="52" customHeight="1">
      <x:c r="A92" s="20" t="str">
        <x:v>U091</x:v>
      </x:c>
      <x:c r="B92" s="21" t="str">
        <x:v>进阶力学</x:v>
      </x:c>
      <x:c r="C92" s="21" t="str">
        <x:v>Further Mechanics</x:v>
      </x:c>
      <x:c r="D92" s="21" t="str">
        <x:v>FM</x:v>
      </x:c>
      <x:c r="E92" s="21" t="str">
        <x:v>不适用</x:v>
      </x:c>
      <x:c r="F92" s="21" t="str">
        <x:v>官方内容单元</x:v>
      </x:c>
      <x:c r="G92" s="21" t="str">
        <x:v>Cambridge International</x:v>
      </x:c>
      <x:c r="H92" s="21" t="str">
        <x:v>International AS / A Level</x:v>
      </x:c>
      <x:c r="I92" s="21" t="str">
        <x:v>9231</x:v>
      </x:c>
      <x:c r="J92" s="21" t="str">
        <x:v>AS / AL</x:v>
      </x:c>
      <x:c r="K92" s="21" t="str">
        <x:v>官方内容名称；简称为校内显示，Paper编号不是目录单元ID。</x:v>
      </x:c>
      <x:c r="L92" s="21" t="str">
        <x:v>C-9231-PDF</x:v>
      </x:c>
    </x:row>
    <x:row r="93" ht="52" customHeight="1">
      <x:c r="A93" s="20" t="str">
        <x:v>U092</x:v>
      </x:c>
      <x:c r="B93" s="21" t="str">
        <x:v>进阶概率与统计</x:v>
      </x:c>
      <x:c r="C93" s="21" t="str">
        <x:v>Further Probability &amp; Statistics</x:v>
      </x:c>
      <x:c r="D93" s="21" t="str">
        <x:v>FS</x:v>
      </x:c>
      <x:c r="E93" s="21" t="str">
        <x:v>不适用</x:v>
      </x:c>
      <x:c r="F93" s="21" t="str">
        <x:v>官方内容单元</x:v>
      </x:c>
      <x:c r="G93" s="21" t="str">
        <x:v>Cambridge International</x:v>
      </x:c>
      <x:c r="H93" s="21" t="str">
        <x:v>International AS / A Level</x:v>
      </x:c>
      <x:c r="I93" s="21" t="str">
        <x:v>9231</x:v>
      </x:c>
      <x:c r="J93" s="21" t="str">
        <x:v>AS / AL</x:v>
      </x:c>
      <x:c r="K93" s="21" t="str">
        <x:v>官方内容名称；简称为校内显示，Paper编号不是目录单元ID。</x:v>
      </x:c>
      <x:c r="L93" s="21" t="str">
        <x:v>C-9231-PDF</x:v>
      </x:c>
    </x:row>
    <x:row r="94" ht="52" customHeight="1">
      <x:c r="A94" s="20" t="str">
        <x:v>U093</x:v>
      </x:c>
      <x:c r="B94" s="21" t="str">
        <x:v>AS理论基础</x:v>
      </x:c>
      <x:c r="C94" s="21" t="str">
        <x:v>AS theory foundations</x:v>
      </x:c>
      <x:c r="D94" s="21" t="str">
        <x:v>AS-T</x:v>
      </x:c>
      <x:c r="E94" s="21" t="str">
        <x:v>不适用</x:v>
      </x:c>
      <x:c r="F94" s="21" t="str">
        <x:v>校内教学板块</x:v>
      </x:c>
      <x:c r="G94" s="21" t="str">
        <x:v>Cambridge International</x:v>
      </x:c>
      <x:c r="H94" s="21" t="str">
        <x:v>International AS / A Level</x:v>
      </x:c>
      <x:c r="I94" s="21" t="str">
        <x:v>Cambridge International AS &amp; A Level Computer Science</x:v>
      </x:c>
      <x:c r="J94" s="21" t="str">
        <x:v>全程</x:v>
      </x:c>
      <x:c r="K94" s="21" t="str">
        <x:v>示范性教学组织；非官方独立unit、非试卷注册代码；覆盖范围按本课程大纲。</x:v>
      </x:c>
      <x:c r="L94" s="21" t="str">
        <x:v>C-9618;SCHOOL</x:v>
      </x:c>
    </x:row>
    <x:row r="95" ht="52" customHeight="1">
      <x:c r="A95" s="20" t="str">
        <x:v>U094</x:v>
      </x:c>
      <x:c r="B95" s="21" t="str">
        <x:v>AS问题求解与编程</x:v>
      </x:c>
      <x:c r="C95" s="21" t="str">
        <x:v>AS problem-solving and programming</x:v>
      </x:c>
      <x:c r="D95" s="21" t="str">
        <x:v>AS-P</x:v>
      </x:c>
      <x:c r="E95" s="21" t="str">
        <x:v>不适用</x:v>
      </x:c>
      <x:c r="F95" s="21" t="str">
        <x:v>校内教学板块</x:v>
      </x:c>
      <x:c r="G95" s="21" t="str">
        <x:v>Cambridge International</x:v>
      </x:c>
      <x:c r="H95" s="21" t="str">
        <x:v>International AS / A Level</x:v>
      </x:c>
      <x:c r="I95" s="21" t="str">
        <x:v>Cambridge International AS &amp; A Level Computer Science</x:v>
      </x:c>
      <x:c r="J95" s="21" t="str">
        <x:v>全程</x:v>
      </x:c>
      <x:c r="K95" s="21" t="str">
        <x:v>示范性教学组织；非官方独立unit、非试卷注册代码；覆盖范围按本课程大纲。</x:v>
      </x:c>
      <x:c r="L95" s="21" t="str">
        <x:v>C-9618;SCHOOL</x:v>
      </x:c>
    </x:row>
    <x:row r="96" ht="52" customHeight="1">
      <x:c r="A96" s="20" t="str">
        <x:v>U095</x:v>
      </x:c>
      <x:c r="B96" s="21" t="str">
        <x:v>进阶理论</x:v>
      </x:c>
      <x:c r="C96" s="21" t="str">
        <x:v>Advanced theory</x:v>
      </x:c>
      <x:c r="D96" s="21" t="str">
        <x:v>AL-T</x:v>
      </x:c>
      <x:c r="E96" s="21" t="str">
        <x:v>不适用</x:v>
      </x:c>
      <x:c r="F96" s="21" t="str">
        <x:v>校内教学板块</x:v>
      </x:c>
      <x:c r="G96" s="21" t="str">
        <x:v>Cambridge International</x:v>
      </x:c>
      <x:c r="H96" s="21" t="str">
        <x:v>International AS / A Level</x:v>
      </x:c>
      <x:c r="I96" s="21" t="str">
        <x:v>Cambridge International AS &amp; A Level Computer Science</x:v>
      </x:c>
      <x:c r="J96" s="21" t="str">
        <x:v>全程</x:v>
      </x:c>
      <x:c r="K96" s="21" t="str">
        <x:v>示范性教学组织；非官方独立unit、非试卷注册代码；覆盖范围按本课程大纲。</x:v>
      </x:c>
      <x:c r="L96" s="21" t="str">
        <x:v>C-9618;SCHOOL</x:v>
      </x:c>
    </x:row>
    <x:row r="97" ht="52" customHeight="1">
      <x:c r="A97" s="20" t="str">
        <x:v>U096</x:v>
      </x:c>
      <x:c r="B97" s="21" t="str">
        <x:v>进阶编程实践</x:v>
      </x:c>
      <x:c r="C97" s="21" t="str">
        <x:v>Advanced programming practice</x:v>
      </x:c>
      <x:c r="D97" s="21" t="str">
        <x:v>AL-P</x:v>
      </x:c>
      <x:c r="E97" s="21" t="str">
        <x:v>不适用</x:v>
      </x:c>
      <x:c r="F97" s="21" t="str">
        <x:v>校内教学板块</x:v>
      </x:c>
      <x:c r="G97" s="21" t="str">
        <x:v>Cambridge International</x:v>
      </x:c>
      <x:c r="H97" s="21" t="str">
        <x:v>International AS / A Level</x:v>
      </x:c>
      <x:c r="I97" s="21" t="str">
        <x:v>Cambridge International AS &amp; A Level Computer Science</x:v>
      </x:c>
      <x:c r="J97" s="21" t="str">
        <x:v>全程</x:v>
      </x:c>
      <x:c r="K97" s="21" t="str">
        <x:v>示范性教学组织；非官方独立unit、非试卷注册代码；覆盖范围按本课程大纲。</x:v>
      </x:c>
      <x:c r="L97" s="21" t="str">
        <x:v>C-9618;SCHOOL</x:v>
      </x:c>
    </x:row>
    <x:row r="98" ht="52" customHeight="1">
      <x:c r="A98" s="20" t="str">
        <x:v>U097</x:v>
      </x:c>
      <x:c r="B98" s="21" t="str">
        <x:v>AS理论</x:v>
      </x:c>
      <x:c r="C98" s="21" t="str">
        <x:v>AS theory</x:v>
      </x:c>
      <x:c r="D98" s="21" t="str">
        <x:v>AS-T</x:v>
      </x:c>
      <x:c r="E98" s="21" t="str">
        <x:v>不适用</x:v>
      </x:c>
      <x:c r="F98" s="21" t="str">
        <x:v>校内教学板块</x:v>
      </x:c>
      <x:c r="G98" s="21" t="str">
        <x:v>Cambridge International</x:v>
      </x:c>
      <x:c r="H98" s="21" t="str">
        <x:v>International AS / A Level</x:v>
      </x:c>
      <x:c r="I98" s="21" t="str">
        <x:v>Cambridge International AS &amp; A Level Physics</x:v>
      </x:c>
      <x:c r="J98" s="21" t="str">
        <x:v>全程</x:v>
      </x:c>
      <x:c r="K98" s="21" t="str">
        <x:v>示范性教学组织；非官方独立unit、非试卷注册代码；覆盖范围按本课程大纲。</x:v>
      </x:c>
      <x:c r="L98" s="21" t="str">
        <x:v>C-9702;SCHOOL</x:v>
      </x:c>
    </x:row>
    <x:row r="99" ht="52" customHeight="1">
      <x:c r="A99" s="20" t="str">
        <x:v>U098</x:v>
      </x:c>
      <x:c r="B99" s="21" t="str">
        <x:v>A Level进阶理论</x:v>
      </x:c>
      <x:c r="C99" s="21" t="str">
        <x:v>A Level advanced theory</x:v>
      </x:c>
      <x:c r="D99" s="21" t="str">
        <x:v>AL-T</x:v>
      </x:c>
      <x:c r="E99" s="21" t="str">
        <x:v>不适用</x:v>
      </x:c>
      <x:c r="F99" s="21" t="str">
        <x:v>校内教学板块</x:v>
      </x:c>
      <x:c r="G99" s="21" t="str">
        <x:v>Cambridge International</x:v>
      </x:c>
      <x:c r="H99" s="21" t="str">
        <x:v>International AS / A Level</x:v>
      </x:c>
      <x:c r="I99" s="21" t="str">
        <x:v>Cambridge International AS &amp; A Level Physics</x:v>
      </x:c>
      <x:c r="J99" s="21" t="str">
        <x:v>全程</x:v>
      </x:c>
      <x:c r="K99" s="21" t="str">
        <x:v>示范性教学组织；非官方独立unit、非试卷注册代码；覆盖范围按本课程大纲。</x:v>
      </x:c>
      <x:c r="L99" s="21" t="str">
        <x:v>C-9702;SCHOOL</x:v>
      </x:c>
    </x:row>
    <x:row r="100" ht="52" customHeight="1">
      <x:c r="A100" s="20" t="str">
        <x:v>U099</x:v>
      </x:c>
      <x:c r="B100" s="21" t="str">
        <x:v>实验与数据技能</x:v>
      </x:c>
      <x:c r="C100" s="21" t="str">
        <x:v>Practical and data skills</x:v>
      </x:c>
      <x:c r="D100" s="21" t="str">
        <x:v>PRACT</x:v>
      </x:c>
      <x:c r="E100" s="21" t="str">
        <x:v>不适用</x:v>
      </x:c>
      <x:c r="F100" s="21" t="str">
        <x:v>校内教学板块</x:v>
      </x:c>
      <x:c r="G100" s="21" t="str">
        <x:v>Cambridge International</x:v>
      </x:c>
      <x:c r="H100" s="21" t="str">
        <x:v>International AS / A Level</x:v>
      </x:c>
      <x:c r="I100" s="21" t="str">
        <x:v>Cambridge International AS &amp; A Level Physics</x:v>
      </x:c>
      <x:c r="J100" s="21" t="str">
        <x:v>全程</x:v>
      </x:c>
      <x:c r="K100" s="21" t="str">
        <x:v>示范性教学组织；非官方独立unit、非试卷注册代码；覆盖范围按本课程大纲。</x:v>
      </x:c>
      <x:c r="L100" s="21" t="str">
        <x:v>C-9702;SCHOOL</x:v>
      </x:c>
    </x:row>
    <x:row r="101" ht="52" customHeight="1">
      <x:c r="A101" s="20" t="str">
        <x:v>U100</x:v>
      </x:c>
      <x:c r="B101" s="21" t="str">
        <x:v>AS理论</x:v>
      </x:c>
      <x:c r="C101" s="21" t="str">
        <x:v>AS theory</x:v>
      </x:c>
      <x:c r="D101" s="21" t="str">
        <x:v>AS-T</x:v>
      </x:c>
      <x:c r="E101" s="21" t="str">
        <x:v>不适用</x:v>
      </x:c>
      <x:c r="F101" s="21" t="str">
        <x:v>校内教学板块</x:v>
      </x:c>
      <x:c r="G101" s="21" t="str">
        <x:v>Cambridge International</x:v>
      </x:c>
      <x:c r="H101" s="21" t="str">
        <x:v>International AS / A Level</x:v>
      </x:c>
      <x:c r="I101" s="21" t="str">
        <x:v>Cambridge International AS &amp; A Level Chemistry</x:v>
      </x:c>
      <x:c r="J101" s="21" t="str">
        <x:v>全程</x:v>
      </x:c>
      <x:c r="K101" s="21" t="str">
        <x:v>示范性教学组织；非官方独立unit、非试卷注册代码；覆盖范围按本课程大纲。</x:v>
      </x:c>
      <x:c r="L101" s="21" t="str">
        <x:v>C-9701;SCHOOL</x:v>
      </x:c>
    </x:row>
    <x:row r="102" ht="52" customHeight="1">
      <x:c r="A102" s="20" t="str">
        <x:v>U101</x:v>
      </x:c>
      <x:c r="B102" s="21" t="str">
        <x:v>A Level进阶理论</x:v>
      </x:c>
      <x:c r="C102" s="21" t="str">
        <x:v>A Level advanced theory</x:v>
      </x:c>
      <x:c r="D102" s="21" t="str">
        <x:v>AL-T</x:v>
      </x:c>
      <x:c r="E102" s="21" t="str">
        <x:v>不适用</x:v>
      </x:c>
      <x:c r="F102" s="21" t="str">
        <x:v>校内教学板块</x:v>
      </x:c>
      <x:c r="G102" s="21" t="str">
        <x:v>Cambridge International</x:v>
      </x:c>
      <x:c r="H102" s="21" t="str">
        <x:v>International AS / A Level</x:v>
      </x:c>
      <x:c r="I102" s="21" t="str">
        <x:v>Cambridge International AS &amp; A Level Chemistry</x:v>
      </x:c>
      <x:c r="J102" s="21" t="str">
        <x:v>全程</x:v>
      </x:c>
      <x:c r="K102" s="21" t="str">
        <x:v>示范性教学组织；非官方独立unit、非试卷注册代码；覆盖范围按本课程大纲。</x:v>
      </x:c>
      <x:c r="L102" s="21" t="str">
        <x:v>C-9701;SCHOOL</x:v>
      </x:c>
    </x:row>
    <x:row r="103" ht="52" customHeight="1">
      <x:c r="A103" s="20" t="str">
        <x:v>U102</x:v>
      </x:c>
      <x:c r="B103" s="21" t="str">
        <x:v>实验与数据技能</x:v>
      </x:c>
      <x:c r="C103" s="21" t="str">
        <x:v>Practical and data skills</x:v>
      </x:c>
      <x:c r="D103" s="21" t="str">
        <x:v>PRACT</x:v>
      </x:c>
      <x:c r="E103" s="21" t="str">
        <x:v>不适用</x:v>
      </x:c>
      <x:c r="F103" s="21" t="str">
        <x:v>校内教学板块</x:v>
      </x:c>
      <x:c r="G103" s="21" t="str">
        <x:v>Cambridge International</x:v>
      </x:c>
      <x:c r="H103" s="21" t="str">
        <x:v>International AS / A Level</x:v>
      </x:c>
      <x:c r="I103" s="21" t="str">
        <x:v>Cambridge International AS &amp; A Level Chemistry</x:v>
      </x:c>
      <x:c r="J103" s="21" t="str">
        <x:v>全程</x:v>
      </x:c>
      <x:c r="K103" s="21" t="str">
        <x:v>示范性教学组织；非官方独立unit、非试卷注册代码；覆盖范围按本课程大纲。</x:v>
      </x:c>
      <x:c r="L103" s="21" t="str">
        <x:v>C-9701;SCHOOL</x:v>
      </x:c>
    </x:row>
    <x:row r="104" ht="52" customHeight="1">
      <x:c r="A104" s="20" t="str">
        <x:v>U103</x:v>
      </x:c>
      <x:c r="B104" s="21" t="str">
        <x:v>AS理论</x:v>
      </x:c>
      <x:c r="C104" s="21" t="str">
        <x:v>AS theory</x:v>
      </x:c>
      <x:c r="D104" s="21" t="str">
        <x:v>AS-T</x:v>
      </x:c>
      <x:c r="E104" s="21" t="str">
        <x:v>不适用</x:v>
      </x:c>
      <x:c r="F104" s="21" t="str">
        <x:v>校内教学板块</x:v>
      </x:c>
      <x:c r="G104" s="21" t="str">
        <x:v>Cambridge International</x:v>
      </x:c>
      <x:c r="H104" s="21" t="str">
        <x:v>International AS / A Level</x:v>
      </x:c>
      <x:c r="I104" s="21" t="str">
        <x:v>Cambridge International AS &amp; A Level Biology</x:v>
      </x:c>
      <x:c r="J104" s="21" t="str">
        <x:v>全程</x:v>
      </x:c>
      <x:c r="K104" s="21" t="str">
        <x:v>示范性教学组织；非官方独立unit、非试卷注册代码；覆盖范围按本课程大纲。</x:v>
      </x:c>
      <x:c r="L104" s="21" t="str">
        <x:v>C-9700;SCHOOL</x:v>
      </x:c>
    </x:row>
    <x:row r="105" ht="52" customHeight="1">
      <x:c r="A105" s="20" t="str">
        <x:v>U104</x:v>
      </x:c>
      <x:c r="B105" s="21" t="str">
        <x:v>A Level进阶理论</x:v>
      </x:c>
      <x:c r="C105" s="21" t="str">
        <x:v>A Level advanced theory</x:v>
      </x:c>
      <x:c r="D105" s="21" t="str">
        <x:v>AL-T</x:v>
      </x:c>
      <x:c r="E105" s="21" t="str">
        <x:v>不适用</x:v>
      </x:c>
      <x:c r="F105" s="21" t="str">
        <x:v>校内教学板块</x:v>
      </x:c>
      <x:c r="G105" s="21" t="str">
        <x:v>Cambridge International</x:v>
      </x:c>
      <x:c r="H105" s="21" t="str">
        <x:v>International AS / A Level</x:v>
      </x:c>
      <x:c r="I105" s="21" t="str">
        <x:v>Cambridge International AS &amp; A Level Biology</x:v>
      </x:c>
      <x:c r="J105" s="21" t="str">
        <x:v>全程</x:v>
      </x:c>
      <x:c r="K105" s="21" t="str">
        <x:v>示范性教学组织；非官方独立unit、非试卷注册代码；覆盖范围按本课程大纲。</x:v>
      </x:c>
      <x:c r="L105" s="21" t="str">
        <x:v>C-9700;SCHOOL</x:v>
      </x:c>
    </x:row>
    <x:row r="106" ht="52" customHeight="1">
      <x:c r="A106" s="20" t="str">
        <x:v>U105</x:v>
      </x:c>
      <x:c r="B106" s="21" t="str">
        <x:v>实验与数据技能</x:v>
      </x:c>
      <x:c r="C106" s="21" t="str">
        <x:v>Practical and data skills</x:v>
      </x:c>
      <x:c r="D106" s="21" t="str">
        <x:v>PRACT</x:v>
      </x:c>
      <x:c r="E106" s="21" t="str">
        <x:v>不适用</x:v>
      </x:c>
      <x:c r="F106" s="21" t="str">
        <x:v>校内教学板块</x:v>
      </x:c>
      <x:c r="G106" s="21" t="str">
        <x:v>Cambridge International</x:v>
      </x:c>
      <x:c r="H106" s="21" t="str">
        <x:v>International AS / A Level</x:v>
      </x:c>
      <x:c r="I106" s="21" t="str">
        <x:v>Cambridge International AS &amp; A Level Biology</x:v>
      </x:c>
      <x:c r="J106" s="21" t="str">
        <x:v>全程</x:v>
      </x:c>
      <x:c r="K106" s="21" t="str">
        <x:v>示范性教学组织；非官方独立unit、非试卷注册代码；覆盖范围按本课程大纲。</x:v>
      </x:c>
      <x:c r="L106" s="21" t="str">
        <x:v>C-9700;SCHOOL</x:v>
      </x:c>
    </x:row>
    <x:row r="107" ht="52" customHeight="1">
      <x:c r="A107" s="20" t="str">
        <x:v>U106</x:v>
      </x:c>
      <x:c r="B107" s="21" t="str">
        <x:v>AS教学阶段</x:v>
      </x:c>
      <x:c r="C107" s="21" t="str">
        <x:v>AS teaching phase</x:v>
      </x:c>
      <x:c r="D107" s="21" t="str">
        <x:v>AS</x:v>
      </x:c>
      <x:c r="E107" s="21" t="str">
        <x:v>不适用</x:v>
      </x:c>
      <x:c r="F107" s="21" t="str">
        <x:v>校内教学板块</x:v>
      </x:c>
      <x:c r="G107" s="21" t="str">
        <x:v>Cambridge International</x:v>
      </x:c>
      <x:c r="H107" s="21" t="str">
        <x:v>International AS / A Level</x:v>
      </x:c>
      <x:c r="I107" s="21" t="str">
        <x:v>Cambridge International AS &amp; A Level Business</x:v>
      </x:c>
      <x:c r="J107" s="21" t="str">
        <x:v>全程</x:v>
      </x:c>
      <x:c r="K107" s="21" t="str">
        <x:v>示范性教学组织；非官方独立unit、非试卷注册代码；覆盖范围按本课程大纲。</x:v>
      </x:c>
      <x:c r="L107" s="21" t="str">
        <x:v>C-9609;SCHOOL</x:v>
      </x:c>
    </x:row>
    <x:row r="108" ht="52" customHeight="1">
      <x:c r="A108" s="20" t="str">
        <x:v>U107</x:v>
      </x:c>
      <x:c r="B108" s="21" t="str">
        <x:v>A Level进阶教学阶段</x:v>
      </x:c>
      <x:c r="C108" s="21" t="str">
        <x:v>A Level advanced teaching phase</x:v>
      </x:c>
      <x:c r="D108" s="21" t="str">
        <x:v>AL</x:v>
      </x:c>
      <x:c r="E108" s="21" t="str">
        <x:v>不适用</x:v>
      </x:c>
      <x:c r="F108" s="21" t="str">
        <x:v>校内教学板块</x:v>
      </x:c>
      <x:c r="G108" s="21" t="str">
        <x:v>Cambridge International</x:v>
      </x:c>
      <x:c r="H108" s="21" t="str">
        <x:v>International AS / A Level</x:v>
      </x:c>
      <x:c r="I108" s="21" t="str">
        <x:v>Cambridge International AS &amp; A Level Business</x:v>
      </x:c>
      <x:c r="J108" s="21" t="str">
        <x:v>全程</x:v>
      </x:c>
      <x:c r="K108" s="21" t="str">
        <x:v>示范性教学组织；非官方独立unit、非试卷注册代码；覆盖范围按本课程大纲。</x:v>
      </x:c>
      <x:c r="L108" s="21" t="str">
        <x:v>C-9609;SCHOOL</x:v>
      </x:c>
    </x:row>
    <x:row r="109" ht="52" customHeight="1">
      <x:c r="A109" s="20" t="str">
        <x:v>U108</x:v>
      </x:c>
      <x:c r="B109" s="21" t="str">
        <x:v>AS教学阶段</x:v>
      </x:c>
      <x:c r="C109" s="21" t="str">
        <x:v>AS teaching phase</x:v>
      </x:c>
      <x:c r="D109" s="21" t="str">
        <x:v>AS</x:v>
      </x:c>
      <x:c r="E109" s="21" t="str">
        <x:v>不适用</x:v>
      </x:c>
      <x:c r="F109" s="21" t="str">
        <x:v>校内教学板块</x:v>
      </x:c>
      <x:c r="G109" s="21" t="str">
        <x:v>Cambridge International</x:v>
      </x:c>
      <x:c r="H109" s="21" t="str">
        <x:v>International AS / A Level</x:v>
      </x:c>
      <x:c r="I109" s="21" t="str">
        <x:v>Cambridge International AS &amp; A Level Economics</x:v>
      </x:c>
      <x:c r="J109" s="21" t="str">
        <x:v>全程</x:v>
      </x:c>
      <x:c r="K109" s="21" t="str">
        <x:v>示范性教学组织；非官方独立unit、非试卷注册代码；覆盖范围按本课程大纲。</x:v>
      </x:c>
      <x:c r="L109" s="21" t="str">
        <x:v>C-9708;SCHOOL</x:v>
      </x:c>
    </x:row>
    <x:row r="110" ht="52" customHeight="1">
      <x:c r="A110" s="20" t="str">
        <x:v>U109</x:v>
      </x:c>
      <x:c r="B110" s="21" t="str">
        <x:v>A Level进阶教学阶段</x:v>
      </x:c>
      <x:c r="C110" s="21" t="str">
        <x:v>A Level advanced teaching phase</x:v>
      </x:c>
      <x:c r="D110" s="21" t="str">
        <x:v>AL</x:v>
      </x:c>
      <x:c r="E110" s="21" t="str">
        <x:v>不适用</x:v>
      </x:c>
      <x:c r="F110" s="21" t="str">
        <x:v>校内教学板块</x:v>
      </x:c>
      <x:c r="G110" s="21" t="str">
        <x:v>Cambridge International</x:v>
      </x:c>
      <x:c r="H110" s="21" t="str">
        <x:v>International AS / A Level</x:v>
      </x:c>
      <x:c r="I110" s="21" t="str">
        <x:v>Cambridge International AS &amp; A Level Economics</x:v>
      </x:c>
      <x:c r="J110" s="21" t="str">
        <x:v>全程</x:v>
      </x:c>
      <x:c r="K110" s="21" t="str">
        <x:v>示范性教学组织；非官方独立unit、非试卷注册代码；覆盖范围按本课程大纲。</x:v>
      </x:c>
      <x:c r="L110" s="21" t="str">
        <x:v>C-9708;SCHOOL</x:v>
      </x:c>
    </x:row>
    <x:row r="111" ht="52" customHeight="1">
      <x:c r="A111" s="20" t="str">
        <x:v>U110</x:v>
      </x:c>
      <x:c r="B111" s="21" t="str">
        <x:v>理论与应用</x:v>
      </x:c>
      <x:c r="C111" s="21" t="str">
        <x:v>Theory and applications</x:v>
      </x:c>
      <x:c r="D111" s="21" t="str">
        <x:v>THEORY</x:v>
      </x:c>
      <x:c r="E111" s="21" t="str">
        <x:v>不适用</x:v>
      </x:c>
      <x:c r="F111" s="21" t="str">
        <x:v>校内教学板块</x:v>
      </x:c>
      <x:c r="G111" s="21" t="str">
        <x:v>Cambridge International</x:v>
      </x:c>
      <x:c r="H111" s="21" t="str">
        <x:v>International AS / A Level</x:v>
      </x:c>
      <x:c r="I111" s="21" t="str">
        <x:v>Cambridge International AS &amp; A Level Information Technology</x:v>
      </x:c>
      <x:c r="J111" s="21" t="str">
        <x:v>全程</x:v>
      </x:c>
      <x:c r="K111" s="21" t="str">
        <x:v>示范性教学组织；非官方独立unit、非试卷注册代码；覆盖范围按本课程大纲。</x:v>
      </x:c>
      <x:c r="L111" s="21" t="str">
        <x:v>C-9626;SCHOOL</x:v>
      </x:c>
    </x:row>
    <x:row r="112" ht="52" customHeight="1">
      <x:c r="A112" s="20" t="str">
        <x:v>U111</x:v>
      </x:c>
      <x:c r="B112" s="21" t="str">
        <x:v>实际任务与技能</x:v>
      </x:c>
      <x:c r="C112" s="21" t="str">
        <x:v>Practical tasks and skills</x:v>
      </x:c>
      <x:c r="D112" s="21" t="str">
        <x:v>PRACT</x:v>
      </x:c>
      <x:c r="E112" s="21" t="str">
        <x:v>不适用</x:v>
      </x:c>
      <x:c r="F112" s="21" t="str">
        <x:v>校内教学板块</x:v>
      </x:c>
      <x:c r="G112" s="21" t="str">
        <x:v>Cambridge International</x:v>
      </x:c>
      <x:c r="H112" s="21" t="str">
        <x:v>International AS / A Level</x:v>
      </x:c>
      <x:c r="I112" s="21" t="str">
        <x:v>Cambridge International AS &amp; A Level Information Technology</x:v>
      </x:c>
      <x:c r="J112" s="21" t="str">
        <x:v>全程</x:v>
      </x:c>
      <x:c r="K112" s="21" t="str">
        <x:v>示范性教学组织；非官方独立unit、非试卷注册代码；覆盖范围按本课程大纲。</x:v>
      </x:c>
      <x:c r="L112" s="21" t="str">
        <x:v>C-9626;SCHOOL</x:v>
      </x:c>
    </x:row>
    <x:row r="113" ht="52" customHeight="1">
      <x:c r="A113" s="20" t="str">
        <x:v>U112</x:v>
      </x:c>
      <x:c r="B113" s="21" t="str">
        <x:v>AS教学阶段</x:v>
      </x:c>
      <x:c r="C113" s="21" t="str">
        <x:v>AS teaching phase</x:v>
      </x:c>
      <x:c r="D113" s="21" t="str">
        <x:v>AS</x:v>
      </x:c>
      <x:c r="E113" s="21" t="str">
        <x:v>不适用</x:v>
      </x:c>
      <x:c r="F113" s="21" t="str">
        <x:v>校内教学板块</x:v>
      </x:c>
      <x:c r="G113" s="21" t="str">
        <x:v>Cambridge International</x:v>
      </x:c>
      <x:c r="H113" s="21" t="str">
        <x:v>International AS / A Level</x:v>
      </x:c>
      <x:c r="I113" s="21" t="str">
        <x:v>Cambridge International AS &amp; A Level Accounting</x:v>
      </x:c>
      <x:c r="J113" s="21" t="str">
        <x:v>全程</x:v>
      </x:c>
      <x:c r="K113" s="21" t="str">
        <x:v>示范性教学组织；非官方独立unit、非试卷注册代码；覆盖范围按本课程大纲。</x:v>
      </x:c>
      <x:c r="L113" s="21" t="str">
        <x:v>C-9706;SCHOOL</x:v>
      </x:c>
    </x:row>
    <x:row r="114" ht="52" customHeight="1">
      <x:c r="A114" s="20" t="str">
        <x:v>U113</x:v>
      </x:c>
      <x:c r="B114" s="21" t="str">
        <x:v>A Level进阶教学阶段</x:v>
      </x:c>
      <x:c r="C114" s="21" t="str">
        <x:v>A Level advanced teaching phase</x:v>
      </x:c>
      <x:c r="D114" s="21" t="str">
        <x:v>AL</x:v>
      </x:c>
      <x:c r="E114" s="21" t="str">
        <x:v>不适用</x:v>
      </x:c>
      <x:c r="F114" s="21" t="str">
        <x:v>校内教学板块</x:v>
      </x:c>
      <x:c r="G114" s="21" t="str">
        <x:v>Cambridge International</x:v>
      </x:c>
      <x:c r="H114" s="21" t="str">
        <x:v>International AS / A Level</x:v>
      </x:c>
      <x:c r="I114" s="21" t="str">
        <x:v>Cambridge International AS &amp; A Level Accounting</x:v>
      </x:c>
      <x:c r="J114" s="21" t="str">
        <x:v>全程</x:v>
      </x:c>
      <x:c r="K114" s="21" t="str">
        <x:v>示范性教学组织；非官方独立unit、非试卷注册代码；覆盖范围按本课程大纲。</x:v>
      </x:c>
      <x:c r="L114" s="21" t="str">
        <x:v>C-9706;SCHOOL</x:v>
      </x:c>
    </x:row>
    <x:row r="115" ht="52" customHeight="1">
      <x:c r="A115" s="20" t="str">
        <x:v>U114</x:v>
      </x:c>
      <x:c r="B115" s="21" t="str">
        <x:v>纯数学</x:v>
      </x:c>
      <x:c r="C115" s="21" t="str">
        <x:v>Pure Mathematics</x:v>
      </x:c>
      <x:c r="D115" s="21" t="str">
        <x:v>P1</x:v>
      </x:c>
      <x:c r="E115" s="21" t="str">
        <x:v>不适用</x:v>
      </x:c>
      <x:c r="F115" s="21" t="str">
        <x:v>官方模块</x:v>
      </x:c>
      <x:c r="G115" s="21" t="str">
        <x:v>OxfordAQA</x:v>
      </x:c>
      <x:c r="H115" s="21" t="str">
        <x:v>International AS / A Level</x:v>
      </x:c>
      <x:c r="I115" s="21" t="str">
        <x:v>9660</x:v>
      </x:c>
      <x:c r="J115" s="21" t="str">
        <x:v>AS</x:v>
      </x:c>
      <x:c r="K115" s="21" t="str">
        <x:v>原页Unit标签；如属综合卷则覆盖前序内容，不按新增主题计覆盖率。</x:v>
      </x:c>
      <x:c r="L115" s="21" t="str">
        <x:v>OA-MATH</x:v>
      </x:c>
    </x:row>
    <x:row r="116" ht="52" customHeight="1">
      <x:c r="A116" s="20" t="str">
        <x:v>U115</x:v>
      </x:c>
      <x:c r="B116" s="21" t="str">
        <x:v>纯数学、统计与力学</x:v>
      </x:c>
      <x:c r="C116" s="21" t="str">
        <x:v>Pure Mathematics, Statistics and Mechanics</x:v>
      </x:c>
      <x:c r="D116" s="21" t="str">
        <x:v>PSM1</x:v>
      </x:c>
      <x:c r="E116" s="21" t="str">
        <x:v>不适用</x:v>
      </x:c>
      <x:c r="F116" s="21" t="str">
        <x:v>官方模块</x:v>
      </x:c>
      <x:c r="G116" s="21" t="str">
        <x:v>OxfordAQA</x:v>
      </x:c>
      <x:c r="H116" s="21" t="str">
        <x:v>International AS / A Level</x:v>
      </x:c>
      <x:c r="I116" s="21" t="str">
        <x:v>9660</x:v>
      </x:c>
      <x:c r="J116" s="21" t="str">
        <x:v>AS</x:v>
      </x:c>
      <x:c r="K116" s="21" t="str">
        <x:v>原页Unit标签；如属综合卷则覆盖前序内容，不按新增主题计覆盖率。</x:v>
      </x:c>
      <x:c r="L116" s="21" t="str">
        <x:v>OA-MATH</x:v>
      </x:c>
    </x:row>
    <x:row r="117" ht="52" customHeight="1">
      <x:c r="A117" s="20" t="str">
        <x:v>U116</x:v>
      </x:c>
      <x:c r="B117" s="21" t="str">
        <x:v>进阶纯数学</x:v>
      </x:c>
      <x:c r="C117" s="21" t="str">
        <x:v>Pure Mathematics</x:v>
      </x:c>
      <x:c r="D117" s="21" t="str">
        <x:v>P2</x:v>
      </x:c>
      <x:c r="E117" s="21" t="str">
        <x:v>不适用</x:v>
      </x:c>
      <x:c r="F117" s="21" t="str">
        <x:v>官方模块</x:v>
      </x:c>
      <x:c r="G117" s="21" t="str">
        <x:v>OxfordAQA</x:v>
      </x:c>
      <x:c r="H117" s="21" t="str">
        <x:v>International AS / A Level</x:v>
      </x:c>
      <x:c r="I117" s="21" t="str">
        <x:v>9660</x:v>
      </x:c>
      <x:c r="J117" s="21" t="str">
        <x:v>A2</x:v>
      </x:c>
      <x:c r="K117" s="21" t="str">
        <x:v>原页Unit标签；如属综合卷则覆盖前序内容，不按新增主题计覆盖率。</x:v>
      </x:c>
      <x:c r="L117" s="21" t="str">
        <x:v>OA-MATH</x:v>
      </x:c>
    </x:row>
    <x:row r="118" ht="52" customHeight="1">
      <x:c r="A118" s="20" t="str">
        <x:v>U117</x:v>
      </x:c>
      <x:c r="B118" s="21" t="str">
        <x:v>力学</x:v>
      </x:c>
      <x:c r="C118" s="21" t="str">
        <x:v>Mechanics</x:v>
      </x:c>
      <x:c r="D118" s="21" t="str">
        <x:v>M2</x:v>
      </x:c>
      <x:c r="E118" s="21" t="str">
        <x:v>不适用</x:v>
      </x:c>
      <x:c r="F118" s="21" t="str">
        <x:v>官方模块</x:v>
      </x:c>
      <x:c r="G118" s="21" t="str">
        <x:v>OxfordAQA</x:v>
      </x:c>
      <x:c r="H118" s="21" t="str">
        <x:v>International AS / A Level</x:v>
      </x:c>
      <x:c r="I118" s="21" t="str">
        <x:v>9660</x:v>
      </x:c>
      <x:c r="J118" s="21" t="str">
        <x:v>A2</x:v>
      </x:c>
      <x:c r="K118" s="21" t="str">
        <x:v>原页Unit标签；如属综合卷则覆盖前序内容，不按新增主题计覆盖率。</x:v>
      </x:c>
      <x:c r="L118" s="21" t="str">
        <x:v>OA-MATH</x:v>
      </x:c>
    </x:row>
    <x:row r="119" ht="52" customHeight="1">
      <x:c r="A119" s="20" t="str">
        <x:v>U118</x:v>
      </x:c>
      <x:c r="B119" s="21" t="str">
        <x:v>统计</x:v>
      </x:c>
      <x:c r="C119" s="21" t="str">
        <x:v>Statistics</x:v>
      </x:c>
      <x:c r="D119" s="21" t="str">
        <x:v>S2</x:v>
      </x:c>
      <x:c r="E119" s="21" t="str">
        <x:v>不适用</x:v>
      </x:c>
      <x:c r="F119" s="21" t="str">
        <x:v>官方模块</x:v>
      </x:c>
      <x:c r="G119" s="21" t="str">
        <x:v>OxfordAQA</x:v>
      </x:c>
      <x:c r="H119" s="21" t="str">
        <x:v>International AS / A Level</x:v>
      </x:c>
      <x:c r="I119" s="21" t="str">
        <x:v>9660</x:v>
      </x:c>
      <x:c r="J119" s="21" t="str">
        <x:v>A2</x:v>
      </x:c>
      <x:c r="K119" s="21" t="str">
        <x:v>原页Unit标签；如属综合卷则覆盖前序内容，不按新增主题计覆盖率。</x:v>
      </x:c>
      <x:c r="L119" s="21" t="str">
        <x:v>OA-MATH</x:v>
      </x:c>
    </x:row>
    <x:row r="120" ht="52" customHeight="1">
      <x:c r="A120" s="20" t="str">
        <x:v>U119</x:v>
      </x:c>
      <x:c r="B120" s="21" t="str">
        <x:v>力学、材料与原子</x:v>
      </x:c>
      <x:c r="C120" s="21" t="str">
        <x:v>Mechanics, Materials and Atoms</x:v>
      </x:c>
      <x:c r="D120" s="21" t="str">
        <x:v>U1</x:v>
      </x:c>
      <x:c r="E120" s="21" t="str">
        <x:v>不适用</x:v>
      </x:c>
      <x:c r="F120" s="21" t="str">
        <x:v>官方模块</x:v>
      </x:c>
      <x:c r="G120" s="21" t="str">
        <x:v>OxfordAQA</x:v>
      </x:c>
      <x:c r="H120" s="21" t="str">
        <x:v>International AS / A Level</x:v>
      </x:c>
      <x:c r="I120" s="21" t="str">
        <x:v>9630</x:v>
      </x:c>
      <x:c r="J120" s="21" t="str">
        <x:v>AS</x:v>
      </x:c>
      <x:c r="K120" s="21" t="str">
        <x:v>原页Unit标签；如属综合卷则覆盖前序内容，不按新增主题计覆盖率。</x:v>
      </x:c>
      <x:c r="L120" s="21" t="str">
        <x:v>OA-PHYSICS</x:v>
      </x:c>
    </x:row>
    <x:row r="121" ht="52" customHeight="1">
      <x:c r="A121" s="20" t="str">
        <x:v>U120</x:v>
      </x:c>
      <x:c r="B121" s="21" t="str">
        <x:v>电、波与粒子</x:v>
      </x:c>
      <x:c r="C121" s="21" t="str">
        <x:v>Electricity, Waves and Particles</x:v>
      </x:c>
      <x:c r="D121" s="21" t="str">
        <x:v>U2</x:v>
      </x:c>
      <x:c r="E121" s="21" t="str">
        <x:v>不适用</x:v>
      </x:c>
      <x:c r="F121" s="21" t="str">
        <x:v>官方模块</x:v>
      </x:c>
      <x:c r="G121" s="21" t="str">
        <x:v>OxfordAQA</x:v>
      </x:c>
      <x:c r="H121" s="21" t="str">
        <x:v>International AS / A Level</x:v>
      </x:c>
      <x:c r="I121" s="21" t="str">
        <x:v>9630</x:v>
      </x:c>
      <x:c r="J121" s="21" t="str">
        <x:v>AS</x:v>
      </x:c>
      <x:c r="K121" s="21" t="str">
        <x:v>原页Unit标签；如属综合卷则覆盖前序内容，不按新增主题计覆盖率。</x:v>
      </x:c>
      <x:c r="L121" s="21" t="str">
        <x:v>OA-PHYSICS</x:v>
      </x:c>
    </x:row>
    <x:row r="122" ht="52" customHeight="1">
      <x:c r="A122" s="20" t="str">
        <x:v>U121</x:v>
      </x:c>
      <x:c r="B122" s="21" t="str">
        <x:v>场及其效应</x:v>
      </x:c>
      <x:c r="C122" s="21" t="str">
        <x:v>Fields and their Consequences</x:v>
      </x:c>
      <x:c r="D122" s="21" t="str">
        <x:v>U3</x:v>
      </x:c>
      <x:c r="E122" s="21" t="str">
        <x:v>不适用</x:v>
      </x:c>
      <x:c r="F122" s="21" t="str">
        <x:v>官方模块</x:v>
      </x:c>
      <x:c r="G122" s="21" t="str">
        <x:v>OxfordAQA</x:v>
      </x:c>
      <x:c r="H122" s="21" t="str">
        <x:v>International AS / A Level</x:v>
      </x:c>
      <x:c r="I122" s="21" t="str">
        <x:v>9630</x:v>
      </x:c>
      <x:c r="J122" s="21" t="str">
        <x:v>A2</x:v>
      </x:c>
      <x:c r="K122" s="21" t="str">
        <x:v>原页Unit标签；如属综合卷则覆盖前序内容，不按新增主题计覆盖率。</x:v>
      </x:c>
      <x:c r="L122" s="21" t="str">
        <x:v>OA-PHYSICS</x:v>
      </x:c>
    </x:row>
    <x:row r="123" ht="52" customHeight="1">
      <x:c r="A123" s="20" t="str">
        <x:v>U122</x:v>
      </x:c>
      <x:c r="B123" s="21" t="str">
        <x:v>能量与能源资源</x:v>
      </x:c>
      <x:c r="C123" s="21" t="str">
        <x:v>Energy and Energy Resources</x:v>
      </x:c>
      <x:c r="D123" s="21" t="str">
        <x:v>U4</x:v>
      </x:c>
      <x:c r="E123" s="21" t="str">
        <x:v>不适用</x:v>
      </x:c>
      <x:c r="F123" s="21" t="str">
        <x:v>官方模块</x:v>
      </x:c>
      <x:c r="G123" s="21" t="str">
        <x:v>OxfordAQA</x:v>
      </x:c>
      <x:c r="H123" s="21" t="str">
        <x:v>International AS / A Level</x:v>
      </x:c>
      <x:c r="I123" s="21" t="str">
        <x:v>9630</x:v>
      </x:c>
      <x:c r="J123" s="21" t="str">
        <x:v>A2</x:v>
      </x:c>
      <x:c r="K123" s="21" t="str">
        <x:v>原页Unit标签；如属综合卷则覆盖前序内容，不按新增主题计覆盖率。</x:v>
      </x:c>
      <x:c r="L123" s="21" t="str">
        <x:v>OA-PHYSICS</x:v>
      </x:c>
    </x:row>
    <x:row r="124" ht="52" customHeight="1">
      <x:c r="A124" s="20" t="str">
        <x:v>U123</x:v>
      </x:c>
      <x:c r="B124" s="21" t="str">
        <x:v>物理实践与选择题</x:v>
      </x:c>
      <x:c r="C124" s="21" t="str">
        <x:v>Physics in Practice and Multiple Choice</x:v>
      </x:c>
      <x:c r="D124" s="21" t="str">
        <x:v>U5</x:v>
      </x:c>
      <x:c r="E124" s="21" t="str">
        <x:v>不适用</x:v>
      </x:c>
      <x:c r="F124" s="21" t="str">
        <x:v>官方模块</x:v>
      </x:c>
      <x:c r="G124" s="21" t="str">
        <x:v>OxfordAQA</x:v>
      </x:c>
      <x:c r="H124" s="21" t="str">
        <x:v>International AS / A Level</x:v>
      </x:c>
      <x:c r="I124" s="21" t="str">
        <x:v>9630</x:v>
      </x:c>
      <x:c r="J124" s="21" t="str">
        <x:v>A2</x:v>
      </x:c>
      <x:c r="K124" s="21" t="str">
        <x:v>原页Unit标签；如属综合卷则覆盖前序内容，不按新增主题计覆盖率。</x:v>
      </x:c>
      <x:c r="L124" s="21" t="str">
        <x:v>OA-PHYSICS</x:v>
      </x:c>
    </x:row>
    <x:row r="125" ht="52" customHeight="1">
      <x:c r="A125" s="20" t="str">
        <x:v>U124</x:v>
      </x:c>
      <x:c r="B125" s="21" t="str">
        <x:v>生物多样性</x:v>
      </x:c>
      <x:c r="C125" s="21" t="str">
        <x:v>The Diversity of Living Organisms</x:v>
      </x:c>
      <x:c r="D125" s="21" t="str">
        <x:v>U1</x:v>
      </x:c>
      <x:c r="E125" s="21" t="str">
        <x:v>不适用</x:v>
      </x:c>
      <x:c r="F125" s="21" t="str">
        <x:v>官方模块</x:v>
      </x:c>
      <x:c r="G125" s="21" t="str">
        <x:v>OxfordAQA</x:v>
      </x:c>
      <x:c r="H125" s="21" t="str">
        <x:v>International AS / A Level</x:v>
      </x:c>
      <x:c r="I125" s="21" t="str">
        <x:v>9610</x:v>
      </x:c>
      <x:c r="J125" s="21" t="str">
        <x:v>AS</x:v>
      </x:c>
      <x:c r="K125" s="21" t="str">
        <x:v>原页Unit标签；如属综合卷则覆盖前序内容，不按新增主题计覆盖率。</x:v>
      </x:c>
      <x:c r="L125" s="21" t="str">
        <x:v>OA-BIOLOGY</x:v>
      </x:c>
    </x:row>
    <x:row r="126" ht="52" customHeight="1">
      <x:c r="A126" s="20" t="str">
        <x:v>U125</x:v>
      </x:c>
      <x:c r="B126" s="21" t="str">
        <x:v>生物系统与疾病</x:v>
      </x:c>
      <x:c r="C126" s="21" t="str">
        <x:v>Biological Systems and Disease</x:v>
      </x:c>
      <x:c r="D126" s="21" t="str">
        <x:v>U2</x:v>
      </x:c>
      <x:c r="E126" s="21" t="str">
        <x:v>不适用</x:v>
      </x:c>
      <x:c r="F126" s="21" t="str">
        <x:v>官方模块</x:v>
      </x:c>
      <x:c r="G126" s="21" t="str">
        <x:v>OxfordAQA</x:v>
      </x:c>
      <x:c r="H126" s="21" t="str">
        <x:v>International AS / A Level</x:v>
      </x:c>
      <x:c r="I126" s="21" t="str">
        <x:v>9610</x:v>
      </x:c>
      <x:c r="J126" s="21" t="str">
        <x:v>AS</x:v>
      </x:c>
      <x:c r="K126" s="21" t="str">
        <x:v>原页Unit标签；如属综合卷则覆盖前序内容，不按新增主题计覆盖率。</x:v>
      </x:c>
      <x:c r="L126" s="21" t="str">
        <x:v>OA-BIOLOGY</x:v>
      </x:c>
    </x:row>
    <x:row r="127" ht="52" customHeight="1">
      <x:c r="A127" s="20" t="str">
        <x:v>U126</x:v>
      </x:c>
      <x:c r="B127" s="21" t="str">
        <x:v>种群与基因</x:v>
      </x:c>
      <x:c r="C127" s="21" t="str">
        <x:v>Populations and Genes</x:v>
      </x:c>
      <x:c r="D127" s="21" t="str">
        <x:v>U3</x:v>
      </x:c>
      <x:c r="E127" s="21" t="str">
        <x:v>不适用</x:v>
      </x:c>
      <x:c r="F127" s="21" t="str">
        <x:v>官方模块</x:v>
      </x:c>
      <x:c r="G127" s="21" t="str">
        <x:v>OxfordAQA</x:v>
      </x:c>
      <x:c r="H127" s="21" t="str">
        <x:v>International AS / A Level</x:v>
      </x:c>
      <x:c r="I127" s="21" t="str">
        <x:v>9610</x:v>
      </x:c>
      <x:c r="J127" s="21" t="str">
        <x:v>A2</x:v>
      </x:c>
      <x:c r="K127" s="21" t="str">
        <x:v>原页Unit标签；如属综合卷则覆盖前序内容，不按新增主题计覆盖率。</x:v>
      </x:c>
      <x:c r="L127" s="21" t="str">
        <x:v>OA-BIOLOGY</x:v>
      </x:c>
    </x:row>
    <x:row r="128" ht="52" customHeight="1">
      <x:c r="A128" s="20" t="str">
        <x:v>U127</x:v>
      </x:c>
      <x:c r="B128" s="21" t="str">
        <x:v>调控</x:v>
      </x:c>
      <x:c r="C128" s="21" t="str">
        <x:v>Control</x:v>
      </x:c>
      <x:c r="D128" s="21" t="str">
        <x:v>U4</x:v>
      </x:c>
      <x:c r="E128" s="21" t="str">
        <x:v>不适用</x:v>
      </x:c>
      <x:c r="F128" s="21" t="str">
        <x:v>官方模块</x:v>
      </x:c>
      <x:c r="G128" s="21" t="str">
        <x:v>OxfordAQA</x:v>
      </x:c>
      <x:c r="H128" s="21" t="str">
        <x:v>International AS / A Level</x:v>
      </x:c>
      <x:c r="I128" s="21" t="str">
        <x:v>9610</x:v>
      </x:c>
      <x:c r="J128" s="21" t="str">
        <x:v>A2</x:v>
      </x:c>
      <x:c r="K128" s="21" t="str">
        <x:v>原页Unit标签；如属综合卷则覆盖前序内容，不按新增主题计覆盖率。</x:v>
      </x:c>
      <x:c r="L128" s="21" t="str">
        <x:v>OA-BIOLOGY</x:v>
      </x:c>
    </x:row>
    <x:row r="129" ht="52" customHeight="1">
      <x:c r="A129" s="20" t="str">
        <x:v>U128</x:v>
      </x:c>
      <x:c r="B129" s="21" t="str">
        <x:v>综合考核准备</x:v>
      </x:c>
      <x:c r="C129" s="21" t="str">
        <x:v>Synoptic Paper</x:v>
      </x:c>
      <x:c r="D129" s="21" t="str">
        <x:v>U5</x:v>
      </x:c>
      <x:c r="E129" s="21" t="str">
        <x:v>不适用</x:v>
      </x:c>
      <x:c r="F129" s="21" t="str">
        <x:v>官方模块</x:v>
      </x:c>
      <x:c r="G129" s="21" t="str">
        <x:v>OxfordAQA</x:v>
      </x:c>
      <x:c r="H129" s="21" t="str">
        <x:v>International AS / A Level</x:v>
      </x:c>
      <x:c r="I129" s="21" t="str">
        <x:v>9610</x:v>
      </x:c>
      <x:c r="J129" s="21" t="str">
        <x:v>A2</x:v>
      </x:c>
      <x:c r="K129" s="21" t="str">
        <x:v>原页Unit标签；如属综合卷则覆盖前序内容，不按新增主题计覆盖率。</x:v>
      </x:c>
      <x:c r="L129" s="21" t="str">
        <x:v>OA-BIOLOGY</x:v>
      </x:c>
    </x:row>
    <x:row r="130" ht="52" customHeight="1">
      <x:c r="A130" s="20" t="str">
        <x:v>U129</x:v>
      </x:c>
      <x:c r="B130" s="21" t="str">
        <x:v>无机1与物理化学1</x:v>
      </x:c>
      <x:c r="C130" s="21" t="str">
        <x:v>Inorganic 1 and Physical 1</x:v>
      </x:c>
      <x:c r="D130" s="21" t="str">
        <x:v>U1</x:v>
      </x:c>
      <x:c r="E130" s="21" t="str">
        <x:v>不适用</x:v>
      </x:c>
      <x:c r="F130" s="21" t="str">
        <x:v>官方模块</x:v>
      </x:c>
      <x:c r="G130" s="21" t="str">
        <x:v>OxfordAQA</x:v>
      </x:c>
      <x:c r="H130" s="21" t="str">
        <x:v>International AS / A Level</x:v>
      </x:c>
      <x:c r="I130" s="21" t="str">
        <x:v>9620</x:v>
      </x:c>
      <x:c r="J130" s="21" t="str">
        <x:v>AS</x:v>
      </x:c>
      <x:c r="K130" s="21" t="str">
        <x:v>原页Unit标签；如属综合卷则覆盖前序内容，不按新增主题计覆盖率。</x:v>
      </x:c>
      <x:c r="L130" s="21" t="str">
        <x:v>OA-CHEMISTRY</x:v>
      </x:c>
    </x:row>
    <x:row r="131" ht="52" customHeight="1">
      <x:c r="A131" s="20" t="str">
        <x:v>U130</x:v>
      </x:c>
      <x:c r="B131" s="21" t="str">
        <x:v>有机1与物理化学1</x:v>
      </x:c>
      <x:c r="C131" s="21" t="str">
        <x:v>Organic 1 and Physical 1</x:v>
      </x:c>
      <x:c r="D131" s="21" t="str">
        <x:v>U2</x:v>
      </x:c>
      <x:c r="E131" s="21" t="str">
        <x:v>不适用</x:v>
      </x:c>
      <x:c r="F131" s="21" t="str">
        <x:v>官方模块</x:v>
      </x:c>
      <x:c r="G131" s="21" t="str">
        <x:v>OxfordAQA</x:v>
      </x:c>
      <x:c r="H131" s="21" t="str">
        <x:v>International AS / A Level</x:v>
      </x:c>
      <x:c r="I131" s="21" t="str">
        <x:v>9620</x:v>
      </x:c>
      <x:c r="J131" s="21" t="str">
        <x:v>AS</x:v>
      </x:c>
      <x:c r="K131" s="21" t="str">
        <x:v>原页Unit标签；如属综合卷则覆盖前序内容，不按新增主题计覆盖率。</x:v>
      </x:c>
      <x:c r="L131" s="21" t="str">
        <x:v>OA-CHEMISTRY</x:v>
      </x:c>
    </x:row>
    <x:row r="132" ht="52" customHeight="1">
      <x:c r="A132" s="20" t="str">
        <x:v>U131</x:v>
      </x:c>
      <x:c r="B132" s="21" t="str">
        <x:v>无机2与物理化学2</x:v>
      </x:c>
      <x:c r="C132" s="21" t="str">
        <x:v>Inorganic 2 and Physical 2</x:v>
      </x:c>
      <x:c r="D132" s="21" t="str">
        <x:v>U3</x:v>
      </x:c>
      <x:c r="E132" s="21" t="str">
        <x:v>不适用</x:v>
      </x:c>
      <x:c r="F132" s="21" t="str">
        <x:v>官方模块</x:v>
      </x:c>
      <x:c r="G132" s="21" t="str">
        <x:v>OxfordAQA</x:v>
      </x:c>
      <x:c r="H132" s="21" t="str">
        <x:v>International AS / A Level</x:v>
      </x:c>
      <x:c r="I132" s="21" t="str">
        <x:v>9620</x:v>
      </x:c>
      <x:c r="J132" s="21" t="str">
        <x:v>A2</x:v>
      </x:c>
      <x:c r="K132" s="21" t="str">
        <x:v>原页Unit标签；如属综合卷则覆盖前序内容，不按新增主题计覆盖率。</x:v>
      </x:c>
      <x:c r="L132" s="21" t="str">
        <x:v>OA-CHEMISTRY</x:v>
      </x:c>
    </x:row>
    <x:row r="133" ht="52" customHeight="1">
      <x:c r="A133" s="20" t="str">
        <x:v>U132</x:v>
      </x:c>
      <x:c r="B133" s="21" t="str">
        <x:v>有机2与物理化学2</x:v>
      </x:c>
      <x:c r="C133" s="21" t="str">
        <x:v>Organic 2 and Physical 2</x:v>
      </x:c>
      <x:c r="D133" s="21" t="str">
        <x:v>U4</x:v>
      </x:c>
      <x:c r="E133" s="21" t="str">
        <x:v>不适用</x:v>
      </x:c>
      <x:c r="F133" s="21" t="str">
        <x:v>官方模块</x:v>
      </x:c>
      <x:c r="G133" s="21" t="str">
        <x:v>OxfordAQA</x:v>
      </x:c>
      <x:c r="H133" s="21" t="str">
        <x:v>International AS / A Level</x:v>
      </x:c>
      <x:c r="I133" s="21" t="str">
        <x:v>9620</x:v>
      </x:c>
      <x:c r="J133" s="21" t="str">
        <x:v>A2</x:v>
      </x:c>
      <x:c r="K133" s="21" t="str">
        <x:v>原页Unit标签；如属综合卷则覆盖前序内容，不按新增主题计覆盖率。</x:v>
      </x:c>
      <x:c r="L133" s="21" t="str">
        <x:v>OA-CHEMISTRY</x:v>
      </x:c>
    </x:row>
    <x:row r="134" ht="52" customHeight="1">
      <x:c r="A134" s="20" t="str">
        <x:v>U133</x:v>
      </x:c>
      <x:c r="B134" s="21" t="str">
        <x:v>实践与综合</x:v>
      </x:c>
      <x:c r="C134" s="21" t="str">
        <x:v>Practical and Synoptic</x:v>
      </x:c>
      <x:c r="D134" s="21" t="str">
        <x:v>U5</x:v>
      </x:c>
      <x:c r="E134" s="21" t="str">
        <x:v>不适用</x:v>
      </x:c>
      <x:c r="F134" s="21" t="str">
        <x:v>官方模块</x:v>
      </x:c>
      <x:c r="G134" s="21" t="str">
        <x:v>OxfordAQA</x:v>
      </x:c>
      <x:c r="H134" s="21" t="str">
        <x:v>International AS / A Level</x:v>
      </x:c>
      <x:c r="I134" s="21" t="str">
        <x:v>9620</x:v>
      </x:c>
      <x:c r="J134" s="21" t="str">
        <x:v>A2</x:v>
      </x:c>
      <x:c r="K134" s="21" t="str">
        <x:v>原页Unit标签；如属综合卷则覆盖前序内容，不按新增主题计覆盖率。</x:v>
      </x:c>
      <x:c r="L134" s="21" t="str">
        <x:v>OA-CHEMISTRY</x:v>
      </x:c>
    </x:row>
    <x:row r="135" ht="52" customHeight="1">
      <x:c r="A135" s="20" t="str">
        <x:v>U134</x:v>
      </x:c>
      <x:c r="B135" s="21" t="str">
        <x:v>纯数学</x:v>
      </x:c>
      <x:c r="C135" s="21" t="str">
        <x:v>Pure mathematics</x:v>
      </x:c>
      <x:c r="D135" s="21" t="str">
        <x:v>PURE</x:v>
      </x:c>
      <x:c r="E135" s="21" t="str">
        <x:v>不适用</x:v>
      </x:c>
      <x:c r="F135" s="21" t="str">
        <x:v>校内教学板块</x:v>
      </x:c>
      <x:c r="G135" s="21" t="str">
        <x:v>AQA</x:v>
      </x:c>
      <x:c r="H135" s="21" t="str">
        <x:v>GCE A Level</x:v>
      </x:c>
      <x:c r="I135" s="21" t="str">
        <x:v>AQA GCE A Level Mathematics</x:v>
      </x:c>
      <x:c r="J135" s="21" t="str">
        <x:v>AL</x:v>
      </x:c>
      <x:c r="K135" s="21" t="str">
        <x:v>示范性教学组织；非官方独立unit、非试卷注册代码；覆盖范围按本课程大纲。</x:v>
      </x:c>
      <x:c r="L135" s="21" t="str">
        <x:v>AQ-MATH;SCHOOL</x:v>
      </x:c>
    </x:row>
    <x:row r="136" ht="52" customHeight="1">
      <x:c r="A136" s="20" t="str">
        <x:v>U135</x:v>
      </x:c>
      <x:c r="B136" s="21" t="str">
        <x:v>统计</x:v>
      </x:c>
      <x:c r="C136" s="21" t="str">
        <x:v>Statistics</x:v>
      </x:c>
      <x:c r="D136" s="21" t="str">
        <x:v>STAT</x:v>
      </x:c>
      <x:c r="E136" s="21" t="str">
        <x:v>不适用</x:v>
      </x:c>
      <x:c r="F136" s="21" t="str">
        <x:v>校内教学板块</x:v>
      </x:c>
      <x:c r="G136" s="21" t="str">
        <x:v>AQA</x:v>
      </x:c>
      <x:c r="H136" s="21" t="str">
        <x:v>GCE A Level</x:v>
      </x:c>
      <x:c r="I136" s="21" t="str">
        <x:v>AQA GCE A Level Mathematics</x:v>
      </x:c>
      <x:c r="J136" s="21" t="str">
        <x:v>AL</x:v>
      </x:c>
      <x:c r="K136" s="21" t="str">
        <x:v>示范性教学组织；非官方独立unit、非试卷注册代码；覆盖范围按本课程大纲。</x:v>
      </x:c>
      <x:c r="L136" s="21" t="str">
        <x:v>AQ-MATH;SCHOOL</x:v>
      </x:c>
    </x:row>
    <x:row r="137" ht="52" customHeight="1">
      <x:c r="A137" s="20" t="str">
        <x:v>U136</x:v>
      </x:c>
      <x:c r="B137" s="21" t="str">
        <x:v>力学</x:v>
      </x:c>
      <x:c r="C137" s="21" t="str">
        <x:v>Mechanics</x:v>
      </x:c>
      <x:c r="D137" s="21" t="str">
        <x:v>MECH</x:v>
      </x:c>
      <x:c r="E137" s="21" t="str">
        <x:v>不适用</x:v>
      </x:c>
      <x:c r="F137" s="21" t="str">
        <x:v>校内教学板块</x:v>
      </x:c>
      <x:c r="G137" s="21" t="str">
        <x:v>AQA</x:v>
      </x:c>
      <x:c r="H137" s="21" t="str">
        <x:v>GCE A Level</x:v>
      </x:c>
      <x:c r="I137" s="21" t="str">
        <x:v>AQA GCE A Level Mathematics</x:v>
      </x:c>
      <x:c r="J137" s="21" t="str">
        <x:v>AL</x:v>
      </x:c>
      <x:c r="K137" s="21" t="str">
        <x:v>示范性教学组织；非官方独立unit、非试卷注册代码；覆盖范围按本课程大纲。</x:v>
      </x:c>
      <x:c r="L137" s="21" t="str">
        <x:v>AQ-MATH;SCHOOL</x:v>
      </x:c>
    </x:row>
    <x:row r="138" ht="52" customHeight="1">
      <x:c r="A138" s="20" t="str">
        <x:v>U137</x:v>
      </x:c>
      <x:c r="B138" s="21" t="str">
        <x:v>基础理论教学块</x:v>
      </x:c>
      <x:c r="C138" s="21" t="str">
        <x:v>Core theory block 1</x:v>
      </x:c>
      <x:c r="D138" s="21" t="str">
        <x:v>CORE1</x:v>
      </x:c>
      <x:c r="E138" s="21" t="str">
        <x:v>不适用</x:v>
      </x:c>
      <x:c r="F138" s="21" t="str">
        <x:v>校内教学板块</x:v>
      </x:c>
      <x:c r="G138" s="21" t="str">
        <x:v>AQA</x:v>
      </x:c>
      <x:c r="H138" s="21" t="str">
        <x:v>GCE A Level</x:v>
      </x:c>
      <x:c r="I138" s="21" t="str">
        <x:v>AQA GCE A Level Physics</x:v>
      </x:c>
      <x:c r="J138" s="21" t="str">
        <x:v>AL</x:v>
      </x:c>
      <x:c r="K138" s="21" t="str">
        <x:v>示范性教学组织；非官方独立unit、非试卷注册代码；覆盖范围按本课程大纲。</x:v>
      </x:c>
      <x:c r="L138" s="21" t="str">
        <x:v>AQ-PHYSICS;SCHOOL</x:v>
      </x:c>
    </x:row>
    <x:row r="139" ht="52" customHeight="1">
      <x:c r="A139" s="20" t="str">
        <x:v>U138</x:v>
      </x:c>
      <x:c r="B139" s="21" t="str">
        <x:v>进阶理论教学块</x:v>
      </x:c>
      <x:c r="C139" s="21" t="str">
        <x:v>Advanced theory block</x:v>
      </x:c>
      <x:c r="D139" s="21" t="str">
        <x:v>CORE2</x:v>
      </x:c>
      <x:c r="E139" s="21" t="str">
        <x:v>不适用</x:v>
      </x:c>
      <x:c r="F139" s="21" t="str">
        <x:v>校内教学板块</x:v>
      </x:c>
      <x:c r="G139" s="21" t="str">
        <x:v>AQA</x:v>
      </x:c>
      <x:c r="H139" s="21" t="str">
        <x:v>GCE A Level</x:v>
      </x:c>
      <x:c r="I139" s="21" t="str">
        <x:v>AQA GCE A Level Physics</x:v>
      </x:c>
      <x:c r="J139" s="21" t="str">
        <x:v>AL</x:v>
      </x:c>
      <x:c r="K139" s="21" t="str">
        <x:v>示范性教学组织；非官方独立unit、非试卷注册代码；覆盖范围按本课程大纲。</x:v>
      </x:c>
      <x:c r="L139" s="21" t="str">
        <x:v>AQ-PHYSICS;SCHOOL</x:v>
      </x:c>
    </x:row>
    <x:row r="140" ht="52" customHeight="1">
      <x:c r="A140" s="20" t="str">
        <x:v>U139</x:v>
      </x:c>
      <x:c r="B140" s="21" t="str">
        <x:v>实验技能与数据分析</x:v>
      </x:c>
      <x:c r="C140" s="21" t="str">
        <x:v>Practical skills and data analysis</x:v>
      </x:c>
      <x:c r="D140" s="21" t="str">
        <x:v>PRACT</x:v>
      </x:c>
      <x:c r="E140" s="21" t="str">
        <x:v>不适用</x:v>
      </x:c>
      <x:c r="F140" s="21" t="str">
        <x:v>校内教学板块</x:v>
      </x:c>
      <x:c r="G140" s="21" t="str">
        <x:v>AQA</x:v>
      </x:c>
      <x:c r="H140" s="21" t="str">
        <x:v>GCE A Level</x:v>
      </x:c>
      <x:c r="I140" s="21" t="str">
        <x:v>AQA GCE A Level Physics</x:v>
      </x:c>
      <x:c r="J140" s="21" t="str">
        <x:v>AL</x:v>
      </x:c>
      <x:c r="K140" s="21" t="str">
        <x:v>示范性教学组织；非官方独立unit、非试卷注册代码；覆盖范围按本课程大纲。</x:v>
      </x:c>
      <x:c r="L140" s="21" t="str">
        <x:v>AQ-PHYSICS;SCHOOL</x:v>
      </x:c>
    </x:row>
    <x:row r="141" ht="52" customHeight="1">
      <x:c r="A141" s="20" t="str">
        <x:v>U140</x:v>
      </x:c>
      <x:c r="B141" s="21" t="str">
        <x:v>选修主题教学块</x:v>
      </x:c>
      <x:c r="C141" s="21" t="str">
        <x:v>Selected optional topic</x:v>
      </x:c>
      <x:c r="D141" s="21" t="str">
        <x:v>OPTION</x:v>
      </x:c>
      <x:c r="E141" s="21" t="str">
        <x:v>不适用</x:v>
      </x:c>
      <x:c r="F141" s="21" t="str">
        <x:v>校内教学板块</x:v>
      </x:c>
      <x:c r="G141" s="21" t="str">
        <x:v>AQA</x:v>
      </x:c>
      <x:c r="H141" s="21" t="str">
        <x:v>GCE A Level</x:v>
      </x:c>
      <x:c r="I141" s="21" t="str">
        <x:v>AQA GCE A Level Physics</x:v>
      </x:c>
      <x:c r="J141" s="21" t="str">
        <x:v>AL</x:v>
      </x:c>
      <x:c r="K141" s="21" t="str">
        <x:v>示范性教学组织；非官方独立unit、非试卷注册代码；覆盖范围按本课程大纲。</x:v>
      </x:c>
      <x:c r="L141" s="21" t="str">
        <x:v>AQ-PHYSICS;SCHOOL</x:v>
      </x:c>
    </x:row>
    <x:row r="142" ht="52" customHeight="1">
      <x:c r="A142" s="20" t="str">
        <x:v>U141</x:v>
      </x:c>
      <x:c r="B142" s="21" t="str">
        <x:v>物理化学</x:v>
      </x:c>
      <x:c r="C142" s="21" t="str">
        <x:v>Physical chemistry</x:v>
      </x:c>
      <x:c r="D142" s="21" t="str">
        <x:v>PHYS</x:v>
      </x:c>
      <x:c r="E142" s="21" t="str">
        <x:v>不适用</x:v>
      </x:c>
      <x:c r="F142" s="21" t="str">
        <x:v>校内教学板块</x:v>
      </x:c>
      <x:c r="G142" s="21" t="str">
        <x:v>AQA</x:v>
      </x:c>
      <x:c r="H142" s="21" t="str">
        <x:v>GCE A Level</x:v>
      </x:c>
      <x:c r="I142" s="21" t="str">
        <x:v>AQA GCE A Level Chemistry</x:v>
      </x:c>
      <x:c r="J142" s="21" t="str">
        <x:v>AL</x:v>
      </x:c>
      <x:c r="K142" s="21" t="str">
        <x:v>示范性教学组织；非官方独立unit、非试卷注册代码；覆盖范围按本课程大纲。</x:v>
      </x:c>
      <x:c r="L142" s="21" t="str">
        <x:v>AQ-CHEMISTRY;SCHOOL</x:v>
      </x:c>
    </x:row>
    <x:row r="143" ht="52" customHeight="1">
      <x:c r="A143" s="20" t="str">
        <x:v>U142</x:v>
      </x:c>
      <x:c r="B143" s="21" t="str">
        <x:v>无机化学</x:v>
      </x:c>
      <x:c r="C143" s="21" t="str">
        <x:v>Inorganic chemistry</x:v>
      </x:c>
      <x:c r="D143" s="21" t="str">
        <x:v>INORG</x:v>
      </x:c>
      <x:c r="E143" s="21" t="str">
        <x:v>不适用</x:v>
      </x:c>
      <x:c r="F143" s="21" t="str">
        <x:v>校内教学板块</x:v>
      </x:c>
      <x:c r="G143" s="21" t="str">
        <x:v>AQA</x:v>
      </x:c>
      <x:c r="H143" s="21" t="str">
        <x:v>GCE A Level</x:v>
      </x:c>
      <x:c r="I143" s="21" t="str">
        <x:v>AQA GCE A Level Chemistry</x:v>
      </x:c>
      <x:c r="J143" s="21" t="str">
        <x:v>AL</x:v>
      </x:c>
      <x:c r="K143" s="21" t="str">
        <x:v>示范性教学组织；非官方独立unit、非试卷注册代码；覆盖范围按本课程大纲。</x:v>
      </x:c>
      <x:c r="L143" s="21" t="str">
        <x:v>AQ-CHEMISTRY;SCHOOL</x:v>
      </x:c>
    </x:row>
    <x:row r="144" ht="52" customHeight="1">
      <x:c r="A144" s="20" t="str">
        <x:v>U143</x:v>
      </x:c>
      <x:c r="B144" s="21" t="str">
        <x:v>有机化学</x:v>
      </x:c>
      <x:c r="C144" s="21" t="str">
        <x:v>Organic chemistry</x:v>
      </x:c>
      <x:c r="D144" s="21" t="str">
        <x:v>ORG</x:v>
      </x:c>
      <x:c r="E144" s="21" t="str">
        <x:v>不适用</x:v>
      </x:c>
      <x:c r="F144" s="21" t="str">
        <x:v>校内教学板块</x:v>
      </x:c>
      <x:c r="G144" s="21" t="str">
        <x:v>AQA</x:v>
      </x:c>
      <x:c r="H144" s="21" t="str">
        <x:v>GCE A Level</x:v>
      </x:c>
      <x:c r="I144" s="21" t="str">
        <x:v>AQA GCE A Level Chemistry</x:v>
      </x:c>
      <x:c r="J144" s="21" t="str">
        <x:v>AL</x:v>
      </x:c>
      <x:c r="K144" s="21" t="str">
        <x:v>示范性教学组织；非官方独立unit、非试卷注册代码；覆盖范围按本课程大纲。</x:v>
      </x:c>
      <x:c r="L144" s="21" t="str">
        <x:v>AQ-CHEMISTRY;SCHOOL</x:v>
      </x:c>
    </x:row>
    <x:row r="145" ht="52" customHeight="1">
      <x:c r="A145" s="20" t="str">
        <x:v>U144</x:v>
      </x:c>
      <x:c r="B145" s="21" t="str">
        <x:v>分子与细胞教学块</x:v>
      </x:c>
      <x:c r="C145" s="21" t="str">
        <x:v>Molecules and cells teaching block</x:v>
      </x:c>
      <x:c r="D145" s="21" t="str">
        <x:v>FOUND</x:v>
      </x:c>
      <x:c r="E145" s="21" t="str">
        <x:v>不适用</x:v>
      </x:c>
      <x:c r="F145" s="21" t="str">
        <x:v>校内教学板块</x:v>
      </x:c>
      <x:c r="G145" s="21" t="str">
        <x:v>AQA</x:v>
      </x:c>
      <x:c r="H145" s="21" t="str">
        <x:v>GCE A Level</x:v>
      </x:c>
      <x:c r="I145" s="21" t="str">
        <x:v>AQA GCE A Level Biology</x:v>
      </x:c>
      <x:c r="J145" s="21" t="str">
        <x:v>AL</x:v>
      </x:c>
      <x:c r="K145" s="21" t="str">
        <x:v>示范性教学组织；非官方独立unit、非试卷注册代码；覆盖范围按本课程大纲。</x:v>
      </x:c>
      <x:c r="L145" s="21" t="str">
        <x:v>AQ-BIOLOGY;SCHOOL</x:v>
      </x:c>
    </x:row>
    <x:row r="146" ht="52" customHeight="1">
      <x:c r="A146" s="20" t="str">
        <x:v>U145</x:v>
      </x:c>
      <x:c r="B146" s="21" t="str">
        <x:v>生命系统教学块</x:v>
      </x:c>
      <x:c r="C146" s="21" t="str">
        <x:v>Biological systems teaching block</x:v>
      </x:c>
      <x:c r="D146" s="21" t="str">
        <x:v>SYSTEM</x:v>
      </x:c>
      <x:c r="E146" s="21" t="str">
        <x:v>不适用</x:v>
      </x:c>
      <x:c r="F146" s="21" t="str">
        <x:v>校内教学板块</x:v>
      </x:c>
      <x:c r="G146" s="21" t="str">
        <x:v>AQA</x:v>
      </x:c>
      <x:c r="H146" s="21" t="str">
        <x:v>GCE A Level</x:v>
      </x:c>
      <x:c r="I146" s="21" t="str">
        <x:v>AQA GCE A Level Biology</x:v>
      </x:c>
      <x:c r="J146" s="21" t="str">
        <x:v>AL</x:v>
      </x:c>
      <x:c r="K146" s="21" t="str">
        <x:v>示范性教学组织；非官方独立unit、非试卷注册代码；覆盖范围按本课程大纲。</x:v>
      </x:c>
      <x:c r="L146" s="21" t="str">
        <x:v>AQ-BIOLOGY;SCHOOL</x:v>
      </x:c>
    </x:row>
    <x:row r="147" ht="52" customHeight="1">
      <x:c r="A147" s="20" t="str">
        <x:v>U146</x:v>
      </x:c>
      <x:c r="B147" s="21" t="str">
        <x:v>生态与遗传教学块</x:v>
      </x:c>
      <x:c r="C147" s="21" t="str">
        <x:v>Ecology and genetics teaching block</x:v>
      </x:c>
      <x:c r="D147" s="21" t="str">
        <x:v>ECOGEN</x:v>
      </x:c>
      <x:c r="E147" s="21" t="str">
        <x:v>不适用</x:v>
      </x:c>
      <x:c r="F147" s="21" t="str">
        <x:v>校内教学板块</x:v>
      </x:c>
      <x:c r="G147" s="21" t="str">
        <x:v>AQA</x:v>
      </x:c>
      <x:c r="H147" s="21" t="str">
        <x:v>GCE A Level</x:v>
      </x:c>
      <x:c r="I147" s="21" t="str">
        <x:v>AQA GCE A Level Biology</x:v>
      </x:c>
      <x:c r="J147" s="21" t="str">
        <x:v>AL</x:v>
      </x:c>
      <x:c r="K147" s="21" t="str">
        <x:v>示范性教学组织；非官方独立unit、非试卷注册代码；覆盖范围按本课程大纲。</x:v>
      </x:c>
      <x:c r="L147" s="21" t="str">
        <x:v>AQ-BIOLOGY;SCHOOL</x:v>
      </x:c>
    </x:row>
    <x:row r="148" ht="52" customHeight="1">
      <x:c r="A148" s="20" t="str">
        <x:v>U147</x:v>
      </x:c>
      <x:c r="B148" s="21" t="str">
        <x:v>实验与数据技能</x:v>
      </x:c>
      <x:c r="C148" s="21" t="str">
        <x:v>Practical and data skills</x:v>
      </x:c>
      <x:c r="D148" s="21" t="str">
        <x:v>PRACT</x:v>
      </x:c>
      <x:c r="E148" s="21" t="str">
        <x:v>不适用</x:v>
      </x:c>
      <x:c r="F148" s="21" t="str">
        <x:v>校内教学板块</x:v>
      </x:c>
      <x:c r="G148" s="21" t="str">
        <x:v>AQA</x:v>
      </x:c>
      <x:c r="H148" s="21" t="str">
        <x:v>GCE A Level</x:v>
      </x:c>
      <x:c r="I148" s="21" t="str">
        <x:v>AQA GCE A Level Biology</x:v>
      </x:c>
      <x:c r="J148" s="21" t="str">
        <x:v>AL</x:v>
      </x:c>
      <x:c r="K148" s="21" t="str">
        <x:v>示范性教学组织；非官方独立unit、非试卷注册代码；覆盖范围按本课程大纲。</x:v>
      </x:c>
      <x:c r="L148" s="21" t="str">
        <x:v>AQ-BIOLOGY;SCHOOL</x:v>
      </x:c>
    </x:row>
    <x:row r="149" ht="52" customHeight="1">
      <x:c r="A149" s="20" t="str">
        <x:v>U148</x:v>
      </x:c>
      <x:c r="B149" s="21" t="str">
        <x:v>纯数学</x:v>
      </x:c>
      <x:c r="C149" s="21" t="str">
        <x:v>Pure mathematics</x:v>
      </x:c>
      <x:c r="D149" s="21" t="str">
        <x:v>PURE</x:v>
      </x:c>
      <x:c r="E149" s="21" t="str">
        <x:v>不适用</x:v>
      </x:c>
      <x:c r="F149" s="21" t="str">
        <x:v>校内教学板块</x:v>
      </x:c>
      <x:c r="G149" s="21" t="str">
        <x:v>Pearson Edexcel</x:v>
      </x:c>
      <x:c r="H149" s="21" t="str">
        <x:v>GCE A Level</x:v>
      </x:c>
      <x:c r="I149" s="21" t="str">
        <x:v>Pearson Edexcel GCE A Level Mathematics</x:v>
      </x:c>
      <x:c r="J149" s="21" t="str">
        <x:v>AL</x:v>
      </x:c>
      <x:c r="K149" s="21" t="str">
        <x:v>示范性教学组织；非官方独立unit、非试卷注册代码；覆盖范围按本课程大纲。</x:v>
      </x:c>
      <x:c r="L149" s="21" t="str">
        <x:v>P-UK-AL;SCHOOL</x:v>
      </x:c>
    </x:row>
    <x:row r="150" ht="52" customHeight="1">
      <x:c r="A150" s="20" t="str">
        <x:v>U149</x:v>
      </x:c>
      <x:c r="B150" s="21" t="str">
        <x:v>统计</x:v>
      </x:c>
      <x:c r="C150" s="21" t="str">
        <x:v>Statistics</x:v>
      </x:c>
      <x:c r="D150" s="21" t="str">
        <x:v>STAT</x:v>
      </x:c>
      <x:c r="E150" s="21" t="str">
        <x:v>不适用</x:v>
      </x:c>
      <x:c r="F150" s="21" t="str">
        <x:v>校内教学板块</x:v>
      </x:c>
      <x:c r="G150" s="21" t="str">
        <x:v>Pearson Edexcel</x:v>
      </x:c>
      <x:c r="H150" s="21" t="str">
        <x:v>GCE A Level</x:v>
      </x:c>
      <x:c r="I150" s="21" t="str">
        <x:v>Pearson Edexcel GCE A Level Mathematics</x:v>
      </x:c>
      <x:c r="J150" s="21" t="str">
        <x:v>AL</x:v>
      </x:c>
      <x:c r="K150" s="21" t="str">
        <x:v>示范性教学组织；非官方独立unit、非试卷注册代码；覆盖范围按本课程大纲。</x:v>
      </x:c>
      <x:c r="L150" s="21" t="str">
        <x:v>P-UK-AL;SCHOOL</x:v>
      </x:c>
    </x:row>
    <x:row r="151" ht="52" customHeight="1">
      <x:c r="A151" s="20" t="str">
        <x:v>U150</x:v>
      </x:c>
      <x:c r="B151" s="21" t="str">
        <x:v>力学</x:v>
      </x:c>
      <x:c r="C151" s="21" t="str">
        <x:v>Mechanics</x:v>
      </x:c>
      <x:c r="D151" s="21" t="str">
        <x:v>MECH</x:v>
      </x:c>
      <x:c r="E151" s="21" t="str">
        <x:v>不适用</x:v>
      </x:c>
      <x:c r="F151" s="21" t="str">
        <x:v>校内教学板块</x:v>
      </x:c>
      <x:c r="G151" s="21" t="str">
        <x:v>Pearson Edexcel</x:v>
      </x:c>
      <x:c r="H151" s="21" t="str">
        <x:v>GCE A Level</x:v>
      </x:c>
      <x:c r="I151" s="21" t="str">
        <x:v>Pearson Edexcel GCE A Level Mathematics</x:v>
      </x:c>
      <x:c r="J151" s="21" t="str">
        <x:v>AL</x:v>
      </x:c>
      <x:c r="K151" s="21" t="str">
        <x:v>示范性教学组织；非官方独立unit、非试卷注册代码；覆盖范围按本课程大纲。</x:v>
      </x:c>
      <x:c r="L151" s="21" t="str">
        <x:v>P-UK-AL;SCHOOL</x:v>
      </x:c>
    </x:row>
    <x:row r="152" ht="52" customHeight="1">
      <x:c r="A152" s="20" t="str">
        <x:v>U151</x:v>
      </x:c>
      <x:c r="B152" s="21" t="str">
        <x:v>纯数学</x:v>
      </x:c>
      <x:c r="C152" s="21" t="str">
        <x:v>Pure mathematics</x:v>
      </x:c>
      <x:c r="D152" s="21" t="str">
        <x:v>PURE</x:v>
      </x:c>
      <x:c r="E152" s="21" t="str">
        <x:v>不适用</x:v>
      </x:c>
      <x:c r="F152" s="21" t="str">
        <x:v>校内教学板块</x:v>
      </x:c>
      <x:c r="G152" s="21" t="str">
        <x:v>Pearson Edexcel</x:v>
      </x:c>
      <x:c r="H152" s="21" t="str">
        <x:v>GCE AS Level</x:v>
      </x:c>
      <x:c r="I152" s="21" t="str">
        <x:v>Pearson Edexcel GCE AS Level Mathematics</x:v>
      </x:c>
      <x:c r="J152" s="21" t="str">
        <x:v>AS</x:v>
      </x:c>
      <x:c r="K152" s="21" t="str">
        <x:v>示范性教学组织；非官方独立unit、非试卷注册代码；覆盖范围按本课程大纲。</x:v>
      </x:c>
      <x:c r="L152" s="21" t="str">
        <x:v>P-UK-AS;SCHOOL</x:v>
      </x:c>
    </x:row>
    <x:row r="153" ht="52" customHeight="1">
      <x:c r="A153" s="20" t="str">
        <x:v>U152</x:v>
      </x:c>
      <x:c r="B153" s="21" t="str">
        <x:v>统计</x:v>
      </x:c>
      <x:c r="C153" s="21" t="str">
        <x:v>Statistics</x:v>
      </x:c>
      <x:c r="D153" s="21" t="str">
        <x:v>STAT</x:v>
      </x:c>
      <x:c r="E153" s="21" t="str">
        <x:v>不适用</x:v>
      </x:c>
      <x:c r="F153" s="21" t="str">
        <x:v>校内教学板块</x:v>
      </x:c>
      <x:c r="G153" s="21" t="str">
        <x:v>Pearson Edexcel</x:v>
      </x:c>
      <x:c r="H153" s="21" t="str">
        <x:v>GCE AS Level</x:v>
      </x:c>
      <x:c r="I153" s="21" t="str">
        <x:v>Pearson Edexcel GCE AS Level Mathematics</x:v>
      </x:c>
      <x:c r="J153" s="21" t="str">
        <x:v>AS</x:v>
      </x:c>
      <x:c r="K153" s="21" t="str">
        <x:v>示范性教学组织；非官方独立unit、非试卷注册代码；覆盖范围按本课程大纲。</x:v>
      </x:c>
      <x:c r="L153" s="21" t="str">
        <x:v>P-UK-AS;SCHOOL</x:v>
      </x:c>
    </x:row>
    <x:row r="154" ht="52" customHeight="1">
      <x:c r="A154" s="20" t="str">
        <x:v>U153</x:v>
      </x:c>
      <x:c r="B154" s="21" t="str">
        <x:v>力学</x:v>
      </x:c>
      <x:c r="C154" s="21" t="str">
        <x:v>Mechanics</x:v>
      </x:c>
      <x:c r="D154" s="21" t="str">
        <x:v>MECH</x:v>
      </x:c>
      <x:c r="E154" s="21" t="str">
        <x:v>不适用</x:v>
      </x:c>
      <x:c r="F154" s="21" t="str">
        <x:v>校内教学板块</x:v>
      </x:c>
      <x:c r="G154" s="21" t="str">
        <x:v>Pearson Edexcel</x:v>
      </x:c>
      <x:c r="H154" s="21" t="str">
        <x:v>GCE AS Level</x:v>
      </x:c>
      <x:c r="I154" s="21" t="str">
        <x:v>Pearson Edexcel GCE AS Level Mathematics</x:v>
      </x:c>
      <x:c r="J154" s="21" t="str">
        <x:v>AS</x:v>
      </x:c>
      <x:c r="K154" s="21" t="str">
        <x:v>示范性教学组织；非官方独立unit、非试卷注册代码；覆盖范围按本课程大纲。</x:v>
      </x:c>
      <x:c r="L154" s="21" t="str">
        <x:v>P-UK-AS;SCHOOL</x:v>
      </x:c>
    </x:row>
    <x:row r="155" ht="52" customHeight="1">
      <x:c r="A155" s="20" t="str">
        <x:v>U154</x:v>
      </x:c>
      <x:c r="B155" s="21" t="str">
        <x:v>纯数学</x:v>
      </x:c>
      <x:c r="C155" s="21" t="str">
        <x:v>Pure mathematics</x:v>
      </x:c>
      <x:c r="D155" s="21" t="str">
        <x:v>PURE</x:v>
      </x:c>
      <x:c r="E155" s="21" t="str">
        <x:v>不适用</x:v>
      </x:c>
      <x:c r="F155" s="21" t="str">
        <x:v>校内教学板块</x:v>
      </x:c>
      <x:c r="G155" s="21" t="str">
        <x:v>OCR</x:v>
      </x:c>
      <x:c r="H155" s="21" t="str">
        <x:v>GCE A Level</x:v>
      </x:c>
      <x:c r="I155" s="21" t="str">
        <x:v>OCR GCE A Level Mathematics A</x:v>
      </x:c>
      <x:c r="J155" s="21" t="str">
        <x:v>AL</x:v>
      </x:c>
      <x:c r="K155" s="21" t="str">
        <x:v>示范性教学组织；非官方独立unit、非试卷注册代码；覆盖范围按本课程大纲。</x:v>
      </x:c>
      <x:c r="L155" s="21" t="str">
        <x:v>OCR-A;SCHOOL</x:v>
      </x:c>
    </x:row>
    <x:row r="156" ht="52" customHeight="1">
      <x:c r="A156" s="20" t="str">
        <x:v>U155</x:v>
      </x:c>
      <x:c r="B156" s="21" t="str">
        <x:v>统计</x:v>
      </x:c>
      <x:c r="C156" s="21" t="str">
        <x:v>Statistics</x:v>
      </x:c>
      <x:c r="D156" s="21" t="str">
        <x:v>STAT</x:v>
      </x:c>
      <x:c r="E156" s="21" t="str">
        <x:v>不适用</x:v>
      </x:c>
      <x:c r="F156" s="21" t="str">
        <x:v>校内教学板块</x:v>
      </x:c>
      <x:c r="G156" s="21" t="str">
        <x:v>OCR</x:v>
      </x:c>
      <x:c r="H156" s="21" t="str">
        <x:v>GCE A Level</x:v>
      </x:c>
      <x:c r="I156" s="21" t="str">
        <x:v>OCR GCE A Level Mathematics A</x:v>
      </x:c>
      <x:c r="J156" s="21" t="str">
        <x:v>AL</x:v>
      </x:c>
      <x:c r="K156" s="21" t="str">
        <x:v>示范性教学组织；非官方独立unit、非试卷注册代码；覆盖范围按本课程大纲。</x:v>
      </x:c>
      <x:c r="L156" s="21" t="str">
        <x:v>OCR-A;SCHOOL</x:v>
      </x:c>
    </x:row>
    <x:row r="157" ht="52" customHeight="1">
      <x:c r="A157" s="20" t="str">
        <x:v>U156</x:v>
      </x:c>
      <x:c r="B157" s="21" t="str">
        <x:v>力学</x:v>
      </x:c>
      <x:c r="C157" s="21" t="str">
        <x:v>Mechanics</x:v>
      </x:c>
      <x:c r="D157" s="21" t="str">
        <x:v>MECH</x:v>
      </x:c>
      <x:c r="E157" s="21" t="str">
        <x:v>不适用</x:v>
      </x:c>
      <x:c r="F157" s="21" t="str">
        <x:v>校内教学板块</x:v>
      </x:c>
      <x:c r="G157" s="21" t="str">
        <x:v>OCR</x:v>
      </x:c>
      <x:c r="H157" s="21" t="str">
        <x:v>GCE A Level</x:v>
      </x:c>
      <x:c r="I157" s="21" t="str">
        <x:v>OCR GCE A Level Mathematics A</x:v>
      </x:c>
      <x:c r="J157" s="21" t="str">
        <x:v>AL</x:v>
      </x:c>
      <x:c r="K157" s="21" t="str">
        <x:v>示范性教学组织；非官方独立unit、非试卷注册代码；覆盖范围按本课程大纲。</x:v>
      </x:c>
      <x:c r="L157" s="21" t="str">
        <x:v>OCR-A;SCHOOL</x:v>
      </x:c>
    </x:row>
    <x:row r="158" ht="52" customHeight="1">
      <x:c r="A158" s="20" t="str">
        <x:v>U157</x:v>
      </x:c>
      <x:c r="B158" s="21" t="str">
        <x:v>纯数学</x:v>
      </x:c>
      <x:c r="C158" s="21" t="str">
        <x:v>Pure mathematics</x:v>
      </x:c>
      <x:c r="D158" s="21" t="str">
        <x:v>PURE</x:v>
      </x:c>
      <x:c r="E158" s="21" t="str">
        <x:v>不适用</x:v>
      </x:c>
      <x:c r="F158" s="21" t="str">
        <x:v>校内教学板块</x:v>
      </x:c>
      <x:c r="G158" s="21" t="str">
        <x:v>OCR</x:v>
      </x:c>
      <x:c r="H158" s="21" t="str">
        <x:v>GCE AS Level</x:v>
      </x:c>
      <x:c r="I158" s="21" t="str">
        <x:v>OCR GCE AS Level Mathematics A</x:v>
      </x:c>
      <x:c r="J158" s="21" t="str">
        <x:v>AS</x:v>
      </x:c>
      <x:c r="K158" s="21" t="str">
        <x:v>示范性教学组织；非官方独立unit、非试卷注册代码；覆盖范围按本课程大纲。</x:v>
      </x:c>
      <x:c r="L158" s="21" t="str">
        <x:v>OCR-A;SCHOOL</x:v>
      </x:c>
    </x:row>
    <x:row r="159" ht="52" customHeight="1">
      <x:c r="A159" s="20" t="str">
        <x:v>U158</x:v>
      </x:c>
      <x:c r="B159" s="21" t="str">
        <x:v>统计</x:v>
      </x:c>
      <x:c r="C159" s="21" t="str">
        <x:v>Statistics</x:v>
      </x:c>
      <x:c r="D159" s="21" t="str">
        <x:v>STAT</x:v>
      </x:c>
      <x:c r="E159" s="21" t="str">
        <x:v>不适用</x:v>
      </x:c>
      <x:c r="F159" s="21" t="str">
        <x:v>校内教学板块</x:v>
      </x:c>
      <x:c r="G159" s="21" t="str">
        <x:v>OCR</x:v>
      </x:c>
      <x:c r="H159" s="21" t="str">
        <x:v>GCE AS Level</x:v>
      </x:c>
      <x:c r="I159" s="21" t="str">
        <x:v>OCR GCE AS Level Mathematics A</x:v>
      </x:c>
      <x:c r="J159" s="21" t="str">
        <x:v>AS</x:v>
      </x:c>
      <x:c r="K159" s="21" t="str">
        <x:v>示范性教学组织；非官方独立unit、非试卷注册代码；覆盖范围按本课程大纲。</x:v>
      </x:c>
      <x:c r="L159" s="21" t="str">
        <x:v>OCR-A;SCHOOL</x:v>
      </x:c>
    </x:row>
    <x:row r="160" ht="52" customHeight="1">
      <x:c r="A160" s="20" t="str">
        <x:v>U159</x:v>
      </x:c>
      <x:c r="B160" s="21" t="str">
        <x:v>力学</x:v>
      </x:c>
      <x:c r="C160" s="21" t="str">
        <x:v>Mechanics</x:v>
      </x:c>
      <x:c r="D160" s="21" t="str">
        <x:v>MECH</x:v>
      </x:c>
      <x:c r="E160" s="21" t="str">
        <x:v>不适用</x:v>
      </x:c>
      <x:c r="F160" s="21" t="str">
        <x:v>校内教学板块</x:v>
      </x:c>
      <x:c r="G160" s="21" t="str">
        <x:v>OCR</x:v>
      </x:c>
      <x:c r="H160" s="21" t="str">
        <x:v>GCE AS Level</x:v>
      </x:c>
      <x:c r="I160" s="21" t="str">
        <x:v>OCR GCE AS Level Mathematics A</x:v>
      </x:c>
      <x:c r="J160" s="21" t="str">
        <x:v>AS</x:v>
      </x:c>
      <x:c r="K160" s="21" t="str">
        <x:v>示范性教学组织；非官方独立unit、非试卷注册代码；覆盖范围按本课程大纲。</x:v>
      </x:c>
      <x:c r="L160" s="21" t="str">
        <x:v>OCR-A;SCHOOL</x:v>
      </x:c>
    </x:row>
    <x:row r="161" ht="52" customHeight="1">
      <x:c r="A161" s="20" t="str">
        <x:v>U160</x:v>
      </x:c>
      <x:c r="B161" s="21" t="str">
        <x:v>纯数学</x:v>
      </x:c>
      <x:c r="C161" s="21" t="str">
        <x:v>Pure mathematics</x:v>
      </x:c>
      <x:c r="D161" s="21" t="str">
        <x:v>PURE</x:v>
      </x:c>
      <x:c r="E161" s="21" t="str">
        <x:v>不适用</x:v>
      </x:c>
      <x:c r="F161" s="21" t="str">
        <x:v>校内教学板块</x:v>
      </x:c>
      <x:c r="G161" s="21" t="str">
        <x:v>OCR</x:v>
      </x:c>
      <x:c r="H161" s="21" t="str">
        <x:v>GCE A Level</x:v>
      </x:c>
      <x:c r="I161" s="21" t="str">
        <x:v>OCR GCE A Level Mathematics B (MEI)</x:v>
      </x:c>
      <x:c r="J161" s="21" t="str">
        <x:v>AL</x:v>
      </x:c>
      <x:c r="K161" s="21" t="str">
        <x:v>示范性教学组织；非官方独立unit、非试卷注册代码；覆盖范围按本课程大纲。</x:v>
      </x:c>
      <x:c r="L161" s="21" t="str">
        <x:v>OCR-B;SCHOOL</x:v>
      </x:c>
    </x:row>
    <x:row r="162" ht="52" customHeight="1">
      <x:c r="A162" s="20" t="str">
        <x:v>U161</x:v>
      </x:c>
      <x:c r="B162" s="21" t="str">
        <x:v>统计</x:v>
      </x:c>
      <x:c r="C162" s="21" t="str">
        <x:v>Statistics</x:v>
      </x:c>
      <x:c r="D162" s="21" t="str">
        <x:v>STAT</x:v>
      </x:c>
      <x:c r="E162" s="21" t="str">
        <x:v>不适用</x:v>
      </x:c>
      <x:c r="F162" s="21" t="str">
        <x:v>校内教学板块</x:v>
      </x:c>
      <x:c r="G162" s="21" t="str">
        <x:v>OCR</x:v>
      </x:c>
      <x:c r="H162" s="21" t="str">
        <x:v>GCE A Level</x:v>
      </x:c>
      <x:c r="I162" s="21" t="str">
        <x:v>OCR GCE A Level Mathematics B (MEI)</x:v>
      </x:c>
      <x:c r="J162" s="21" t="str">
        <x:v>AL</x:v>
      </x:c>
      <x:c r="K162" s="21" t="str">
        <x:v>示范性教学组织；非官方独立unit、非试卷注册代码；覆盖范围按本课程大纲。</x:v>
      </x:c>
      <x:c r="L162" s="21" t="str">
        <x:v>OCR-B;SCHOOL</x:v>
      </x:c>
    </x:row>
    <x:row r="163" ht="52" customHeight="1">
      <x:c r="A163" s="20" t="str">
        <x:v>U162</x:v>
      </x:c>
      <x:c r="B163" s="21" t="str">
        <x:v>力学</x:v>
      </x:c>
      <x:c r="C163" s="21" t="str">
        <x:v>Mechanics</x:v>
      </x:c>
      <x:c r="D163" s="21" t="str">
        <x:v>MECH</x:v>
      </x:c>
      <x:c r="E163" s="21" t="str">
        <x:v>不适用</x:v>
      </x:c>
      <x:c r="F163" s="21" t="str">
        <x:v>校内教学板块</x:v>
      </x:c>
      <x:c r="G163" s="21" t="str">
        <x:v>OCR</x:v>
      </x:c>
      <x:c r="H163" s="21" t="str">
        <x:v>GCE A Level</x:v>
      </x:c>
      <x:c r="I163" s="21" t="str">
        <x:v>OCR GCE A Level Mathematics B (MEI)</x:v>
      </x:c>
      <x:c r="J163" s="21" t="str">
        <x:v>AL</x:v>
      </x:c>
      <x:c r="K163" s="21" t="str">
        <x:v>示范性教学组织；非官方独立unit、非试卷注册代码；覆盖范围按本课程大纲。</x:v>
      </x:c>
      <x:c r="L163" s="21" t="str">
        <x:v>OCR-B;SCHOOL</x:v>
      </x:c>
    </x:row>
    <x:row r="164" ht="52" customHeight="1">
      <x:c r="A164" s="20" t="str">
        <x:v>U163</x:v>
      </x:c>
      <x:c r="B164" s="21" t="str">
        <x:v>纯数学</x:v>
      </x:c>
      <x:c r="C164" s="21" t="str">
        <x:v>Pure mathematics</x:v>
      </x:c>
      <x:c r="D164" s="21" t="str">
        <x:v>PURE</x:v>
      </x:c>
      <x:c r="E164" s="21" t="str">
        <x:v>不适用</x:v>
      </x:c>
      <x:c r="F164" s="21" t="str">
        <x:v>校内教学板块</x:v>
      </x:c>
      <x:c r="G164" s="21" t="str">
        <x:v>OCR</x:v>
      </x:c>
      <x:c r="H164" s="21" t="str">
        <x:v>GCE AS Level</x:v>
      </x:c>
      <x:c r="I164" s="21" t="str">
        <x:v>OCR GCE AS Level Mathematics B (MEI)</x:v>
      </x:c>
      <x:c r="J164" s="21" t="str">
        <x:v>AS</x:v>
      </x:c>
      <x:c r="K164" s="21" t="str">
        <x:v>示范性教学组织；非官方独立unit、非试卷注册代码；覆盖范围按本课程大纲。</x:v>
      </x:c>
      <x:c r="L164" s="21" t="str">
        <x:v>OCR-B;SCHOOL</x:v>
      </x:c>
    </x:row>
    <x:row r="165" ht="52" customHeight="1">
      <x:c r="A165" s="20" t="str">
        <x:v>U164</x:v>
      </x:c>
      <x:c r="B165" s="21" t="str">
        <x:v>统计</x:v>
      </x:c>
      <x:c r="C165" s="21" t="str">
        <x:v>Statistics</x:v>
      </x:c>
      <x:c r="D165" s="21" t="str">
        <x:v>STAT</x:v>
      </x:c>
      <x:c r="E165" s="21" t="str">
        <x:v>不适用</x:v>
      </x:c>
      <x:c r="F165" s="21" t="str">
        <x:v>校内教学板块</x:v>
      </x:c>
      <x:c r="G165" s="21" t="str">
        <x:v>OCR</x:v>
      </x:c>
      <x:c r="H165" s="21" t="str">
        <x:v>GCE AS Level</x:v>
      </x:c>
      <x:c r="I165" s="21" t="str">
        <x:v>OCR GCE AS Level Mathematics B (MEI)</x:v>
      </x:c>
      <x:c r="J165" s="21" t="str">
        <x:v>AS</x:v>
      </x:c>
      <x:c r="K165" s="21" t="str">
        <x:v>示范性教学组织；非官方独立unit、非试卷注册代码；覆盖范围按本课程大纲。</x:v>
      </x:c>
      <x:c r="L165" s="21" t="str">
        <x:v>OCR-B;SCHOOL</x:v>
      </x:c>
    </x:row>
    <x:row r="166" ht="52" customHeight="1">
      <x:c r="A166" s="20" t="str">
        <x:v>U165</x:v>
      </x:c>
      <x:c r="B166" s="21" t="str">
        <x:v>力学</x:v>
      </x:c>
      <x:c r="C166" s="21" t="str">
        <x:v>Mechanics</x:v>
      </x:c>
      <x:c r="D166" s="21" t="str">
        <x:v>MECH</x:v>
      </x:c>
      <x:c r="E166" s="21" t="str">
        <x:v>不适用</x:v>
      </x:c>
      <x:c r="F166" s="21" t="str">
        <x:v>校内教学板块</x:v>
      </x:c>
      <x:c r="G166" s="21" t="str">
        <x:v>OCR</x:v>
      </x:c>
      <x:c r="H166" s="21" t="str">
        <x:v>GCE AS Level</x:v>
      </x:c>
      <x:c r="I166" s="21" t="str">
        <x:v>OCR GCE AS Level Mathematics B (MEI)</x:v>
      </x:c>
      <x:c r="J166" s="21" t="str">
        <x:v>AS</x:v>
      </x:c>
      <x:c r="K166" s="21" t="str">
        <x:v>示范性教学组织；非官方独立unit、非试卷注册代码；覆盖范围按本课程大纲。</x:v>
      </x:c>
      <x:c r="L166" s="21" t="str">
        <x:v>OCR-B;SCHOOL</x:v>
      </x:c>
    </x:row>
    <x:row r="167" ht="52" customHeight="1">
      <x:c r="A167" s="20" t="str">
        <x:v>U166</x:v>
      </x:c>
      <x:c r="B167" s="21" t="str">
        <x:v>纯数学A</x:v>
      </x:c>
      <x:c r="C167" s="21" t="str">
        <x:v>Pure Mathematics A</x:v>
      </x:c>
      <x:c r="D167" s="21" t="str">
        <x:v>U1</x:v>
      </x:c>
      <x:c r="E167" s="21" t="str">
        <x:v>未设置</x:v>
      </x:c>
      <x:c r="F167" s="21" t="str">
        <x:v>官方模块</x:v>
      </x:c>
      <x:c r="G167" s="21" t="str">
        <x:v>WJEC</x:v>
      </x:c>
      <x:c r="H167" s="21" t="str">
        <x:v>GCE AS / A Level</x:v>
      </x:c>
      <x:c r="I167" s="21" t="str">
        <x:v>WJEC Mathematics</x:v>
      </x:c>
      <x:c r="J167" s="21" t="str">
        <x:v>AS</x:v>
      </x:c>
      <x:c r="K167" s="21" t="str">
        <x:v>规范明确Unit序号；本例不猜题面/语言variant的报名代码。</x:v>
      </x:c>
      <x:c r="L167" s="21" t="str">
        <x:v>WJ-MATH</x:v>
      </x:c>
    </x:row>
    <x:row r="168" ht="52" customHeight="1">
      <x:c r="A168" s="20" t="str">
        <x:v>U167</x:v>
      </x:c>
      <x:c r="B168" s="21" t="str">
        <x:v>应用数学A</x:v>
      </x:c>
      <x:c r="C168" s="21" t="str">
        <x:v>Applied Mathematics A</x:v>
      </x:c>
      <x:c r="D168" s="21" t="str">
        <x:v>U2</x:v>
      </x:c>
      <x:c r="E168" s="21" t="str">
        <x:v>未设置</x:v>
      </x:c>
      <x:c r="F168" s="21" t="str">
        <x:v>官方模块</x:v>
      </x:c>
      <x:c r="G168" s="21" t="str">
        <x:v>WJEC</x:v>
      </x:c>
      <x:c r="H168" s="21" t="str">
        <x:v>GCE AS / A Level</x:v>
      </x:c>
      <x:c r="I168" s="21" t="str">
        <x:v>WJEC Mathematics</x:v>
      </x:c>
      <x:c r="J168" s="21" t="str">
        <x:v>AS</x:v>
      </x:c>
      <x:c r="K168" s="21" t="str">
        <x:v>规范明确Unit序号；本例不猜题面/语言variant的报名代码。</x:v>
      </x:c>
      <x:c r="L168" s="21" t="str">
        <x:v>WJ-MATH</x:v>
      </x:c>
    </x:row>
    <x:row r="169" ht="52" customHeight="1">
      <x:c r="A169" s="20" t="str">
        <x:v>U168</x:v>
      </x:c>
      <x:c r="B169" s="21" t="str">
        <x:v>纯数学B</x:v>
      </x:c>
      <x:c r="C169" s="21" t="str">
        <x:v>Pure Mathematics B</x:v>
      </x:c>
      <x:c r="D169" s="21" t="str">
        <x:v>U3</x:v>
      </x:c>
      <x:c r="E169" s="21" t="str">
        <x:v>未设置</x:v>
      </x:c>
      <x:c r="F169" s="21" t="str">
        <x:v>官方模块</x:v>
      </x:c>
      <x:c r="G169" s="21" t="str">
        <x:v>WJEC</x:v>
      </x:c>
      <x:c r="H169" s="21" t="str">
        <x:v>GCE AS / A Level</x:v>
      </x:c>
      <x:c r="I169" s="21" t="str">
        <x:v>WJEC Mathematics</x:v>
      </x:c>
      <x:c r="J169" s="21" t="str">
        <x:v>A2</x:v>
      </x:c>
      <x:c r="K169" s="21" t="str">
        <x:v>规范明确Unit序号；本例不猜题面/语言variant的报名代码。</x:v>
      </x:c>
      <x:c r="L169" s="21" t="str">
        <x:v>WJ-MATH</x:v>
      </x:c>
    </x:row>
    <x:row r="170" ht="52" customHeight="1">
      <x:c r="A170" s="20" t="str">
        <x:v>U169</x:v>
      </x:c>
      <x:c r="B170" s="21" t="str">
        <x:v>应用数学B</x:v>
      </x:c>
      <x:c r="C170" s="21" t="str">
        <x:v>Applied Mathematics B</x:v>
      </x:c>
      <x:c r="D170" s="21" t="str">
        <x:v>U4</x:v>
      </x:c>
      <x:c r="E170" s="21" t="str">
        <x:v>未设置</x:v>
      </x:c>
      <x:c r="F170" s="21" t="str">
        <x:v>官方模块</x:v>
      </x:c>
      <x:c r="G170" s="21" t="str">
        <x:v>WJEC</x:v>
      </x:c>
      <x:c r="H170" s="21" t="str">
        <x:v>GCE AS / A Level</x:v>
      </x:c>
      <x:c r="I170" s="21" t="str">
        <x:v>WJEC Mathematics</x:v>
      </x:c>
      <x:c r="J170" s="21" t="str">
        <x:v>A2</x:v>
      </x:c>
      <x:c r="K170" s="21" t="str">
        <x:v>规范明确Unit序号；本例不猜题面/语言variant的报名代码。</x:v>
      </x:c>
      <x:c r="L170" s="21" t="str">
        <x:v>WJ-MATH</x:v>
      </x:c>
    </x:row>
    <x:row r="171" ht="52" customHeight="1">
      <x:c r="A171" s="20" t="str">
        <x:v>U170</x:v>
      </x:c>
      <x:c r="B171" s="21" t="str">
        <x:v>纯数学AS</x:v>
      </x:c>
      <x:c r="C171" s="21" t="str">
        <x:v>Pure Mathematics</x:v>
      </x:c>
      <x:c r="D171" s="21" t="str">
        <x:v>AS1</x:v>
      </x:c>
      <x:c r="E171" s="21" t="str">
        <x:v>未设置</x:v>
      </x:c>
      <x:c r="F171" s="21" t="str">
        <x:v>官方模块</x:v>
      </x:c>
      <x:c r="G171" s="21" t="str">
        <x:v>CCEA</x:v>
      </x:c>
      <x:c r="H171" s="21" t="str">
        <x:v>GCE AS / A Level</x:v>
      </x:c>
      <x:c r="I171" s="21" t="str">
        <x:v>CCEA Mathematics</x:v>
      </x:c>
      <x:c r="J171" s="21" t="str">
        <x:v>AS</x:v>
      </x:c>
      <x:c r="K171" s="21" t="str">
        <x:v>保留官方AS1/AS2/A21/A22层级，不从截断QAN或分类码猜报名代码。</x:v>
      </x:c>
      <x:c r="L171" s="21" t="str">
        <x:v>CCEA-MATH;CCEA-SCHOOL</x:v>
      </x:c>
    </x:row>
    <x:row r="172" ht="52" customHeight="1">
      <x:c r="A172" s="20" t="str">
        <x:v>U171</x:v>
      </x:c>
      <x:c r="B172" s="21" t="str">
        <x:v>应用数学AS</x:v>
      </x:c>
      <x:c r="C172" s="21" t="str">
        <x:v>Applied Mathematics</x:v>
      </x:c>
      <x:c r="D172" s="21" t="str">
        <x:v>AS2</x:v>
      </x:c>
      <x:c r="E172" s="21" t="str">
        <x:v>未设置</x:v>
      </x:c>
      <x:c r="F172" s="21" t="str">
        <x:v>官方模块</x:v>
      </x:c>
      <x:c r="G172" s="21" t="str">
        <x:v>CCEA</x:v>
      </x:c>
      <x:c r="H172" s="21" t="str">
        <x:v>GCE AS / A Level</x:v>
      </x:c>
      <x:c r="I172" s="21" t="str">
        <x:v>CCEA Mathematics</x:v>
      </x:c>
      <x:c r="J172" s="21" t="str">
        <x:v>AS</x:v>
      </x:c>
      <x:c r="K172" s="21" t="str">
        <x:v>保留官方AS1/AS2/A21/A22层级，不从截断QAN或分类码猜报名代码。</x:v>
      </x:c>
      <x:c r="L172" s="21" t="str">
        <x:v>CCEA-MATH;CCEA-SCHOOL</x:v>
      </x:c>
    </x:row>
    <x:row r="173" ht="52" customHeight="1">
      <x:c r="A173" s="20" t="str">
        <x:v>U172</x:v>
      </x:c>
      <x:c r="B173" s="21" t="str">
        <x:v>纯数学A2</x:v>
      </x:c>
      <x:c r="C173" s="21" t="str">
        <x:v>Pure Mathematics</x:v>
      </x:c>
      <x:c r="D173" s="21" t="str">
        <x:v>A21</x:v>
      </x:c>
      <x:c r="E173" s="21" t="str">
        <x:v>未设置</x:v>
      </x:c>
      <x:c r="F173" s="21" t="str">
        <x:v>官方模块</x:v>
      </x:c>
      <x:c r="G173" s="21" t="str">
        <x:v>CCEA</x:v>
      </x:c>
      <x:c r="H173" s="21" t="str">
        <x:v>GCE AS / A Level</x:v>
      </x:c>
      <x:c r="I173" s="21" t="str">
        <x:v>CCEA Mathematics</x:v>
      </x:c>
      <x:c r="J173" s="21" t="str">
        <x:v>A2</x:v>
      </x:c>
      <x:c r="K173" s="21" t="str">
        <x:v>保留官方AS1/AS2/A21/A22层级，不从截断QAN或分类码猜报名代码。</x:v>
      </x:c>
      <x:c r="L173" s="21" t="str">
        <x:v>CCEA-MATH;CCEA-SCHOOL</x:v>
      </x:c>
    </x:row>
    <x:row r="174" ht="52" customHeight="1">
      <x:c r="A174" s="20" t="str">
        <x:v>U173</x:v>
      </x:c>
      <x:c r="B174" s="21" t="str">
        <x:v>应用数学A2</x:v>
      </x:c>
      <x:c r="C174" s="21" t="str">
        <x:v>Applied Mathematics</x:v>
      </x:c>
      <x:c r="D174" s="21" t="str">
        <x:v>A22</x:v>
      </x:c>
      <x:c r="E174" s="21" t="str">
        <x:v>未设置</x:v>
      </x:c>
      <x:c r="F174" s="21" t="str">
        <x:v>官方模块</x:v>
      </x:c>
      <x:c r="G174" s="21" t="str">
        <x:v>CCEA</x:v>
      </x:c>
      <x:c r="H174" s="21" t="str">
        <x:v>GCE AS / A Level</x:v>
      </x:c>
      <x:c r="I174" s="21" t="str">
        <x:v>CCEA Mathematics</x:v>
      </x:c>
      <x:c r="J174" s="21" t="str">
        <x:v>A2</x:v>
      </x:c>
      <x:c r="K174" s="21" t="str">
        <x:v>保留官方AS1/AS2/A21/A22层级，不从截断QAN或分类码猜报名代码。</x:v>
      </x:c>
      <x:c r="L174" s="21" t="str">
        <x:v>CCEA-MATH;CCEA-SCHOOL</x:v>
      </x:c>
    </x:row>
    <x:row r="175" ht="52" customHeight="1">
      <x:c r="A175" s="20" t="str">
        <x:v>U174</x:v>
      </x:c>
      <x:c r="B175" s="21" t="str">
        <x:v>市场与营销教学块</x:v>
      </x:c>
      <x:c r="C175" s="21" t="str">
        <x:v>Markets and marketing teaching block</x:v>
      </x:c>
      <x:c r="D175" s="21" t="str">
        <x:v>MARKET</x:v>
      </x:c>
      <x:c r="E175" s="21" t="str">
        <x:v>不适用</x:v>
      </x:c>
      <x:c r="F175" s="21" t="str">
        <x:v>校内教学板块</x:v>
      </x:c>
      <x:c r="G175" s="21" t="str">
        <x:v>WJEC Eduqas</x:v>
      </x:c>
      <x:c r="H175" s="21" t="str">
        <x:v>GCE A Level</x:v>
      </x:c>
      <x:c r="I175" s="21" t="str">
        <x:v>WJEC Eduqas GCE A Level Business</x:v>
      </x:c>
      <x:c r="J175" s="21" t="str">
        <x:v>AL</x:v>
      </x:c>
      <x:c r="K175" s="21" t="str">
        <x:v>示范性教学组织；非官方独立unit、非试卷注册代码；覆盖范围按本课程大纲。</x:v>
      </x:c>
      <x:c r="L175" s="21" t="str">
        <x:v>EDU-BUS;SCHOOL</x:v>
      </x:c>
    </x:row>
    <x:row r="176" ht="52" customHeight="1">
      <x:c r="A176" s="20" t="str">
        <x:v>U175</x:v>
      </x:c>
      <x:c r="B176" s="21" t="str">
        <x:v>运营与人员教学块</x:v>
      </x:c>
      <x:c r="C176" s="21" t="str">
        <x:v>Operations and people teaching block</x:v>
      </x:c>
      <x:c r="D176" s="21" t="str">
        <x:v>OPS</x:v>
      </x:c>
      <x:c r="E176" s="21" t="str">
        <x:v>不适用</x:v>
      </x:c>
      <x:c r="F176" s="21" t="str">
        <x:v>校内教学板块</x:v>
      </x:c>
      <x:c r="G176" s="21" t="str">
        <x:v>WJEC Eduqas</x:v>
      </x:c>
      <x:c r="H176" s="21" t="str">
        <x:v>GCE A Level</x:v>
      </x:c>
      <x:c r="I176" s="21" t="str">
        <x:v>WJEC Eduqas GCE A Level Business</x:v>
      </x:c>
      <x:c r="J176" s="21" t="str">
        <x:v>AL</x:v>
      </x:c>
      <x:c r="K176" s="21" t="str">
        <x:v>示范性教学组织；非官方独立unit、非试卷注册代码；覆盖范围按本课程大纲。</x:v>
      </x:c>
      <x:c r="L176" s="21" t="str">
        <x:v>EDU-BUS;SCHOOL</x:v>
      </x:c>
    </x:row>
    <x:row r="177" ht="52" customHeight="1">
      <x:c r="A177" s="20" t="str">
        <x:v>U176</x:v>
      </x:c>
      <x:c r="B177" s="21" t="str">
        <x:v>财务教学块</x:v>
      </x:c>
      <x:c r="C177" s="21" t="str">
        <x:v>Finance teaching block</x:v>
      </x:c>
      <x:c r="D177" s="21" t="str">
        <x:v>FIN</x:v>
      </x:c>
      <x:c r="E177" s="21" t="str">
        <x:v>不适用</x:v>
      </x:c>
      <x:c r="F177" s="21" t="str">
        <x:v>校内教学板块</x:v>
      </x:c>
      <x:c r="G177" s="21" t="str">
        <x:v>WJEC Eduqas</x:v>
      </x:c>
      <x:c r="H177" s="21" t="str">
        <x:v>GCE A Level</x:v>
      </x:c>
      <x:c r="I177" s="21" t="str">
        <x:v>WJEC Eduqas GCE A Level Business</x:v>
      </x:c>
      <x:c r="J177" s="21" t="str">
        <x:v>AL</x:v>
      </x:c>
      <x:c r="K177" s="21" t="str">
        <x:v>示范性教学组织；非官方独立unit、非试卷注册代码；覆盖范围按本课程大纲。</x:v>
      </x:c>
      <x:c r="L177" s="21" t="str">
        <x:v>EDU-BUS;SCHOOL</x:v>
      </x:c>
    </x:row>
    <x:row r="178" ht="52" customHeight="1">
      <x:c r="A178" s="20" t="str">
        <x:v>U177</x:v>
      </x:c>
      <x:c r="B178" s="21" t="str">
        <x:v>战略教学块</x:v>
      </x:c>
      <x:c r="C178" s="21" t="str">
        <x:v>Strategy teaching block</x:v>
      </x:c>
      <x:c r="D178" s="21" t="str">
        <x:v>STRAT</x:v>
      </x:c>
      <x:c r="E178" s="21" t="str">
        <x:v>不适用</x:v>
      </x:c>
      <x:c r="F178" s="21" t="str">
        <x:v>校内教学板块</x:v>
      </x:c>
      <x:c r="G178" s="21" t="str">
        <x:v>WJEC Eduqas</x:v>
      </x:c>
      <x:c r="H178" s="21" t="str">
        <x:v>GCE A Level</x:v>
      </x:c>
      <x:c r="I178" s="21" t="str">
        <x:v>WJEC Eduqas GCE A Level Business</x:v>
      </x:c>
      <x:c r="J178" s="21" t="str">
        <x:v>AL</x:v>
      </x:c>
      <x:c r="K178" s="21" t="str">
        <x:v>示范性教学组织；非官方独立unit、非试卷注册代码；覆盖范围按本课程大纲。</x:v>
      </x:c>
      <x:c r="L178" s="21" t="str">
        <x:v>EDU-BUS;SCHOOL</x:v>
      </x:c>
    </x:row>
    <x:row r="179" ht="52" customHeight="1">
      <x:c r="A179" s="20" t="str">
        <x:v>U178</x:v>
      </x:c>
      <x:c r="B179" s="21" t="str">
        <x:v>编程与算法教学块</x:v>
      </x:c>
      <x:c r="C179" s="21" t="str">
        <x:v>Programming and algorithms teaching block</x:v>
      </x:c>
      <x:c r="D179" s="21" t="str">
        <x:v>PROG</x:v>
      </x:c>
      <x:c r="E179" s="21" t="str">
        <x:v>不适用</x:v>
      </x:c>
      <x:c r="F179" s="21" t="str">
        <x:v>校内教学板块</x:v>
      </x:c>
      <x:c r="G179" s="21" t="str">
        <x:v>WJEC Eduqas</x:v>
      </x:c>
      <x:c r="H179" s="21" t="str">
        <x:v>GCE A Level</x:v>
      </x:c>
      <x:c r="I179" s="21" t="str">
        <x:v>WJEC Eduqas GCE A Level Computer Science</x:v>
      </x:c>
      <x:c r="J179" s="21" t="str">
        <x:v>AL</x:v>
      </x:c>
      <x:c r="K179" s="21" t="str">
        <x:v>示范性教学组织；非官方独立unit、非试卷注册代码；覆盖范围按本课程大纲。</x:v>
      </x:c>
      <x:c r="L179" s="21" t="str">
        <x:v>EDU-CS;SCHOOL</x:v>
      </x:c>
    </x:row>
    <x:row r="180" ht="52" customHeight="1">
      <x:c r="A180" s="20" t="str">
        <x:v>U179</x:v>
      </x:c>
      <x:c r="B180" s="21" t="str">
        <x:v>计算机系统教学块</x:v>
      </x:c>
      <x:c r="C180" s="21" t="str">
        <x:v>Computer systems teaching block</x:v>
      </x:c>
      <x:c r="D180" s="21" t="str">
        <x:v>SYSTEM</x:v>
      </x:c>
      <x:c r="E180" s="21" t="str">
        <x:v>不适用</x:v>
      </x:c>
      <x:c r="F180" s="21" t="str">
        <x:v>校内教学板块</x:v>
      </x:c>
      <x:c r="G180" s="21" t="str">
        <x:v>WJEC Eduqas</x:v>
      </x:c>
      <x:c r="H180" s="21" t="str">
        <x:v>GCE A Level</x:v>
      </x:c>
      <x:c r="I180" s="21" t="str">
        <x:v>WJEC Eduqas GCE A Level Computer Science</x:v>
      </x:c>
      <x:c r="J180" s="21" t="str">
        <x:v>AL</x:v>
      </x:c>
      <x:c r="K180" s="21" t="str">
        <x:v>示范性教学组织；非官方独立unit、非试卷注册代码；覆盖范围按本课程大纲。</x:v>
      </x:c>
      <x:c r="L180" s="21" t="str">
        <x:v>EDU-CS;SCHOOL</x:v>
      </x:c>
    </x:row>
    <x:row r="181" ht="52" customHeight="1">
      <x:c r="A181" s="20" t="str">
        <x:v>U180</x:v>
      </x:c>
      <x:c r="B181" s="21" t="str">
        <x:v>数据与网络教学块</x:v>
      </x:c>
      <x:c r="C181" s="21" t="str">
        <x:v>Data and networks teaching block</x:v>
      </x:c>
      <x:c r="D181" s="21" t="str">
        <x:v>DATA</x:v>
      </x:c>
      <x:c r="E181" s="21" t="str">
        <x:v>不适用</x:v>
      </x:c>
      <x:c r="F181" s="21" t="str">
        <x:v>校内教学板块</x:v>
      </x:c>
      <x:c r="G181" s="21" t="str">
        <x:v>WJEC Eduqas</x:v>
      </x:c>
      <x:c r="H181" s="21" t="str">
        <x:v>GCE A Level</x:v>
      </x:c>
      <x:c r="I181" s="21" t="str">
        <x:v>WJEC Eduqas GCE A Level Computer Science</x:v>
      </x:c>
      <x:c r="J181" s="21" t="str">
        <x:v>AL</x:v>
      </x:c>
      <x:c r="K181" s="21" t="str">
        <x:v>示范性教学组织；非官方独立unit、非试卷注册代码；覆盖范围按本课程大纲。</x:v>
      </x:c>
      <x:c r="L181" s="21" t="str">
        <x:v>EDU-CS;SCHOOL</x:v>
      </x:c>
    </x:row>
    <x:row r="182" ht="52" customHeight="1">
      <x:c r="A182" s="20" t="str">
        <x:v>U181</x:v>
      </x:c>
      <x:c r="B182" s="21" t="str">
        <x:v>编程项目教学块</x:v>
      </x:c>
      <x:c r="C182" s="21" t="str">
        <x:v>Programming project teaching block</x:v>
      </x:c>
      <x:c r="D182" s="21" t="str">
        <x:v>PROJECT</x:v>
      </x:c>
      <x:c r="E182" s="21" t="str">
        <x:v>不适用</x:v>
      </x:c>
      <x:c r="F182" s="21" t="str">
        <x:v>校内教学板块</x:v>
      </x:c>
      <x:c r="G182" s="21" t="str">
        <x:v>WJEC Eduqas</x:v>
      </x:c>
      <x:c r="H182" s="21" t="str">
        <x:v>GCE A Level</x:v>
      </x:c>
      <x:c r="I182" s="21" t="str">
        <x:v>WJEC Eduqas GCE A Level Computer Science</x:v>
      </x:c>
      <x:c r="J182" s="21" t="str">
        <x:v>AL</x:v>
      </x:c>
      <x:c r="K182" s="21" t="str">
        <x:v>示范性教学组织；非官方独立unit、非试卷注册代码；覆盖范围按本课程大纲。</x:v>
      </x:c>
      <x:c r="L182" s="21" t="str">
        <x:v>EDU-CS;SCHOOL</x:v>
      </x:c>
    </x:row>
    <x:row r="183" ht="52" customHeight="1">
      <x:c r="A183" s="20" t="str">
        <x:v>U182</x:v>
      </x:c>
      <x:c r="B183" s="21" t="str">
        <x:v>代数基础</x:v>
      </x:c>
      <x:c r="C183" s="21" t="str">
        <x:v>Algebra foundations</x:v>
      </x:c>
      <x:c r="D183" s="21" t="str">
        <x:v>ALG</x:v>
      </x:c>
      <x:c r="E183" s="21" t="str">
        <x:v>不适用</x:v>
      </x:c>
      <x:c r="F183" s="21" t="str">
        <x:v>校内教学板块</x:v>
      </x:c>
      <x:c r="G183" s="21" t="str">
        <x:v>校本</x:v>
      </x:c>
      <x:c r="H183" s="21" t="str">
        <x:v>校本课程</x:v>
      </x:c>
      <x:c r="I183" s="21" t="str">
        <x:v>Mathematics Bridging and Enrichment</x:v>
      </x:c>
      <x:c r="J183" s="21" t="str">
        <x:v>全程</x:v>
      </x:c>
      <x:c r="K183" s="21" t="str">
        <x:v>示范性教学组织；非官方独立unit、非试卷注册代码；覆盖范围按本课程大纲。</x:v>
      </x:c>
      <x:c r="L183" s="21" t="str">
        <x:v>SCHOOL;SCHOOL</x:v>
      </x:c>
    </x:row>
    <x:row r="184" ht="52" customHeight="1">
      <x:c r="A184" s="20" t="str">
        <x:v>U183</x:v>
      </x:c>
      <x:c r="B184" s="21" t="str">
        <x:v>数学建模</x:v>
      </x:c>
      <x:c r="C184" s="21" t="str">
        <x:v>Mathematical modelling</x:v>
      </x:c>
      <x:c r="D184" s="21" t="str">
        <x:v>MODELLING</x:v>
      </x:c>
      <x:c r="E184" s="21" t="str">
        <x:v>不适用</x:v>
      </x:c>
      <x:c r="F184" s="21" t="str">
        <x:v>校内教学板块</x:v>
      </x:c>
      <x:c r="G184" s="21" t="str">
        <x:v>校本</x:v>
      </x:c>
      <x:c r="H184" s="21" t="str">
        <x:v>校本课程</x:v>
      </x:c>
      <x:c r="I184" s="21" t="str">
        <x:v>Mathematics Bridging and Enrichment</x:v>
      </x:c>
      <x:c r="J184" s="21" t="str">
        <x:v>全程</x:v>
      </x:c>
      <x:c r="K184" s="21" t="str">
        <x:v>示范性教学组织；非官方独立unit、非试卷注册代码；覆盖范围按本课程大纲。</x:v>
      </x:c>
      <x:c r="L184" s="21" t="str">
        <x:v>SCHOOL;SCHOOL</x:v>
      </x:c>
    </x:row>
    <x:row r="185" ht="52" customHeight="1">
      <x:c r="A185" s="20" t="str">
        <x:v>U184</x:v>
      </x:c>
      <x:c r="B185" s="21" t="str">
        <x:v>编程与算法</x:v>
      </x:c>
      <x:c r="C185" s="21" t="str">
        <x:v>Programming and algorithms</x:v>
      </x:c>
      <x:c r="D185" s="21" t="str">
        <x:v>PROG</x:v>
      </x:c>
      <x:c r="E185" s="21" t="str">
        <x:v>不适用</x:v>
      </x:c>
      <x:c r="F185" s="21" t="str">
        <x:v>校内教学板块</x:v>
      </x:c>
      <x:c r="G185" s="21" t="str">
        <x:v>AQA</x:v>
      </x:c>
      <x:c r="H185" s="21" t="str">
        <x:v>GCE A Level</x:v>
      </x:c>
      <x:c r="I185" s="21" t="str">
        <x:v>AQA GCE A Level Computer Science</x:v>
      </x:c>
      <x:c r="J185" s="21" t="str">
        <x:v>AL</x:v>
      </x:c>
      <x:c r="K185" s="21" t="str">
        <x:v>示范性教学组织；非官方独立unit、非试卷注册代码；覆盖范围按本课程大纲。</x:v>
      </x:c>
      <x:c r="L185" s="21" t="str">
        <x:v>AQ-CS;SCHOOL</x:v>
      </x:c>
    </x:row>
    <x:row r="186" ht="52" customHeight="1">
      <x:c r="A186" s="20" t="str">
        <x:v>U185</x:v>
      </x:c>
      <x:c r="B186" s="21" t="str">
        <x:v>系统与数据</x:v>
      </x:c>
      <x:c r="C186" s="21" t="str">
        <x:v>Systems and data</x:v>
      </x:c>
      <x:c r="D186" s="21" t="str">
        <x:v>SYSTEM</x:v>
      </x:c>
      <x:c r="E186" s="21" t="str">
        <x:v>不适用</x:v>
      </x:c>
      <x:c r="F186" s="21" t="str">
        <x:v>校内教学板块</x:v>
      </x:c>
      <x:c r="G186" s="21" t="str">
        <x:v>AQA</x:v>
      </x:c>
      <x:c r="H186" s="21" t="str">
        <x:v>GCE A Level</x:v>
      </x:c>
      <x:c r="I186" s="21" t="str">
        <x:v>AQA GCE A Level Computer Science</x:v>
      </x:c>
      <x:c r="J186" s="21" t="str">
        <x:v>AL</x:v>
      </x:c>
      <x:c r="K186" s="21" t="str">
        <x:v>示范性教学组织；非官方独立unit、非试卷注册代码；覆盖范围按本课程大纲。</x:v>
      </x:c>
      <x:c r="L186" s="21" t="str">
        <x:v>AQ-CS;SCHOOL</x:v>
      </x:c>
    </x:row>
    <x:row r="187" ht="52" customHeight="1">
      <x:c r="A187" s="20" t="str">
        <x:v>U186</x:v>
      </x:c>
      <x:c r="B187" s="21" t="str">
        <x:v>计算机实践项目</x:v>
      </x:c>
      <x:c r="C187" s="21" t="str">
        <x:v>Computing practical project</x:v>
      </x:c>
      <x:c r="D187" s="21" t="str">
        <x:v>PROJECT</x:v>
      </x:c>
      <x:c r="E187" s="21" t="str">
        <x:v>不适用</x:v>
      </x:c>
      <x:c r="F187" s="21" t="str">
        <x:v>校内教学板块</x:v>
      </x:c>
      <x:c r="G187" s="21" t="str">
        <x:v>AQA</x:v>
      </x:c>
      <x:c r="H187" s="21" t="str">
        <x:v>GCE A Level</x:v>
      </x:c>
      <x:c r="I187" s="21" t="str">
        <x:v>AQA GCE A Level Computer Science</x:v>
      </x:c>
      <x:c r="J187" s="21" t="str">
        <x:v>AL</x:v>
      </x:c>
      <x:c r="K187" s="21" t="str">
        <x:v>示范性教学组织；非官方独立unit、非试卷注册代码；覆盖范围按本课程大纲。</x:v>
      </x:c>
      <x:c r="L187" s="21" t="str">
        <x:v>AQ-CS;SCHOOL</x:v>
      </x:c>
    </x:row>
    <x:row r="188" ht="64" customHeight="1">
      <x:c r="A188" s="71" t="str">
        <x:v>U187</x:v>
      </x:c>
      <x:c r="B188" s="70" t="str">
        <x:v>Reading and Writing</x:v>
      </x:c>
      <x:c r="C188" s="70" t="str">
        <x:v>Reading and Writing</x:v>
      </x:c>
      <x:c r="D188" s="70" t="str">
        <x:v>RW</x:v>
      </x:c>
      <x:c r="E188" s="70"/>
      <x:c r="F188" s="70" t="str">
        <x:v>校内教学板块</x:v>
      </x:c>
      <x:c r="G188" s="70" t="str">
        <x:v>College Board</x:v>
      </x:c>
      <x:c r="H188" s="70" t="str">
        <x:v>Undergraduate Admissions Tests</x:v>
      </x:c>
      <x:c r="I188" s="70" t="str">
        <x:v>C497-TEACHING</x:v>
      </x:c>
      <x:c r="J188" s="70" t="str">
        <x:v>备考</x:v>
      </x:c>
      <x:c r="K188" s="70" t="str">
        <x:v>教学组织记录；不声明为可独立报考/兑换成绩的官方unit。对应SAT考试内容领域；不为自适应第1/2模块建立永久课程。</x:v>
      </x:c>
      <x:c r="L188" s="70" t="str">
        <x:v>V3-SAT</x:v>
      </x:c>
    </x:row>
    <x:row r="189" ht="64" customHeight="1">
      <x:c r="A189" s="71" t="str">
        <x:v>U188</x:v>
      </x:c>
      <x:c r="B189" s="70" t="str">
        <x:v>Mathematics</x:v>
      </x:c>
      <x:c r="C189" s="70" t="str">
        <x:v>Mathematics</x:v>
      </x:c>
      <x:c r="D189" s="70" t="str">
        <x:v>MATH</x:v>
      </x:c>
      <x:c r="E189" s="70"/>
      <x:c r="F189" s="70" t="str">
        <x:v>校内教学板块</x:v>
      </x:c>
      <x:c r="G189" s="70" t="str">
        <x:v>College Board</x:v>
      </x:c>
      <x:c r="H189" s="70" t="str">
        <x:v>Undergraduate Admissions Tests</x:v>
      </x:c>
      <x:c r="I189" s="70" t="str">
        <x:v>C497-TEACHING</x:v>
      </x:c>
      <x:c r="J189" s="70" t="str">
        <x:v>备考</x:v>
      </x:c>
      <x:c r="K189" s="70" t="str">
        <x:v>教学组织记录；不声明为可独立报考/兑换成绩的官方unit。对应SAT考试内容领域；不为自适应第1/2模块建立永久课程。</x:v>
      </x:c>
      <x:c r="L189" s="70" t="str">
        <x:v>V3-SAT</x:v>
      </x:c>
    </x:row>
    <x:row r="190" ht="64" customHeight="1">
      <x:c r="A190" s="71" t="str">
        <x:v>U189</x:v>
      </x:c>
      <x:c r="B190" s="70" t="str">
        <x:v>English</x:v>
      </x:c>
      <x:c r="C190" s="70" t="str">
        <x:v>English</x:v>
      </x:c>
      <x:c r="D190" s="70" t="str">
        <x:v>ENG</x:v>
      </x:c>
      <x:c r="E190" s="70"/>
      <x:c r="F190" s="70" t="str">
        <x:v>校内教学板块</x:v>
      </x:c>
      <x:c r="G190" s="70" t="str">
        <x:v>ACT</x:v>
      </x:c>
      <x:c r="H190" s="70" t="str">
        <x:v>Undergraduate Admissions Tests</x:v>
      </x:c>
      <x:c r="I190" s="70" t="str">
        <x:v>C498-TEACHING</x:v>
      </x:c>
      <x:c r="J190" s="70" t="str">
        <x:v>备考</x:v>
      </x:c>
      <x:c r="K190" s="70" t="str">
        <x:v>教学组织记录；不声明为可独立报考/兑换成绩的官方unit。现行ACT Composite核心部分。</x:v>
      </x:c>
      <x:c r="L190" s="70" t="str">
        <x:v>V3-ACT</x:v>
      </x:c>
    </x:row>
    <x:row r="191" ht="64" customHeight="1">
      <x:c r="A191" s="71" t="str">
        <x:v>U190</x:v>
      </x:c>
      <x:c r="B191" s="70" t="str">
        <x:v>Mathematics</x:v>
      </x:c>
      <x:c r="C191" s="70" t="str">
        <x:v>Mathematics</x:v>
      </x:c>
      <x:c r="D191" s="70" t="str">
        <x:v>MATH</x:v>
      </x:c>
      <x:c r="E191" s="70"/>
      <x:c r="F191" s="70" t="str">
        <x:v>校内教学板块</x:v>
      </x:c>
      <x:c r="G191" s="70" t="str">
        <x:v>ACT</x:v>
      </x:c>
      <x:c r="H191" s="70" t="str">
        <x:v>Undergraduate Admissions Tests</x:v>
      </x:c>
      <x:c r="I191" s="70" t="str">
        <x:v>C498-TEACHING</x:v>
      </x:c>
      <x:c r="J191" s="70" t="str">
        <x:v>备考</x:v>
      </x:c>
      <x:c r="K191" s="70" t="str">
        <x:v>教学组织记录；不声明为可独立报考/兑换成绩的官方unit。现行ACT Composite核心部分。</x:v>
      </x:c>
      <x:c r="L191" s="70" t="str">
        <x:v>V3-ACT</x:v>
      </x:c>
    </x:row>
    <x:row r="192" ht="64" customHeight="1">
      <x:c r="A192" s="71" t="str">
        <x:v>U191</x:v>
      </x:c>
      <x:c r="B192" s="70" t="str">
        <x:v>Reading</x:v>
      </x:c>
      <x:c r="C192" s="70" t="str">
        <x:v>Reading</x:v>
      </x:c>
      <x:c r="D192" s="70" t="str">
        <x:v>READ</x:v>
      </x:c>
      <x:c r="E192" s="70"/>
      <x:c r="F192" s="70" t="str">
        <x:v>校内教学板块</x:v>
      </x:c>
      <x:c r="G192" s="70" t="str">
        <x:v>ACT</x:v>
      </x:c>
      <x:c r="H192" s="70" t="str">
        <x:v>Undergraduate Admissions Tests</x:v>
      </x:c>
      <x:c r="I192" s="70" t="str">
        <x:v>C498-TEACHING</x:v>
      </x:c>
      <x:c r="J192" s="70" t="str">
        <x:v>备考</x:v>
      </x:c>
      <x:c r="K192" s="70" t="str">
        <x:v>教学组织记录；不声明为可独立报考/兑换成绩的官方unit。现行ACT Composite核心部分。</x:v>
      </x:c>
      <x:c r="L192" s="70" t="str">
        <x:v>V3-ACT</x:v>
      </x:c>
    </x:row>
    <x:row r="193" ht="64" customHeight="1">
      <x:c r="A193" s="71" t="str">
        <x:v>U192</x:v>
      </x:c>
      <x:c r="B193" s="70" t="str">
        <x:v>Science</x:v>
      </x:c>
      <x:c r="C193" s="70" t="str">
        <x:v>Science</x:v>
      </x:c>
      <x:c r="D193" s="70" t="str">
        <x:v>SCI</x:v>
      </x:c>
      <x:c r="E193" s="70"/>
      <x:c r="F193" s="70" t="str">
        <x:v>校内教学板块</x:v>
      </x:c>
      <x:c r="G193" s="70" t="str">
        <x:v>ACT</x:v>
      </x:c>
      <x:c r="H193" s="70" t="str">
        <x:v>Undergraduate Admissions Tests</x:v>
      </x:c>
      <x:c r="I193" s="70" t="str">
        <x:v>C498-TEACHING</x:v>
      </x:c>
      <x:c r="J193" s="70" t="str">
        <x:v>备考</x:v>
      </x:c>
      <x:c r="K193" s="70" t="str">
        <x:v>教学组织记录；不声明为可独立报考/兑换成绩的官方unit。可选部分；是否参加按场次/考点要求确定，不计Composite。</x:v>
      </x:c>
      <x:c r="L193" s="70" t="str">
        <x:v>V3-ACT</x:v>
      </x:c>
    </x:row>
    <x:row r="194" ht="64" customHeight="1">
      <x:c r="A194" s="71" t="str">
        <x:v>U193</x:v>
      </x:c>
      <x:c r="B194" s="70" t="str">
        <x:v>Writing</x:v>
      </x:c>
      <x:c r="C194" s="70" t="str">
        <x:v>Writing</x:v>
      </x:c>
      <x:c r="D194" s="70" t="str">
        <x:v>WRITE</x:v>
      </x:c>
      <x:c r="E194" s="70"/>
      <x:c r="F194" s="70" t="str">
        <x:v>校内教学板块</x:v>
      </x:c>
      <x:c r="G194" s="70" t="str">
        <x:v>ACT</x:v>
      </x:c>
      <x:c r="H194" s="70" t="str">
        <x:v>Undergraduate Admissions Tests</x:v>
      </x:c>
      <x:c r="I194" s="70" t="str">
        <x:v>C498-TEACHING</x:v>
      </x:c>
      <x:c r="J194" s="70" t="str">
        <x:v>备考</x:v>
      </x:c>
      <x:c r="K194" s="70" t="str">
        <x:v>教学组织记录；不声明为可独立报考/兑换成绩的官方unit。可选部分；是否参加按场次/考点要求确定，不计Composite。</x:v>
      </x:c>
      <x:c r="L194" s="70" t="str">
        <x:v>V3-ACT</x:v>
      </x:c>
    </x:row>
    <x:row r="195" ht="64" customHeight="1">
      <x:c r="A195" s="71" t="str">
        <x:v>U194</x:v>
      </x:c>
      <x:c r="B195" s="70" t="str">
        <x:v>Listening</x:v>
      </x:c>
      <x:c r="C195" s="70" t="str">
        <x:v>Listening</x:v>
      </x:c>
      <x:c r="D195" s="70" t="str">
        <x:v>LISTEN</x:v>
      </x:c>
      <x:c r="E195" s="70"/>
      <x:c r="F195" s="70" t="str">
        <x:v>校内教学板块</x:v>
      </x:c>
      <x:c r="G195" s="70" t="str">
        <x:v>IELTS Partners</x:v>
      </x:c>
      <x:c r="H195" s="70" t="str">
        <x:v>English Language Proficiency Tests</x:v>
      </x:c>
      <x:c r="I195" s="70" t="str">
        <x:v>C499-TEACHING</x:v>
      </x:c>
      <x:c r="J195" s="70" t="str">
        <x:v>备考</x:v>
      </x:c>
      <x:c r="K195" s="70" t="str">
        <x:v>教学组织记录；不声明为可独立报考/兑换成绩的官方unit。教学安排；具体考试任务与量表见95。</x:v>
      </x:c>
      <x:c r="L195" s="70" t="str">
        <x:v>V3-IELTS</x:v>
      </x:c>
    </x:row>
    <x:row r="196" ht="64" customHeight="1">
      <x:c r="A196" s="71" t="str">
        <x:v>U195</x:v>
      </x:c>
      <x:c r="B196" s="70" t="str">
        <x:v>Reading</x:v>
      </x:c>
      <x:c r="C196" s="70" t="str">
        <x:v>Reading</x:v>
      </x:c>
      <x:c r="D196" s="70" t="str">
        <x:v>READ</x:v>
      </x:c>
      <x:c r="E196" s="70"/>
      <x:c r="F196" s="70" t="str">
        <x:v>校内教学板块</x:v>
      </x:c>
      <x:c r="G196" s="70" t="str">
        <x:v>IELTS Partners</x:v>
      </x:c>
      <x:c r="H196" s="70" t="str">
        <x:v>English Language Proficiency Tests</x:v>
      </x:c>
      <x:c r="I196" s="70" t="str">
        <x:v>C499-TEACHING</x:v>
      </x:c>
      <x:c r="J196" s="70" t="str">
        <x:v>备考</x:v>
      </x:c>
      <x:c r="K196" s="70" t="str">
        <x:v>教学组织记录；不声明为可独立报考/兑换成绩的官方unit。教学安排；具体考试任务与量表见95。</x:v>
      </x:c>
      <x:c r="L196" s="70" t="str">
        <x:v>V3-IELTS</x:v>
      </x:c>
    </x:row>
    <x:row r="197" ht="64" customHeight="1">
      <x:c r="A197" s="71" t="str">
        <x:v>U196</x:v>
      </x:c>
      <x:c r="B197" s="70" t="str">
        <x:v>Writing</x:v>
      </x:c>
      <x:c r="C197" s="70" t="str">
        <x:v>Writing</x:v>
      </x:c>
      <x:c r="D197" s="70" t="str">
        <x:v>WRITE</x:v>
      </x:c>
      <x:c r="E197" s="70"/>
      <x:c r="F197" s="70" t="str">
        <x:v>校内教学板块</x:v>
      </x:c>
      <x:c r="G197" s="70" t="str">
        <x:v>IELTS Partners</x:v>
      </x:c>
      <x:c r="H197" s="70" t="str">
        <x:v>English Language Proficiency Tests</x:v>
      </x:c>
      <x:c r="I197" s="70" t="str">
        <x:v>C499-TEACHING</x:v>
      </x:c>
      <x:c r="J197" s="70" t="str">
        <x:v>备考</x:v>
      </x:c>
      <x:c r="K197" s="70" t="str">
        <x:v>教学组织记录；不声明为可独立报考/兑换成绩的官方unit。教学安排；具体考试任务与量表见95。</x:v>
      </x:c>
      <x:c r="L197" s="70" t="str">
        <x:v>V3-IELTS</x:v>
      </x:c>
    </x:row>
    <x:row r="198" ht="64" customHeight="1">
      <x:c r="A198" s="71" t="str">
        <x:v>U197</x:v>
      </x:c>
      <x:c r="B198" s="70" t="str">
        <x:v>Speaking</x:v>
      </x:c>
      <x:c r="C198" s="70" t="str">
        <x:v>Speaking</x:v>
      </x:c>
      <x:c r="D198" s="70" t="str">
        <x:v>SPEAK</x:v>
      </x:c>
      <x:c r="E198" s="70"/>
      <x:c r="F198" s="70" t="str">
        <x:v>校内教学板块</x:v>
      </x:c>
      <x:c r="G198" s="70" t="str">
        <x:v>IELTS Partners</x:v>
      </x:c>
      <x:c r="H198" s="70" t="str">
        <x:v>English Language Proficiency Tests</x:v>
      </x:c>
      <x:c r="I198" s="70" t="str">
        <x:v>C499-TEACHING</x:v>
      </x:c>
      <x:c r="J198" s="70" t="str">
        <x:v>备考</x:v>
      </x:c>
      <x:c r="K198" s="70" t="str">
        <x:v>教学组织记录；不声明为可独立报考/兑换成绩的官方unit。教学安排；具体考试任务与量表见95。</x:v>
      </x:c>
      <x:c r="L198" s="70" t="str">
        <x:v>V3-IELTS</x:v>
      </x:c>
    </x:row>
    <x:row r="199" ht="64" customHeight="1">
      <x:c r="A199" s="71" t="str">
        <x:v>U198</x:v>
      </x:c>
      <x:c r="B199" s="70" t="str">
        <x:v>Listening</x:v>
      </x:c>
      <x:c r="C199" s="70" t="str">
        <x:v>Listening</x:v>
      </x:c>
      <x:c r="D199" s="70" t="str">
        <x:v>LISTEN</x:v>
      </x:c>
      <x:c r="E199" s="70"/>
      <x:c r="F199" s="70" t="str">
        <x:v>校内教学板块</x:v>
      </x:c>
      <x:c r="G199" s="70" t="str">
        <x:v>IELTS Partners</x:v>
      </x:c>
      <x:c r="H199" s="70" t="str">
        <x:v>English Language Proficiency Tests</x:v>
      </x:c>
      <x:c r="I199" s="70" t="str">
        <x:v>C500-TEACHING</x:v>
      </x:c>
      <x:c r="J199" s="70" t="str">
        <x:v>备考</x:v>
      </x:c>
      <x:c r="K199" s="70" t="str">
        <x:v>教学组织记录；不声明为可独立报考/兑换成绩的官方unit。教学安排；具体考试任务与量表见95。</x:v>
      </x:c>
      <x:c r="L199" s="70" t="str">
        <x:v>V3-IELTS-GT</x:v>
      </x:c>
    </x:row>
    <x:row r="200" ht="64" customHeight="1">
      <x:c r="A200" s="71" t="str">
        <x:v>U199</x:v>
      </x:c>
      <x:c r="B200" s="70" t="str">
        <x:v>Reading</x:v>
      </x:c>
      <x:c r="C200" s="70" t="str">
        <x:v>Reading</x:v>
      </x:c>
      <x:c r="D200" s="70" t="str">
        <x:v>READ</x:v>
      </x:c>
      <x:c r="E200" s="70"/>
      <x:c r="F200" s="70" t="str">
        <x:v>校内教学板块</x:v>
      </x:c>
      <x:c r="G200" s="70" t="str">
        <x:v>IELTS Partners</x:v>
      </x:c>
      <x:c r="H200" s="70" t="str">
        <x:v>English Language Proficiency Tests</x:v>
      </x:c>
      <x:c r="I200" s="70" t="str">
        <x:v>C500-TEACHING</x:v>
      </x:c>
      <x:c r="J200" s="70" t="str">
        <x:v>备考</x:v>
      </x:c>
      <x:c r="K200" s="70" t="str">
        <x:v>教学组织记录；不声明为可独立报考/兑换成绩的官方unit。教学安排；具体考试任务与量表见95。</x:v>
      </x:c>
      <x:c r="L200" s="70" t="str">
        <x:v>V3-IELTS-GT</x:v>
      </x:c>
    </x:row>
    <x:row r="201" ht="64" customHeight="1">
      <x:c r="A201" s="71" t="str">
        <x:v>U200</x:v>
      </x:c>
      <x:c r="B201" s="70" t="str">
        <x:v>Writing</x:v>
      </x:c>
      <x:c r="C201" s="70" t="str">
        <x:v>Writing</x:v>
      </x:c>
      <x:c r="D201" s="70" t="str">
        <x:v>WRITE</x:v>
      </x:c>
      <x:c r="E201" s="70"/>
      <x:c r="F201" s="70" t="str">
        <x:v>校内教学板块</x:v>
      </x:c>
      <x:c r="G201" s="70" t="str">
        <x:v>IELTS Partners</x:v>
      </x:c>
      <x:c r="H201" s="70" t="str">
        <x:v>English Language Proficiency Tests</x:v>
      </x:c>
      <x:c r="I201" s="70" t="str">
        <x:v>C500-TEACHING</x:v>
      </x:c>
      <x:c r="J201" s="70" t="str">
        <x:v>备考</x:v>
      </x:c>
      <x:c r="K201" s="70" t="str">
        <x:v>教学组织记录；不声明为可独立报考/兑换成绩的官方unit。教学安排；具体考试任务与量表见95。</x:v>
      </x:c>
      <x:c r="L201" s="70" t="str">
        <x:v>V3-IELTS-GT</x:v>
      </x:c>
    </x:row>
    <x:row r="202" ht="64" customHeight="1">
      <x:c r="A202" s="71" t="str">
        <x:v>U201</x:v>
      </x:c>
      <x:c r="B202" s="70" t="str">
        <x:v>Speaking</x:v>
      </x:c>
      <x:c r="C202" s="70" t="str">
        <x:v>Speaking</x:v>
      </x:c>
      <x:c r="D202" s="70" t="str">
        <x:v>SPEAK</x:v>
      </x:c>
      <x:c r="E202" s="70"/>
      <x:c r="F202" s="70" t="str">
        <x:v>校内教学板块</x:v>
      </x:c>
      <x:c r="G202" s="70" t="str">
        <x:v>IELTS Partners</x:v>
      </x:c>
      <x:c r="H202" s="70" t="str">
        <x:v>English Language Proficiency Tests</x:v>
      </x:c>
      <x:c r="I202" s="70" t="str">
        <x:v>C500-TEACHING</x:v>
      </x:c>
      <x:c r="J202" s="70" t="str">
        <x:v>备考</x:v>
      </x:c>
      <x:c r="K202" s="70" t="str">
        <x:v>教学组织记录；不声明为可独立报考/兑换成绩的官方unit。教学安排；具体考试任务与量表见95。</x:v>
      </x:c>
      <x:c r="L202" s="70" t="str">
        <x:v>V3-IELTS-GT</x:v>
      </x:c>
    </x:row>
    <x:row r="203" ht="64" customHeight="1">
      <x:c r="A203" s="71" t="str">
        <x:v>U202</x:v>
      </x:c>
      <x:c r="B203" s="70" t="str">
        <x:v>Listening</x:v>
      </x:c>
      <x:c r="C203" s="70" t="str">
        <x:v>Listening</x:v>
      </x:c>
      <x:c r="D203" s="70" t="str">
        <x:v>LISTEN</x:v>
      </x:c>
      <x:c r="E203" s="70"/>
      <x:c r="F203" s="70" t="str">
        <x:v>校内教学板块</x:v>
      </x:c>
      <x:c r="G203" s="70" t="str">
        <x:v>ETS</x:v>
      </x:c>
      <x:c r="H203" s="70" t="str">
        <x:v>English Language Proficiency Tests</x:v>
      </x:c>
      <x:c r="I203" s="70" t="str">
        <x:v>C501-TEACHING</x:v>
      </x:c>
      <x:c r="J203" s="70" t="str">
        <x:v>备考</x:v>
      </x:c>
      <x:c r="K203" s="70" t="str">
        <x:v>教学组织记录；不声明为可独立报考/兑换成绩的官方unit。教学安排；具体考试任务与量表见95。</x:v>
      </x:c>
      <x:c r="L203" s="70" t="str">
        <x:v>V3-TOEFL26</x:v>
      </x:c>
    </x:row>
    <x:row r="204" ht="64" customHeight="1">
      <x:c r="A204" s="71" t="str">
        <x:v>U203</x:v>
      </x:c>
      <x:c r="B204" s="70" t="str">
        <x:v>Reading</x:v>
      </x:c>
      <x:c r="C204" s="70" t="str">
        <x:v>Reading</x:v>
      </x:c>
      <x:c r="D204" s="70" t="str">
        <x:v>READ</x:v>
      </x:c>
      <x:c r="E204" s="70"/>
      <x:c r="F204" s="70" t="str">
        <x:v>校内教学板块</x:v>
      </x:c>
      <x:c r="G204" s="70" t="str">
        <x:v>ETS</x:v>
      </x:c>
      <x:c r="H204" s="70" t="str">
        <x:v>English Language Proficiency Tests</x:v>
      </x:c>
      <x:c r="I204" s="70" t="str">
        <x:v>C501-TEACHING</x:v>
      </x:c>
      <x:c r="J204" s="70" t="str">
        <x:v>备考</x:v>
      </x:c>
      <x:c r="K204" s="70" t="str">
        <x:v>教学组织记录；不声明为可独立报考/兑换成绩的官方unit。教学安排；具体考试任务与量表见95。</x:v>
      </x:c>
      <x:c r="L204" s="70" t="str">
        <x:v>V3-TOEFL26</x:v>
      </x:c>
    </x:row>
    <x:row r="205" ht="64" customHeight="1">
      <x:c r="A205" s="71" t="str">
        <x:v>U204</x:v>
      </x:c>
      <x:c r="B205" s="70" t="str">
        <x:v>Writing</x:v>
      </x:c>
      <x:c r="C205" s="70" t="str">
        <x:v>Writing</x:v>
      </x:c>
      <x:c r="D205" s="70" t="str">
        <x:v>WRITE</x:v>
      </x:c>
      <x:c r="E205" s="70"/>
      <x:c r="F205" s="70" t="str">
        <x:v>校内教学板块</x:v>
      </x:c>
      <x:c r="G205" s="70" t="str">
        <x:v>ETS</x:v>
      </x:c>
      <x:c r="H205" s="70" t="str">
        <x:v>English Language Proficiency Tests</x:v>
      </x:c>
      <x:c r="I205" s="70" t="str">
        <x:v>C501-TEACHING</x:v>
      </x:c>
      <x:c r="J205" s="70" t="str">
        <x:v>备考</x:v>
      </x:c>
      <x:c r="K205" s="70" t="str">
        <x:v>教学组织记录；不声明为可独立报考/兑换成绩的官方unit。教学安排；具体考试任务与量表见95。</x:v>
      </x:c>
      <x:c r="L205" s="70" t="str">
        <x:v>V3-TOEFL26</x:v>
      </x:c>
    </x:row>
    <x:row r="206" ht="64" customHeight="1">
      <x:c r="A206" s="71" t="str">
        <x:v>U205</x:v>
      </x:c>
      <x:c r="B206" s="70" t="str">
        <x:v>Speaking</x:v>
      </x:c>
      <x:c r="C206" s="70" t="str">
        <x:v>Speaking</x:v>
      </x:c>
      <x:c r="D206" s="70" t="str">
        <x:v>SPEAK</x:v>
      </x:c>
      <x:c r="E206" s="70"/>
      <x:c r="F206" s="70" t="str">
        <x:v>校内教学板块</x:v>
      </x:c>
      <x:c r="G206" s="70" t="str">
        <x:v>ETS</x:v>
      </x:c>
      <x:c r="H206" s="70" t="str">
        <x:v>English Language Proficiency Tests</x:v>
      </x:c>
      <x:c r="I206" s="70" t="str">
        <x:v>C501-TEACHING</x:v>
      </x:c>
      <x:c r="J206" s="70" t="str">
        <x:v>备考</x:v>
      </x:c>
      <x:c r="K206" s="70" t="str">
        <x:v>教学组织记录；不声明为可独立报考/兑换成绩的官方unit。教学安排；具体考试任务与量表见95。</x:v>
      </x:c>
      <x:c r="L206" s="70" t="str">
        <x:v>V3-TOEFL26</x:v>
      </x:c>
    </x:row>
    <x:row r="207" ht="64" customHeight="1">
      <x:c r="A207" s="71" t="str">
        <x:v>U206</x:v>
      </x:c>
      <x:c r="B207" s="70" t="str">
        <x:v>Listening</x:v>
      </x:c>
      <x:c r="C207" s="70" t="str">
        <x:v>Listening</x:v>
      </x:c>
      <x:c r="D207" s="70" t="str">
        <x:v>LISTEN</x:v>
      </x:c>
      <x:c r="E207" s="70"/>
      <x:c r="F207" s="70" t="str">
        <x:v>校内教学板块</x:v>
      </x:c>
      <x:c r="G207" s="70" t="str">
        <x:v>Duolingo</x:v>
      </x:c>
      <x:c r="H207" s="70" t="str">
        <x:v>English Language Proficiency Tests</x:v>
      </x:c>
      <x:c r="I207" s="70" t="str">
        <x:v>C502-TEACHING</x:v>
      </x:c>
      <x:c r="J207" s="70" t="str">
        <x:v>备考</x:v>
      </x:c>
      <x:c r="K207" s="70" t="str">
        <x:v>教学组织记录；不声明为可独立报考/兑换成绩的官方unit。DET技能教学划分，不代表四个独立计时section。</x:v>
      </x:c>
      <x:c r="L207" s="70" t="str">
        <x:v>V3-DET</x:v>
      </x:c>
    </x:row>
    <x:row r="208" ht="64" customHeight="1">
      <x:c r="A208" s="71" t="str">
        <x:v>U207</x:v>
      </x:c>
      <x:c r="B208" s="70" t="str">
        <x:v>Reading</x:v>
      </x:c>
      <x:c r="C208" s="70" t="str">
        <x:v>Reading</x:v>
      </x:c>
      <x:c r="D208" s="70" t="str">
        <x:v>READ</x:v>
      </x:c>
      <x:c r="E208" s="70"/>
      <x:c r="F208" s="70" t="str">
        <x:v>校内教学板块</x:v>
      </x:c>
      <x:c r="G208" s="70" t="str">
        <x:v>Duolingo</x:v>
      </x:c>
      <x:c r="H208" s="70" t="str">
        <x:v>English Language Proficiency Tests</x:v>
      </x:c>
      <x:c r="I208" s="70" t="str">
        <x:v>C502-TEACHING</x:v>
      </x:c>
      <x:c r="J208" s="70" t="str">
        <x:v>备考</x:v>
      </x:c>
      <x:c r="K208" s="70" t="str">
        <x:v>教学组织记录；不声明为可独立报考/兑换成绩的官方unit。DET技能教学划分，不代表四个独立计时section。</x:v>
      </x:c>
      <x:c r="L208" s="70" t="str">
        <x:v>V3-DET</x:v>
      </x:c>
    </x:row>
    <x:row r="209" ht="64" customHeight="1">
      <x:c r="A209" s="71" t="str">
        <x:v>U208</x:v>
      </x:c>
      <x:c r="B209" s="70" t="str">
        <x:v>Writing</x:v>
      </x:c>
      <x:c r="C209" s="70" t="str">
        <x:v>Writing</x:v>
      </x:c>
      <x:c r="D209" s="70" t="str">
        <x:v>WRITE</x:v>
      </x:c>
      <x:c r="E209" s="70"/>
      <x:c r="F209" s="70" t="str">
        <x:v>校内教学板块</x:v>
      </x:c>
      <x:c r="G209" s="70" t="str">
        <x:v>Duolingo</x:v>
      </x:c>
      <x:c r="H209" s="70" t="str">
        <x:v>English Language Proficiency Tests</x:v>
      </x:c>
      <x:c r="I209" s="70" t="str">
        <x:v>C502-TEACHING</x:v>
      </x:c>
      <x:c r="J209" s="70" t="str">
        <x:v>备考</x:v>
      </x:c>
      <x:c r="K209" s="70" t="str">
        <x:v>教学组织记录；不声明为可独立报考/兑换成绩的官方unit。DET技能教学划分，不代表四个独立计时section。</x:v>
      </x:c>
      <x:c r="L209" s="70" t="str">
        <x:v>V3-DET</x:v>
      </x:c>
    </x:row>
    <x:row r="210" ht="64" customHeight="1">
      <x:c r="A210" s="71" t="str">
        <x:v>U209</x:v>
      </x:c>
      <x:c r="B210" s="70" t="str">
        <x:v>Speaking</x:v>
      </x:c>
      <x:c r="C210" s="70" t="str">
        <x:v>Speaking</x:v>
      </x:c>
      <x:c r="D210" s="70" t="str">
        <x:v>SPEAK</x:v>
      </x:c>
      <x:c r="E210" s="70"/>
      <x:c r="F210" s="70" t="str">
        <x:v>校内教学板块</x:v>
      </x:c>
      <x:c r="G210" s="70" t="str">
        <x:v>Duolingo</x:v>
      </x:c>
      <x:c r="H210" s="70" t="str">
        <x:v>English Language Proficiency Tests</x:v>
      </x:c>
      <x:c r="I210" s="70" t="str">
        <x:v>C502-TEACHING</x:v>
      </x:c>
      <x:c r="J210" s="70" t="str">
        <x:v>备考</x:v>
      </x:c>
      <x:c r="K210" s="70" t="str">
        <x:v>教学组织记录；不声明为可独立报考/兑换成绩的官方unit。DET技能教学划分，不代表四个独立计时section。</x:v>
      </x:c>
      <x:c r="L210" s="70" t="str">
        <x:v>V3-DET</x:v>
      </x:c>
    </x:row>
    <x:row r="211" ht="64" customHeight="1">
      <x:c r="A211" s="71" t="str">
        <x:v>U210</x:v>
      </x:c>
      <x:c r="B211" s="70" t="str">
        <x:v>Compulsory Part</x:v>
      </x:c>
      <x:c r="C211" s="70" t="str">
        <x:v>Compulsory Part</x:v>
      </x:c>
      <x:c r="D211" s="70" t="str">
        <x:v>COMP</x:v>
      </x:c>
      <x:c r="E211" s="70"/>
      <x:c r="F211" s="70" t="str">
        <x:v>校内教学板块</x:v>
      </x:c>
      <x:c r="G211" s="70" t="str">
        <x:v>Hong Kong Examinations and Assessment Authority (HKEAA)</x:v>
      </x:c>
      <x:c r="H211" s="70" t="str">
        <x:v>HKDSE Category A</x:v>
      </x:c>
      <x:c r="I211" s="70" t="str">
        <x:v>C362-TEACHING</x:v>
      </x:c>
      <x:c r="J211" s="70" t="str">
        <x:v>Category A</x:v>
      </x:c>
      <x:c r="K211" s="70" t="str">
        <x:v>教学组织记录；不声明为可独立报考/兑换成绩的官方unit。M1/M2是数学扩展部分；不自动当成独立毕业学科，不强制两者全修。</x:v>
      </x:c>
      <x:c r="L211" s="70" t="str">
        <x:v>V3-HK-MATH</x:v>
      </x:c>
    </x:row>
    <x:row r="212" ht="64" customHeight="1">
      <x:c r="A212" s="71" t="str">
        <x:v>U211</x:v>
      </x:c>
      <x:c r="B212" s="70" t="str">
        <x:v>Extended Part Module 1 — Calculus and Statistics</x:v>
      </x:c>
      <x:c r="C212" s="70" t="str">
        <x:v>Extended Part Module 1 — Calculus and Statistics</x:v>
      </x:c>
      <x:c r="D212" s="70" t="str">
        <x:v>M1</x:v>
      </x:c>
      <x:c r="E212" s="70"/>
      <x:c r="F212" s="70" t="str">
        <x:v>校内教学板块</x:v>
      </x:c>
      <x:c r="G212" s="70" t="str">
        <x:v>Hong Kong Examinations and Assessment Authority (HKEAA)</x:v>
      </x:c>
      <x:c r="H212" s="70" t="str">
        <x:v>HKDSE Category A</x:v>
      </x:c>
      <x:c r="I212" s="70" t="str">
        <x:v>C362-TEACHING</x:v>
      </x:c>
      <x:c r="J212" s="70" t="str">
        <x:v>Category A</x:v>
      </x:c>
      <x:c r="K212" s="70" t="str">
        <x:v>教学组织记录；不声明为可独立报考/兑换成绩的官方unit。M1/M2是数学扩展部分；不自动当成独立毕业学科，不强制两者全修。</x:v>
      </x:c>
      <x:c r="L212" s="70" t="str">
        <x:v>V3-HK-MATH</x:v>
      </x:c>
    </x:row>
    <x:row r="213" ht="64" customHeight="1">
      <x:c r="A213" s="71" t="str">
        <x:v>U212</x:v>
      </x:c>
      <x:c r="B213" s="70" t="str">
        <x:v>Extended Part Module 2 — Algebra and Calculus</x:v>
      </x:c>
      <x:c r="C213" s="70" t="str">
        <x:v>Extended Part Module 2 — Algebra and Calculus</x:v>
      </x:c>
      <x:c r="D213" s="70" t="str">
        <x:v>M2</x:v>
      </x:c>
      <x:c r="E213" s="70"/>
      <x:c r="F213" s="70" t="str">
        <x:v>校内教学板块</x:v>
      </x:c>
      <x:c r="G213" s="70" t="str">
        <x:v>Hong Kong Examinations and Assessment Authority (HKEAA)</x:v>
      </x:c>
      <x:c r="H213" s="70" t="str">
        <x:v>HKDSE Category A</x:v>
      </x:c>
      <x:c r="I213" s="70" t="str">
        <x:v>C362-TEACHING</x:v>
      </x:c>
      <x:c r="J213" s="70" t="str">
        <x:v>Category A</x:v>
      </x:c>
      <x:c r="K213" s="70" t="str">
        <x:v>教学组织记录；不声明为可独立报考/兑换成绩的官方unit。M1/M2是数学扩展部分；不自动当成独立毕业学科，不强制两者全修。</x:v>
      </x:c>
      <x:c r="L213" s="70" t="str">
        <x:v>V3-HK-MATH</x:v>
      </x:c>
    </x:row>
  </x:sheetData>
  <x:dataValidations count="1">
    <x:dataValidation type="list" sqref="F2:F3000">
      <x:formula1>"官方模块,官方内容单元,校内教学板块"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bd48429f564ad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25" hidden="0" customWidth="1"/>
    <x:col min="5" max="5" width="22" hidden="0" customWidth="1"/>
    <x:col min="6" max="6" width="9" hidden="0" customWidth="1"/>
    <x:col min="7" max="7" width="85" hidden="0" customWidth="1"/>
  </x:cols>
  <x:sheetData>
    <x:row r="1" ht="40" customHeight="1">
      <x:c r="A1" s="13" t="str">
        <x:v>文件内关联标记*</x:v>
      </x:c>
      <x:c r="B1" s="13" t="str">
        <x:v>课程标记*</x:v>
      </x:c>
      <x:c r="C1" s="13" t="str">
        <x:v>单元标记*</x:v>
      </x:c>
      <x:c r="D1" s="13" t="str">
        <x:v>使用规则</x:v>
      </x:c>
      <x:c r="E1" s="13" t="str">
        <x:v>本课程适用阶段</x:v>
      </x:c>
      <x:c r="F1" s="13" t="str">
        <x:v>排序</x:v>
      </x:c>
      <x:c r="G1" s="13" t="str">
        <x:v>说明</x:v>
      </x:c>
    </x:row>
    <x:row r="2" ht="52" customHeight="1">
      <x:c r="A2" s="20" t="str">
        <x:v>L0001</x:v>
      </x:c>
      <x:c r="B2" s="21" t="str">
        <x:v>C001</x:v>
      </x:c>
      <x:c r="C2" s="21" t="str">
        <x:v>U001</x:v>
      </x:c>
      <x:c r="D2" s="21" t="str">
        <x:v>必修</x:v>
      </x:c>
      <x:c r="E2" s="21" t="str">
        <x:v>IAS</x:v>
      </x:c>
      <x:c r="F2" s="24" t="n">
        <x:v>10</x:v>
      </x:c>
      <x:c r="G2" s="21" t="str">
        <x:v>课程可用单元关系；最终组合以资格出口及原大纲确认</x:v>
      </x:c>
    </x:row>
    <x:row r="3" ht="52" customHeight="1">
      <x:c r="A3" s="20" t="str">
        <x:v>L0002</x:v>
      </x:c>
      <x:c r="B3" s="21" t="str">
        <x:v>C001</x:v>
      </x:c>
      <x:c r="C3" s="21" t="str">
        <x:v>U002</x:v>
      </x:c>
      <x:c r="D3" s="21" t="str">
        <x:v>必修</x:v>
      </x:c>
      <x:c r="E3" s="21" t="str">
        <x:v>IA2</x:v>
      </x:c>
      <x:c r="F3" s="24" t="n">
        <x:v>20</x:v>
      </x:c>
      <x:c r="G3" s="21" t="str">
        <x:v>课程可用单元关系；最终组合以资格出口及原大纲确认</x:v>
      </x:c>
    </x:row>
    <x:row r="4" ht="52" customHeight="1">
      <x:c r="A4" s="20" t="str">
        <x:v>L0003</x:v>
      </x:c>
      <x:c r="B4" s="21" t="str">
        <x:v>C002</x:v>
      </x:c>
      <x:c r="C4" s="21" t="str">
        <x:v>U003</x:v>
      </x:c>
      <x:c r="D4" s="21" t="str">
        <x:v>必修</x:v>
      </x:c>
      <x:c r="E4" s="21" t="str">
        <x:v>IAS</x:v>
      </x:c>
      <x:c r="F4" s="24" t="n">
        <x:v>10</x:v>
      </x:c>
      <x:c r="G4" s="21" t="str">
        <x:v>课程可用单元关系；最终组合以资格出口及原大纲确认</x:v>
      </x:c>
    </x:row>
    <x:row r="5" ht="52" customHeight="1">
      <x:c r="A5" s="20" t="str">
        <x:v>L0004</x:v>
      </x:c>
      <x:c r="B5" s="21" t="str">
        <x:v>C002</x:v>
      </x:c>
      <x:c r="C5" s="21" t="str">
        <x:v>U004</x:v>
      </x:c>
      <x:c r="D5" s="21" t="str">
        <x:v>必修</x:v>
      </x:c>
      <x:c r="E5" s="21" t="str">
        <x:v>IA2</x:v>
      </x:c>
      <x:c r="F5" s="24" t="n">
        <x:v>20</x:v>
      </x:c>
      <x:c r="G5" s="21" t="str">
        <x:v>课程可用单元关系；最终组合以资格出口及原大纲确认</x:v>
      </x:c>
    </x:row>
    <x:row r="6" ht="52" customHeight="1">
      <x:c r="A6" s="20" t="str">
        <x:v>L0005</x:v>
      </x:c>
      <x:c r="B6" s="21" t="str">
        <x:v>C003</x:v>
      </x:c>
      <x:c r="C6" s="21" t="str">
        <x:v>U005</x:v>
      </x:c>
      <x:c r="D6" s="21" t="str">
        <x:v>必修</x:v>
      </x:c>
      <x:c r="E6" s="21" t="str">
        <x:v>IAS</x:v>
      </x:c>
      <x:c r="F6" s="24" t="n">
        <x:v>10</x:v>
      </x:c>
      <x:c r="G6" s="21" t="str">
        <x:v>课程可用单元关系；最终组合以资格出口及原大纲确认</x:v>
      </x:c>
    </x:row>
    <x:row r="7" ht="52" customHeight="1">
      <x:c r="A7" s="20" t="str">
        <x:v>L0006</x:v>
      </x:c>
      <x:c r="B7" s="21" t="str">
        <x:v>C003</x:v>
      </x:c>
      <x:c r="C7" s="21" t="str">
        <x:v>U006</x:v>
      </x:c>
      <x:c r="D7" s="21" t="str">
        <x:v>必修</x:v>
      </x:c>
      <x:c r="E7" s="21" t="str">
        <x:v>IAS</x:v>
      </x:c>
      <x:c r="F7" s="24" t="n">
        <x:v>20</x:v>
      </x:c>
      <x:c r="G7" s="21" t="str">
        <x:v>课程可用单元关系；最终组合以资格出口及原大纲确认</x:v>
      </x:c>
    </x:row>
    <x:row r="8" ht="52" customHeight="1">
      <x:c r="A8" s="20" t="str">
        <x:v>L0007</x:v>
      </x:c>
      <x:c r="B8" s="21" t="str">
        <x:v>C003</x:v>
      </x:c>
      <x:c r="C8" s="21" t="str">
        <x:v>U007</x:v>
      </x:c>
      <x:c r="D8" s="21" t="str">
        <x:v>必修</x:v>
      </x:c>
      <x:c r="E8" s="21" t="str">
        <x:v>IAS</x:v>
      </x:c>
      <x:c r="F8" s="24" t="n">
        <x:v>30</x:v>
      </x:c>
      <x:c r="G8" s="21" t="str">
        <x:v>课程可用单元关系；最终组合以资格出口及原大纲确认</x:v>
      </x:c>
    </x:row>
    <x:row r="9" ht="52" customHeight="1">
      <x:c r="A9" s="20" t="str">
        <x:v>L0008</x:v>
      </x:c>
      <x:c r="B9" s="21" t="str">
        <x:v>C003</x:v>
      </x:c>
      <x:c r="C9" s="21" t="str">
        <x:v>U008</x:v>
      </x:c>
      <x:c r="D9" s="21" t="str">
        <x:v>必修</x:v>
      </x:c>
      <x:c r="E9" s="21" t="str">
        <x:v>IA2</x:v>
      </x:c>
      <x:c r="F9" s="24" t="n">
        <x:v>40</x:v>
      </x:c>
      <x:c r="G9" s="21" t="str">
        <x:v>课程可用单元关系；最终组合以资格出口及原大纲确认</x:v>
      </x:c>
    </x:row>
    <x:row r="10" ht="52" customHeight="1">
      <x:c r="A10" s="20" t="str">
        <x:v>L0009</x:v>
      </x:c>
      <x:c r="B10" s="21" t="str">
        <x:v>C003</x:v>
      </x:c>
      <x:c r="C10" s="21" t="str">
        <x:v>U009</x:v>
      </x:c>
      <x:c r="D10" s="21" t="str">
        <x:v>必修</x:v>
      </x:c>
      <x:c r="E10" s="21" t="str">
        <x:v>IA2</x:v>
      </x:c>
      <x:c r="F10" s="24" t="n">
        <x:v>50</x:v>
      </x:c>
      <x:c r="G10" s="21" t="str">
        <x:v>课程可用单元关系；最终组合以资格出口及原大纲确认</x:v>
      </x:c>
    </x:row>
    <x:row r="11" ht="52" customHeight="1">
      <x:c r="A11" s="20" t="str">
        <x:v>L0010</x:v>
      </x:c>
      <x:c r="B11" s="21" t="str">
        <x:v>C003</x:v>
      </x:c>
      <x:c r="C11" s="21" t="str">
        <x:v>U010</x:v>
      </x:c>
      <x:c r="D11" s="21" t="str">
        <x:v>必修</x:v>
      </x:c>
      <x:c r="E11" s="21" t="str">
        <x:v>IA2</x:v>
      </x:c>
      <x:c r="F11" s="24" t="n">
        <x:v>60</x:v>
      </x:c>
      <x:c r="G11" s="21" t="str">
        <x:v>课程可用单元关系；最终组合以资格出口及原大纲确认</x:v>
      </x:c>
    </x:row>
    <x:row r="12" ht="52" customHeight="1">
      <x:c r="A12" s="20" t="str">
        <x:v>L0011</x:v>
      </x:c>
      <x:c r="B12" s="21" t="str">
        <x:v>C004</x:v>
      </x:c>
      <x:c r="C12" s="21" t="str">
        <x:v>U011</x:v>
      </x:c>
      <x:c r="D12" s="21" t="str">
        <x:v>必修</x:v>
      </x:c>
      <x:c r="E12" s="21" t="str">
        <x:v>IAS</x:v>
      </x:c>
      <x:c r="F12" s="24" t="n">
        <x:v>10</x:v>
      </x:c>
      <x:c r="G12" s="21" t="str">
        <x:v>课程可用单元关系；最终组合以资格出口及原大纲确认</x:v>
      </x:c>
    </x:row>
    <x:row r="13" ht="52" customHeight="1">
      <x:c r="A13" s="20" t="str">
        <x:v>L0012</x:v>
      </x:c>
      <x:c r="B13" s="21" t="str">
        <x:v>C004</x:v>
      </x:c>
      <x:c r="C13" s="21" t="str">
        <x:v>U012</x:v>
      </x:c>
      <x:c r="D13" s="21" t="str">
        <x:v>必修</x:v>
      </x:c>
      <x:c r="E13" s="21" t="str">
        <x:v>IAS</x:v>
      </x:c>
      <x:c r="F13" s="24" t="n">
        <x:v>20</x:v>
      </x:c>
      <x:c r="G13" s="21" t="str">
        <x:v>课程可用单元关系；最终组合以资格出口及原大纲确认</x:v>
      </x:c>
    </x:row>
    <x:row r="14" ht="52" customHeight="1">
      <x:c r="A14" s="20" t="str">
        <x:v>L0013</x:v>
      </x:c>
      <x:c r="B14" s="21" t="str">
        <x:v>C004</x:v>
      </x:c>
      <x:c r="C14" s="21" t="str">
        <x:v>U013</x:v>
      </x:c>
      <x:c r="D14" s="21" t="str">
        <x:v>必修</x:v>
      </x:c>
      <x:c r="E14" s="21" t="str">
        <x:v>IA2</x:v>
      </x:c>
      <x:c r="F14" s="24" t="n">
        <x:v>30</x:v>
      </x:c>
      <x:c r="G14" s="21" t="str">
        <x:v>课程可用单元关系；最终组合以资格出口及原大纲确认</x:v>
      </x:c>
    </x:row>
    <x:row r="15" ht="52" customHeight="1">
      <x:c r="A15" s="20" t="str">
        <x:v>L0014</x:v>
      </x:c>
      <x:c r="B15" s="21" t="str">
        <x:v>C004</x:v>
      </x:c>
      <x:c r="C15" s="21" t="str">
        <x:v>U014</x:v>
      </x:c>
      <x:c r="D15" s="21" t="str">
        <x:v>必修</x:v>
      </x:c>
      <x:c r="E15" s="21" t="str">
        <x:v>IA2</x:v>
      </x:c>
      <x:c r="F15" s="24" t="n">
        <x:v>40</x:v>
      </x:c>
      <x:c r="G15" s="21" t="str">
        <x:v>课程可用单元关系；最终组合以资格出口及原大纲确认</x:v>
      </x:c>
    </x:row>
    <x:row r="16" ht="52" customHeight="1">
      <x:c r="A16" s="20" t="str">
        <x:v>L0015</x:v>
      </x:c>
      <x:c r="B16" s="21" t="str">
        <x:v>C005</x:v>
      </x:c>
      <x:c r="C16" s="21" t="str">
        <x:v>U015</x:v>
      </x:c>
      <x:c r="D16" s="21" t="str">
        <x:v>必修</x:v>
      </x:c>
      <x:c r="E16" s="21" t="str">
        <x:v>IAS</x:v>
      </x:c>
      <x:c r="F16" s="24" t="n">
        <x:v>10</x:v>
      </x:c>
      <x:c r="G16" s="21" t="str">
        <x:v>课程可用单元关系；最终组合以资格出口及原大纲确认</x:v>
      </x:c>
    </x:row>
    <x:row r="17" ht="52" customHeight="1">
      <x:c r="A17" s="20" t="str">
        <x:v>L0016</x:v>
      </x:c>
      <x:c r="B17" s="21" t="str">
        <x:v>C005</x:v>
      </x:c>
      <x:c r="C17" s="21" t="str">
        <x:v>U016</x:v>
      </x:c>
      <x:c r="D17" s="21" t="str">
        <x:v>必修</x:v>
      </x:c>
      <x:c r="E17" s="21" t="str">
        <x:v>IAS</x:v>
      </x:c>
      <x:c r="F17" s="24" t="n">
        <x:v>20</x:v>
      </x:c>
      <x:c r="G17" s="21" t="str">
        <x:v>课程可用单元关系；最终组合以资格出口及原大纲确认</x:v>
      </x:c>
    </x:row>
    <x:row r="18" ht="52" customHeight="1">
      <x:c r="A18" s="20" t="str">
        <x:v>L0017</x:v>
      </x:c>
      <x:c r="B18" s="21" t="str">
        <x:v>C005</x:v>
      </x:c>
      <x:c r="C18" s="21" t="str">
        <x:v>U017</x:v>
      </x:c>
      <x:c r="D18" s="21" t="str">
        <x:v>必修</x:v>
      </x:c>
      <x:c r="E18" s="21" t="str">
        <x:v>IAS</x:v>
      </x:c>
      <x:c r="F18" s="24" t="n">
        <x:v>30</x:v>
      </x:c>
      <x:c r="G18" s="21" t="str">
        <x:v>课程可用单元关系；最终组合以资格出口及原大纲确认</x:v>
      </x:c>
    </x:row>
    <x:row r="19" ht="52" customHeight="1">
      <x:c r="A19" s="20" t="str">
        <x:v>L0018</x:v>
      </x:c>
      <x:c r="B19" s="21" t="str">
        <x:v>C005</x:v>
      </x:c>
      <x:c r="C19" s="21" t="str">
        <x:v>U018</x:v>
      </x:c>
      <x:c r="D19" s="21" t="str">
        <x:v>必修</x:v>
      </x:c>
      <x:c r="E19" s="21" t="str">
        <x:v>IA2</x:v>
      </x:c>
      <x:c r="F19" s="24" t="n">
        <x:v>40</x:v>
      </x:c>
      <x:c r="G19" s="21" t="str">
        <x:v>课程可用单元关系；最终组合以资格出口及原大纲确认</x:v>
      </x:c>
    </x:row>
    <x:row r="20" ht="52" customHeight="1">
      <x:c r="A20" s="20" t="str">
        <x:v>L0019</x:v>
      </x:c>
      <x:c r="B20" s="21" t="str">
        <x:v>C005</x:v>
      </x:c>
      <x:c r="C20" s="21" t="str">
        <x:v>U019</x:v>
      </x:c>
      <x:c r="D20" s="21" t="str">
        <x:v>必修</x:v>
      </x:c>
      <x:c r="E20" s="21" t="str">
        <x:v>IA2</x:v>
      </x:c>
      <x:c r="F20" s="24" t="n">
        <x:v>50</x:v>
      </x:c>
      <x:c r="G20" s="21" t="str">
        <x:v>课程可用单元关系；最终组合以资格出口及原大纲确认</x:v>
      </x:c>
    </x:row>
    <x:row r="21" ht="52" customHeight="1">
      <x:c r="A21" s="20" t="str">
        <x:v>L0020</x:v>
      </x:c>
      <x:c r="B21" s="21" t="str">
        <x:v>C005</x:v>
      </x:c>
      <x:c r="C21" s="21" t="str">
        <x:v>U020</x:v>
      </x:c>
      <x:c r="D21" s="21" t="str">
        <x:v>必修</x:v>
      </x:c>
      <x:c r="E21" s="21" t="str">
        <x:v>IA2</x:v>
      </x:c>
      <x:c r="F21" s="24" t="n">
        <x:v>60</x:v>
      </x:c>
      <x:c r="G21" s="21" t="str">
        <x:v>课程可用单元关系；最终组合以资格出口及原大纲确认</x:v>
      </x:c>
    </x:row>
    <x:row r="22" ht="52" customHeight="1">
      <x:c r="A22" s="20" t="str">
        <x:v>L0021</x:v>
      </x:c>
      <x:c r="B22" s="21" t="str">
        <x:v>C006</x:v>
      </x:c>
      <x:c r="C22" s="21" t="str">
        <x:v>U021</x:v>
      </x:c>
      <x:c r="D22" s="21" t="str">
        <x:v>必修</x:v>
      </x:c>
      <x:c r="E22" s="21" t="str">
        <x:v>IAS</x:v>
      </x:c>
      <x:c r="F22" s="24" t="n">
        <x:v>10</x:v>
      </x:c>
      <x:c r="G22" s="21" t="str">
        <x:v>课程可用单元关系；最终组合以资格出口及原大纲确认</x:v>
      </x:c>
    </x:row>
    <x:row r="23" ht="52" customHeight="1">
      <x:c r="A23" s="20" t="str">
        <x:v>L0022</x:v>
      </x:c>
      <x:c r="B23" s="21" t="str">
        <x:v>C006</x:v>
      </x:c>
      <x:c r="C23" s="21" t="str">
        <x:v>U022</x:v>
      </x:c>
      <x:c r="D23" s="21" t="str">
        <x:v>必修</x:v>
      </x:c>
      <x:c r="E23" s="21" t="str">
        <x:v>IAS</x:v>
      </x:c>
      <x:c r="F23" s="24" t="n">
        <x:v>20</x:v>
      </x:c>
      <x:c r="G23" s="21" t="str">
        <x:v>课程可用单元关系；最终组合以资格出口及原大纲确认</x:v>
      </x:c>
    </x:row>
    <x:row r="24" ht="52" customHeight="1">
      <x:c r="A24" s="20" t="str">
        <x:v>L0023</x:v>
      </x:c>
      <x:c r="B24" s="21" t="str">
        <x:v>C006</x:v>
      </x:c>
      <x:c r="C24" s="21" t="str">
        <x:v>U023</x:v>
      </x:c>
      <x:c r="D24" s="21" t="str">
        <x:v>必修</x:v>
      </x:c>
      <x:c r="E24" s="21" t="str">
        <x:v>IA2</x:v>
      </x:c>
      <x:c r="F24" s="24" t="n">
        <x:v>30</x:v>
      </x:c>
      <x:c r="G24" s="21" t="str">
        <x:v>课程可用单元关系；最终组合以资格出口及原大纲确认</x:v>
      </x:c>
    </x:row>
    <x:row r="25" ht="52" customHeight="1">
      <x:c r="A25" s="20" t="str">
        <x:v>L0024</x:v>
      </x:c>
      <x:c r="B25" s="21" t="str">
        <x:v>C006</x:v>
      </x:c>
      <x:c r="C25" s="21" t="str">
        <x:v>U024</x:v>
      </x:c>
      <x:c r="D25" s="21" t="str">
        <x:v>必修</x:v>
      </x:c>
      <x:c r="E25" s="21" t="str">
        <x:v>IA2</x:v>
      </x:c>
      <x:c r="F25" s="24" t="n">
        <x:v>40</x:v>
      </x:c>
      <x:c r="G25" s="21" t="str">
        <x:v>课程可用单元关系；最终组合以资格出口及原大纲确认</x:v>
      </x:c>
    </x:row>
    <x:row r="26" ht="52" customHeight="1">
      <x:c r="A26" s="20" t="str">
        <x:v>L0025</x:v>
      </x:c>
      <x:c r="B26" s="21" t="str">
        <x:v>C007</x:v>
      </x:c>
      <x:c r="C26" s="21" t="str">
        <x:v>U025</x:v>
      </x:c>
      <x:c r="D26" s="21" t="str">
        <x:v>必修</x:v>
      </x:c>
      <x:c r="E26" s="21" t="str">
        <x:v>IAS</x:v>
      </x:c>
      <x:c r="F26" s="24" t="n">
        <x:v>10</x:v>
      </x:c>
      <x:c r="G26" s="21" t="str">
        <x:v>课程可用单元关系；最终组合以资格出口及原大纲确认</x:v>
      </x:c>
    </x:row>
    <x:row r="27" ht="52" customHeight="1">
      <x:c r="A27" s="20" t="str">
        <x:v>L0026</x:v>
      </x:c>
      <x:c r="B27" s="21" t="str">
        <x:v>C007</x:v>
      </x:c>
      <x:c r="C27" s="21" t="str">
        <x:v>U026</x:v>
      </x:c>
      <x:c r="D27" s="21" t="str">
        <x:v>必修</x:v>
      </x:c>
      <x:c r="E27" s="21" t="str">
        <x:v>IAS</x:v>
      </x:c>
      <x:c r="F27" s="24" t="n">
        <x:v>20</x:v>
      </x:c>
      <x:c r="G27" s="21" t="str">
        <x:v>课程可用单元关系；最终组合以资格出口及原大纲确认</x:v>
      </x:c>
    </x:row>
    <x:row r="28" ht="52" customHeight="1">
      <x:c r="A28" s="20" t="str">
        <x:v>L0027</x:v>
      </x:c>
      <x:c r="B28" s="21" t="str">
        <x:v>C007</x:v>
      </x:c>
      <x:c r="C28" s="21" t="str">
        <x:v>U027</x:v>
      </x:c>
      <x:c r="D28" s="21" t="str">
        <x:v>必修</x:v>
      </x:c>
      <x:c r="E28" s="21" t="str">
        <x:v>IA2</x:v>
      </x:c>
      <x:c r="F28" s="24" t="n">
        <x:v>30</x:v>
      </x:c>
      <x:c r="G28" s="21" t="str">
        <x:v>课程可用单元关系；最终组合以资格出口及原大纲确认</x:v>
      </x:c>
    </x:row>
    <x:row r="29" ht="52" customHeight="1">
      <x:c r="A29" s="20" t="str">
        <x:v>L0028</x:v>
      </x:c>
      <x:c r="B29" s="21" t="str">
        <x:v>C007</x:v>
      </x:c>
      <x:c r="C29" s="21" t="str">
        <x:v>U028</x:v>
      </x:c>
      <x:c r="D29" s="21" t="str">
        <x:v>必修</x:v>
      </x:c>
      <x:c r="E29" s="21" t="str">
        <x:v>IA2</x:v>
      </x:c>
      <x:c r="F29" s="24" t="n">
        <x:v>40</x:v>
      </x:c>
      <x:c r="G29" s="21" t="str">
        <x:v>课程可用单元关系；最终组合以资格出口及原大纲确认</x:v>
      </x:c>
    </x:row>
    <x:row r="30" ht="52" customHeight="1">
      <x:c r="A30" s="20" t="str">
        <x:v>L0029</x:v>
      </x:c>
      <x:c r="B30" s="21" t="str">
        <x:v>C008</x:v>
      </x:c>
      <x:c r="C30" s="21" t="str">
        <x:v>U029</x:v>
      </x:c>
      <x:c r="D30" s="21" t="str">
        <x:v>必修</x:v>
      </x:c>
      <x:c r="E30" s="21" t="str">
        <x:v>IAS</x:v>
      </x:c>
      <x:c r="F30" s="24" t="n">
        <x:v>10</x:v>
      </x:c>
      <x:c r="G30" s="21" t="str">
        <x:v>课程可用单元关系；最终组合以资格出口及原大纲确认</x:v>
      </x:c>
    </x:row>
    <x:row r="31" ht="52" customHeight="1">
      <x:c r="A31" s="20" t="str">
        <x:v>L0030</x:v>
      </x:c>
      <x:c r="B31" s="21" t="str">
        <x:v>C008</x:v>
      </x:c>
      <x:c r="C31" s="21" t="str">
        <x:v>U030</x:v>
      </x:c>
      <x:c r="D31" s="21" t="str">
        <x:v>必修</x:v>
      </x:c>
      <x:c r="E31" s="21" t="str">
        <x:v>IAS</x:v>
      </x:c>
      <x:c r="F31" s="24" t="n">
        <x:v>20</x:v>
      </x:c>
      <x:c r="G31" s="21" t="str">
        <x:v>课程可用单元关系；最终组合以资格出口及原大纲确认</x:v>
      </x:c>
    </x:row>
    <x:row r="32" ht="52" customHeight="1">
      <x:c r="A32" s="20" t="str">
        <x:v>L0031</x:v>
      </x:c>
      <x:c r="B32" s="21" t="str">
        <x:v>C008</x:v>
      </x:c>
      <x:c r="C32" s="21" t="str">
        <x:v>U031</x:v>
      </x:c>
      <x:c r="D32" s="21" t="str">
        <x:v>必修</x:v>
      </x:c>
      <x:c r="E32" s="21" t="str">
        <x:v>IA2</x:v>
      </x:c>
      <x:c r="F32" s="24" t="n">
        <x:v>30</x:v>
      </x:c>
      <x:c r="G32" s="21" t="str">
        <x:v>课程可用单元关系；最终组合以资格出口及原大纲确认</x:v>
      </x:c>
    </x:row>
    <x:row r="33" ht="52" customHeight="1">
      <x:c r="A33" s="20" t="str">
        <x:v>L0032</x:v>
      </x:c>
      <x:c r="B33" s="21" t="str">
        <x:v>C008</x:v>
      </x:c>
      <x:c r="C33" s="21" t="str">
        <x:v>U032</x:v>
      </x:c>
      <x:c r="D33" s="21" t="str">
        <x:v>必修</x:v>
      </x:c>
      <x:c r="E33" s="21" t="str">
        <x:v>IA2</x:v>
      </x:c>
      <x:c r="F33" s="24" t="n">
        <x:v>40</x:v>
      </x:c>
      <x:c r="G33" s="21" t="str">
        <x:v>课程可用单元关系；最终组合以资格出口及原大纲确认</x:v>
      </x:c>
    </x:row>
    <x:row r="34" ht="52" customHeight="1">
      <x:c r="A34" s="20" t="str">
        <x:v>L0033</x:v>
      </x:c>
      <x:c r="B34" s="21" t="str">
        <x:v>C009</x:v>
      </x:c>
      <x:c r="C34" s="21" t="str">
        <x:v>U033</x:v>
      </x:c>
      <x:c r="D34" s="21" t="str">
        <x:v>必修</x:v>
      </x:c>
      <x:c r="E34" s="21" t="str">
        <x:v>IAS</x:v>
      </x:c>
      <x:c r="F34" s="24" t="n">
        <x:v>10</x:v>
      </x:c>
      <x:c r="G34" s="21" t="str">
        <x:v>课程可用单元关系；最终组合以资格出口及原大纲确认</x:v>
      </x:c>
    </x:row>
    <x:row r="35" ht="52" customHeight="1">
      <x:c r="A35" s="20" t="str">
        <x:v>L0034</x:v>
      </x:c>
      <x:c r="B35" s="21" t="str">
        <x:v>C009</x:v>
      </x:c>
      <x:c r="C35" s="21" t="str">
        <x:v>U034</x:v>
      </x:c>
      <x:c r="D35" s="21" t="str">
        <x:v>必修</x:v>
      </x:c>
      <x:c r="E35" s="21" t="str">
        <x:v>IAS</x:v>
      </x:c>
      <x:c r="F35" s="24" t="n">
        <x:v>20</x:v>
      </x:c>
      <x:c r="G35" s="21" t="str">
        <x:v>课程可用单元关系；最终组合以资格出口及原大纲确认</x:v>
      </x:c>
    </x:row>
    <x:row r="36" ht="52" customHeight="1">
      <x:c r="A36" s="20" t="str">
        <x:v>L0035</x:v>
      </x:c>
      <x:c r="B36" s="21" t="str">
        <x:v>C009</x:v>
      </x:c>
      <x:c r="C36" s="21" t="str">
        <x:v>U035</x:v>
      </x:c>
      <x:c r="D36" s="21" t="str">
        <x:v>必修</x:v>
      </x:c>
      <x:c r="E36" s="21" t="str">
        <x:v>IA2</x:v>
      </x:c>
      <x:c r="F36" s="24" t="n">
        <x:v>30</x:v>
      </x:c>
      <x:c r="G36" s="21" t="str">
        <x:v>课程可用单元关系；最终组合以资格出口及原大纲确认</x:v>
      </x:c>
    </x:row>
    <x:row r="37" ht="52" customHeight="1">
      <x:c r="A37" s="20" t="str">
        <x:v>L0036</x:v>
      </x:c>
      <x:c r="B37" s="21" t="str">
        <x:v>C009</x:v>
      </x:c>
      <x:c r="C37" s="21" t="str">
        <x:v>U036</x:v>
      </x:c>
      <x:c r="D37" s="21" t="str">
        <x:v>必修</x:v>
      </x:c>
      <x:c r="E37" s="21" t="str">
        <x:v>IA2</x:v>
      </x:c>
      <x:c r="F37" s="24" t="n">
        <x:v>40</x:v>
      </x:c>
      <x:c r="G37" s="21" t="str">
        <x:v>课程可用单元关系；最终组合以资格出口及原大纲确认</x:v>
      </x:c>
    </x:row>
    <x:row r="38" ht="52" customHeight="1">
      <x:c r="A38" s="20" t="str">
        <x:v>L0037</x:v>
      </x:c>
      <x:c r="B38" s="21" t="str">
        <x:v>C010</x:v>
      </x:c>
      <x:c r="C38" s="21" t="str">
        <x:v>U037</x:v>
      </x:c>
      <x:c r="D38" s="21" t="str">
        <x:v>必修</x:v>
      </x:c>
      <x:c r="E38" s="21" t="str">
        <x:v>IAS</x:v>
      </x:c>
      <x:c r="F38" s="24" t="n">
        <x:v>10</x:v>
      </x:c>
      <x:c r="G38" s="21" t="str">
        <x:v>课程可用单元关系；最终组合以资格出口及原大纲确认</x:v>
      </x:c>
    </x:row>
    <x:row r="39" ht="52" customHeight="1">
      <x:c r="A39" s="20" t="str">
        <x:v>L0038</x:v>
      </x:c>
      <x:c r="B39" s="21" t="str">
        <x:v>C010</x:v>
      </x:c>
      <x:c r="C39" s="21" t="str">
        <x:v>U038</x:v>
      </x:c>
      <x:c r="D39" s="21" t="str">
        <x:v>必修</x:v>
      </x:c>
      <x:c r="E39" s="21" t="str">
        <x:v>IAS</x:v>
      </x:c>
      <x:c r="F39" s="24" t="n">
        <x:v>20</x:v>
      </x:c>
      <x:c r="G39" s="21" t="str">
        <x:v>课程可用单元关系；最终组合以资格出口及原大纲确认</x:v>
      </x:c>
    </x:row>
    <x:row r="40" ht="52" customHeight="1">
      <x:c r="A40" s="20" t="str">
        <x:v>L0039</x:v>
      </x:c>
      <x:c r="B40" s="21" t="str">
        <x:v>C010</x:v>
      </x:c>
      <x:c r="C40" s="21" t="str">
        <x:v>U039</x:v>
      </x:c>
      <x:c r="D40" s="21" t="str">
        <x:v>必修</x:v>
      </x:c>
      <x:c r="E40" s="21" t="str">
        <x:v>IA2</x:v>
      </x:c>
      <x:c r="F40" s="24" t="n">
        <x:v>30</x:v>
      </x:c>
      <x:c r="G40" s="21" t="str">
        <x:v>课程可用单元关系；最终组合以资格出口及原大纲确认</x:v>
      </x:c>
    </x:row>
    <x:row r="41" ht="52" customHeight="1">
      <x:c r="A41" s="20" t="str">
        <x:v>L0040</x:v>
      </x:c>
      <x:c r="B41" s="21" t="str">
        <x:v>C010</x:v>
      </x:c>
      <x:c r="C41" s="21" t="str">
        <x:v>U040</x:v>
      </x:c>
      <x:c r="D41" s="21" t="str">
        <x:v>必修</x:v>
      </x:c>
      <x:c r="E41" s="21" t="str">
        <x:v>IA2</x:v>
      </x:c>
      <x:c r="F41" s="24" t="n">
        <x:v>40</x:v>
      </x:c>
      <x:c r="G41" s="21" t="str">
        <x:v>课程可用单元关系；最终组合以资格出口及原大纲确认</x:v>
      </x:c>
    </x:row>
    <x:row r="42" ht="52" customHeight="1">
      <x:c r="A42" s="20" t="str">
        <x:v>L0041</x:v>
      </x:c>
      <x:c r="B42" s="21" t="str">
        <x:v>C011</x:v>
      </x:c>
      <x:c r="C42" s="21" t="str">
        <x:v>U041</x:v>
      </x:c>
      <x:c r="D42" s="21" t="str">
        <x:v>必修</x:v>
      </x:c>
      <x:c r="E42" s="21" t="str">
        <x:v>IAS</x:v>
      </x:c>
      <x:c r="F42" s="24" t="n">
        <x:v>10</x:v>
      </x:c>
      <x:c r="G42" s="21" t="str">
        <x:v>课程可用单元关系；最终组合以资格出口及原大纲确认</x:v>
      </x:c>
    </x:row>
    <x:row r="43" ht="52" customHeight="1">
      <x:c r="A43" s="20" t="str">
        <x:v>L0042</x:v>
      </x:c>
      <x:c r="B43" s="21" t="str">
        <x:v>C011</x:v>
      </x:c>
      <x:c r="C43" s="21" t="str">
        <x:v>U042</x:v>
      </x:c>
      <x:c r="D43" s="21" t="str">
        <x:v>必修</x:v>
      </x:c>
      <x:c r="E43" s="21" t="str">
        <x:v>IAS</x:v>
      </x:c>
      <x:c r="F43" s="24" t="n">
        <x:v>20</x:v>
      </x:c>
      <x:c r="G43" s="21" t="str">
        <x:v>课程可用单元关系；最终组合以资格出口及原大纲确认</x:v>
      </x:c>
    </x:row>
    <x:row r="44" ht="52" customHeight="1">
      <x:c r="A44" s="20" t="str">
        <x:v>L0043</x:v>
      </x:c>
      <x:c r="B44" s="21" t="str">
        <x:v>C011</x:v>
      </x:c>
      <x:c r="C44" s="21" t="str">
        <x:v>U043</x:v>
      </x:c>
      <x:c r="D44" s="21" t="str">
        <x:v>必修</x:v>
      </x:c>
      <x:c r="E44" s="21" t="str">
        <x:v>IA2</x:v>
      </x:c>
      <x:c r="F44" s="24" t="n">
        <x:v>30</x:v>
      </x:c>
      <x:c r="G44" s="21" t="str">
        <x:v>课程可用单元关系；最终组合以资格出口及原大纲确认</x:v>
      </x:c>
    </x:row>
    <x:row r="45" ht="52" customHeight="1">
      <x:c r="A45" s="20" t="str">
        <x:v>L0044</x:v>
      </x:c>
      <x:c r="B45" s="21" t="str">
        <x:v>C011</x:v>
      </x:c>
      <x:c r="C45" s="21" t="str">
        <x:v>U044</x:v>
      </x:c>
      <x:c r="D45" s="21" t="str">
        <x:v>必修</x:v>
      </x:c>
      <x:c r="E45" s="21" t="str">
        <x:v>IA2</x:v>
      </x:c>
      <x:c r="F45" s="24" t="n">
        <x:v>40</x:v>
      </x:c>
      <x:c r="G45" s="21" t="str">
        <x:v>课程可用单元关系；最终组合以资格出口及原大纲确认</x:v>
      </x:c>
    </x:row>
    <x:row r="46" ht="52" customHeight="1">
      <x:c r="A46" s="20" t="str">
        <x:v>L0045</x:v>
      </x:c>
      <x:c r="B46" s="21" t="str">
        <x:v>C012</x:v>
      </x:c>
      <x:c r="C46" s="21" t="str">
        <x:v>U045</x:v>
      </x:c>
      <x:c r="D46" s="21" t="str">
        <x:v>必修</x:v>
      </x:c>
      <x:c r="E46" s="21" t="str">
        <x:v>IAS</x:v>
      </x:c>
      <x:c r="F46" s="24" t="n">
        <x:v>10</x:v>
      </x:c>
      <x:c r="G46" s="21" t="str">
        <x:v>课程可用单元关系；最终组合以资格出口及原大纲确认</x:v>
      </x:c>
    </x:row>
    <x:row r="47" ht="52" customHeight="1">
      <x:c r="A47" s="20" t="str">
        <x:v>L0046</x:v>
      </x:c>
      <x:c r="B47" s="21" t="str">
        <x:v>C012</x:v>
      </x:c>
      <x:c r="C47" s="21" t="str">
        <x:v>U046</x:v>
      </x:c>
      <x:c r="D47" s="21" t="str">
        <x:v>必修</x:v>
      </x:c>
      <x:c r="E47" s="21" t="str">
        <x:v>IAS</x:v>
      </x:c>
      <x:c r="F47" s="24" t="n">
        <x:v>20</x:v>
      </x:c>
      <x:c r="G47" s="21" t="str">
        <x:v>课程可用单元关系；最终组合以资格出口及原大纲确认</x:v>
      </x:c>
    </x:row>
    <x:row r="48" ht="52" customHeight="1">
      <x:c r="A48" s="20" t="str">
        <x:v>L0047</x:v>
      </x:c>
      <x:c r="B48" s="21" t="str">
        <x:v>C012</x:v>
      </x:c>
      <x:c r="C48" s="21" t="str">
        <x:v>U047</x:v>
      </x:c>
      <x:c r="D48" s="21" t="str">
        <x:v>必修</x:v>
      </x:c>
      <x:c r="E48" s="21" t="str">
        <x:v>IA2</x:v>
      </x:c>
      <x:c r="F48" s="24" t="n">
        <x:v>30</x:v>
      </x:c>
      <x:c r="G48" s="21" t="str">
        <x:v>课程可用单元关系；最终组合以资格出口及原大纲确认</x:v>
      </x:c>
    </x:row>
    <x:row r="49" ht="52" customHeight="1">
      <x:c r="A49" s="20" t="str">
        <x:v>L0048</x:v>
      </x:c>
      <x:c r="B49" s="21" t="str">
        <x:v>C012</x:v>
      </x:c>
      <x:c r="C49" s="21" t="str">
        <x:v>U048</x:v>
      </x:c>
      <x:c r="D49" s="21" t="str">
        <x:v>必修</x:v>
      </x:c>
      <x:c r="E49" s="21" t="str">
        <x:v>IA2</x:v>
      </x:c>
      <x:c r="F49" s="24" t="n">
        <x:v>40</x:v>
      </x:c>
      <x:c r="G49" s="21" t="str">
        <x:v>课程可用单元关系；最终组合以资格出口及原大纲确认</x:v>
      </x:c>
    </x:row>
    <x:row r="50" ht="52" customHeight="1">
      <x:c r="A50" s="20" t="str">
        <x:v>L0049</x:v>
      </x:c>
      <x:c r="B50" s="21" t="str">
        <x:v>C013</x:v>
      </x:c>
      <x:c r="C50" s="21" t="str">
        <x:v>U049</x:v>
      </x:c>
      <x:c r="D50" s="21" t="str">
        <x:v>必修</x:v>
      </x:c>
      <x:c r="E50" s="21" t="str">
        <x:v>IAS</x:v>
      </x:c>
      <x:c r="F50" s="24" t="n">
        <x:v>10</x:v>
      </x:c>
      <x:c r="G50" s="21" t="str">
        <x:v>课程可用单元关系；最终组合以资格出口及原大纲确认</x:v>
      </x:c>
    </x:row>
    <x:row r="51" ht="52" customHeight="1">
      <x:c r="A51" s="20" t="str">
        <x:v>L0050</x:v>
      </x:c>
      <x:c r="B51" s="21" t="str">
        <x:v>C013</x:v>
      </x:c>
      <x:c r="C51" s="21" t="str">
        <x:v>U050</x:v>
      </x:c>
      <x:c r="D51" s="21" t="str">
        <x:v>必修</x:v>
      </x:c>
      <x:c r="E51" s="21" t="str">
        <x:v>IAS</x:v>
      </x:c>
      <x:c r="F51" s="24" t="n">
        <x:v>20</x:v>
      </x:c>
      <x:c r="G51" s="21" t="str">
        <x:v>课程可用单元关系；最终组合以资格出口及原大纲确认</x:v>
      </x:c>
    </x:row>
    <x:row r="52" ht="52" customHeight="1">
      <x:c r="A52" s="20" t="str">
        <x:v>L0051</x:v>
      </x:c>
      <x:c r="B52" s="21" t="str">
        <x:v>C013</x:v>
      </x:c>
      <x:c r="C52" s="21" t="str">
        <x:v>U051</x:v>
      </x:c>
      <x:c r="D52" s="21" t="str">
        <x:v>必修</x:v>
      </x:c>
      <x:c r="E52" s="21" t="str">
        <x:v>IA2</x:v>
      </x:c>
      <x:c r="F52" s="24" t="n">
        <x:v>30</x:v>
      </x:c>
      <x:c r="G52" s="21" t="str">
        <x:v>课程可用单元关系；最终组合以资格出口及原大纲确认</x:v>
      </x:c>
    </x:row>
    <x:row r="53" ht="52" customHeight="1">
      <x:c r="A53" s="20" t="str">
        <x:v>L0052</x:v>
      </x:c>
      <x:c r="B53" s="21" t="str">
        <x:v>C013</x:v>
      </x:c>
      <x:c r="C53" s="21" t="str">
        <x:v>U052</x:v>
      </x:c>
      <x:c r="D53" s="21" t="str">
        <x:v>必修</x:v>
      </x:c>
      <x:c r="E53" s="21" t="str">
        <x:v>IA2</x:v>
      </x:c>
      <x:c r="F53" s="24" t="n">
        <x:v>40</x:v>
      </x:c>
      <x:c r="G53" s="21" t="str">
        <x:v>课程可用单元关系；最终组合以资格出口及原大纲确认</x:v>
      </x:c>
    </x:row>
    <x:row r="54" ht="52" customHeight="1">
      <x:c r="A54" s="20" t="str">
        <x:v>L0053</x:v>
      </x:c>
      <x:c r="B54" s="21" t="str">
        <x:v>C014</x:v>
      </x:c>
      <x:c r="C54" s="21" t="str">
        <x:v>U053</x:v>
      </x:c>
      <x:c r="D54" s="21" t="str">
        <x:v>必修</x:v>
      </x:c>
      <x:c r="E54" s="21" t="str">
        <x:v>IAS</x:v>
      </x:c>
      <x:c r="F54" s="24" t="n">
        <x:v>10</x:v>
      </x:c>
      <x:c r="G54" s="21" t="str">
        <x:v>课程可用单元关系；最终组合以资格出口及原大纲确认</x:v>
      </x:c>
    </x:row>
    <x:row r="55" ht="52" customHeight="1">
      <x:c r="A55" s="20" t="str">
        <x:v>L0054</x:v>
      </x:c>
      <x:c r="B55" s="21" t="str">
        <x:v>C014</x:v>
      </x:c>
      <x:c r="C55" s="21" t="str">
        <x:v>U054</x:v>
      </x:c>
      <x:c r="D55" s="21" t="str">
        <x:v>必修</x:v>
      </x:c>
      <x:c r="E55" s="21" t="str">
        <x:v>IAS</x:v>
      </x:c>
      <x:c r="F55" s="24" t="n">
        <x:v>20</x:v>
      </x:c>
      <x:c r="G55" s="21" t="str">
        <x:v>课程可用单元关系；最终组合以资格出口及原大纲确认</x:v>
      </x:c>
    </x:row>
    <x:row r="56" ht="52" customHeight="1">
      <x:c r="A56" s="20" t="str">
        <x:v>L0055</x:v>
      </x:c>
      <x:c r="B56" s="21" t="str">
        <x:v>C014</x:v>
      </x:c>
      <x:c r="C56" s="21" t="str">
        <x:v>U055</x:v>
      </x:c>
      <x:c r="D56" s="21" t="str">
        <x:v>必修</x:v>
      </x:c>
      <x:c r="E56" s="21" t="str">
        <x:v>IAS</x:v>
      </x:c>
      <x:c r="F56" s="24" t="n">
        <x:v>30</x:v>
      </x:c>
      <x:c r="G56" s="21" t="str">
        <x:v>课程可用单元关系；最终组合以资格出口及原大纲确认</x:v>
      </x:c>
    </x:row>
    <x:row r="57" ht="52" customHeight="1">
      <x:c r="A57" s="20" t="str">
        <x:v>L0056</x:v>
      </x:c>
      <x:c r="B57" s="21" t="str">
        <x:v>C014</x:v>
      </x:c>
      <x:c r="C57" s="21" t="str">
        <x:v>U056</x:v>
      </x:c>
      <x:c r="D57" s="21" t="str">
        <x:v>必修</x:v>
      </x:c>
      <x:c r="E57" s="21" t="str">
        <x:v>IA2</x:v>
      </x:c>
      <x:c r="F57" s="24" t="n">
        <x:v>40</x:v>
      </x:c>
      <x:c r="G57" s="21" t="str">
        <x:v>课程可用单元关系；最终组合以资格出口及原大纲确认</x:v>
      </x:c>
    </x:row>
    <x:row r="58" ht="52" customHeight="1">
      <x:c r="A58" s="20" t="str">
        <x:v>L0057</x:v>
      </x:c>
      <x:c r="B58" s="21" t="str">
        <x:v>C014</x:v>
      </x:c>
      <x:c r="C58" s="21" t="str">
        <x:v>U057</x:v>
      </x:c>
      <x:c r="D58" s="21" t="str">
        <x:v>必修</x:v>
      </x:c>
      <x:c r="E58" s="21" t="str">
        <x:v>IA2</x:v>
      </x:c>
      <x:c r="F58" s="24" t="n">
        <x:v>50</x:v>
      </x:c>
      <x:c r="G58" s="21" t="str">
        <x:v>课程可用单元关系；最终组合以资格出口及原大纲确认</x:v>
      </x:c>
    </x:row>
    <x:row r="59" ht="52" customHeight="1">
      <x:c r="A59" s="20" t="str">
        <x:v>L0058</x:v>
      </x:c>
      <x:c r="B59" s="21" t="str">
        <x:v>C014</x:v>
      </x:c>
      <x:c r="C59" s="21" t="str">
        <x:v>U058</x:v>
      </x:c>
      <x:c r="D59" s="21" t="str">
        <x:v>必修</x:v>
      </x:c>
      <x:c r="E59" s="21" t="str">
        <x:v>IA2</x:v>
      </x:c>
      <x:c r="F59" s="24" t="n">
        <x:v>60</x:v>
      </x:c>
      <x:c r="G59" s="21" t="str">
        <x:v>课程可用单元关系；最终组合以资格出口及原大纲确认</x:v>
      </x:c>
    </x:row>
    <x:row r="60" ht="52" customHeight="1">
      <x:c r="A60" s="20" t="str">
        <x:v>L0059</x:v>
      </x:c>
      <x:c r="B60" s="21" t="str">
        <x:v>C015</x:v>
      </x:c>
      <x:c r="C60" s="21" t="str">
        <x:v>U059</x:v>
      </x:c>
      <x:c r="D60" s="21" t="str">
        <x:v>必修</x:v>
      </x:c>
      <x:c r="E60" s="21" t="str">
        <x:v>IAS</x:v>
      </x:c>
      <x:c r="F60" s="24" t="n">
        <x:v>10</x:v>
      </x:c>
      <x:c r="G60" s="21" t="str">
        <x:v>课程可用单元关系；最终组合以资格出口及原大纲确认</x:v>
      </x:c>
    </x:row>
    <x:row r="61" ht="52" customHeight="1">
      <x:c r="A61" s="20" t="str">
        <x:v>L0060</x:v>
      </x:c>
      <x:c r="B61" s="21" t="str">
        <x:v>C015</x:v>
      </x:c>
      <x:c r="C61" s="21" t="str">
        <x:v>U060</x:v>
      </x:c>
      <x:c r="D61" s="21" t="str">
        <x:v>必修</x:v>
      </x:c>
      <x:c r="E61" s="21" t="str">
        <x:v>IAS</x:v>
      </x:c>
      <x:c r="F61" s="24" t="n">
        <x:v>20</x:v>
      </x:c>
      <x:c r="G61" s="21" t="str">
        <x:v>课程可用单元关系；最终组合以资格出口及原大纲确认</x:v>
      </x:c>
    </x:row>
    <x:row r="62" ht="52" customHeight="1">
      <x:c r="A62" s="20" t="str">
        <x:v>L0061</x:v>
      </x:c>
      <x:c r="B62" s="21" t="str">
        <x:v>C015</x:v>
      </x:c>
      <x:c r="C62" s="21" t="str">
        <x:v>U061</x:v>
      </x:c>
      <x:c r="D62" s="21" t="str">
        <x:v>必修</x:v>
      </x:c>
      <x:c r="E62" s="21" t="str">
        <x:v>IA2</x:v>
      </x:c>
      <x:c r="F62" s="24" t="n">
        <x:v>30</x:v>
      </x:c>
      <x:c r="G62" s="21" t="str">
        <x:v>课程可用单元关系；最终组合以资格出口及原大纲确认</x:v>
      </x:c>
    </x:row>
    <x:row r="63" ht="52" customHeight="1">
      <x:c r="A63" s="20" t="str">
        <x:v>L0062</x:v>
      </x:c>
      <x:c r="B63" s="21" t="str">
        <x:v>C015</x:v>
      </x:c>
      <x:c r="C63" s="21" t="str">
        <x:v>U062</x:v>
      </x:c>
      <x:c r="D63" s="21" t="str">
        <x:v>必修</x:v>
      </x:c>
      <x:c r="E63" s="21" t="str">
        <x:v>IA2</x:v>
      </x:c>
      <x:c r="F63" s="24" t="n">
        <x:v>40</x:v>
      </x:c>
      <x:c r="G63" s="21" t="str">
        <x:v>课程可用单元关系；最终组合以资格出口及原大纲确认</x:v>
      </x:c>
    </x:row>
    <x:row r="64" ht="52" customHeight="1">
      <x:c r="A64" s="20" t="str">
        <x:v>L0063</x:v>
      </x:c>
      <x:c r="B64" s="21" t="str">
        <x:v>C016</x:v>
      </x:c>
      <x:c r="C64" s="21" t="str">
        <x:v>U063</x:v>
      </x:c>
      <x:c r="D64" s="21" t="str">
        <x:v>必修</x:v>
      </x:c>
      <x:c r="E64" s="21" t="str">
        <x:v>IAS</x:v>
      </x:c>
      <x:c r="F64" s="24" t="n">
        <x:v>10</x:v>
      </x:c>
      <x:c r="G64" s="21" t="str">
        <x:v>课程可用单元关系；最终组合以资格出口及原大纲确认</x:v>
      </x:c>
    </x:row>
    <x:row r="65" ht="52" customHeight="1">
      <x:c r="A65" s="20" t="str">
        <x:v>L0064</x:v>
      </x:c>
      <x:c r="B65" s="21" t="str">
        <x:v>C016</x:v>
      </x:c>
      <x:c r="C65" s="21" t="str">
        <x:v>U064</x:v>
      </x:c>
      <x:c r="D65" s="21" t="str">
        <x:v>必修</x:v>
      </x:c>
      <x:c r="E65" s="21" t="str">
        <x:v>IAS</x:v>
      </x:c>
      <x:c r="F65" s="24" t="n">
        <x:v>20</x:v>
      </x:c>
      <x:c r="G65" s="21" t="str">
        <x:v>课程可用单元关系；最终组合以资格出口及原大纲确认</x:v>
      </x:c>
    </x:row>
    <x:row r="66" ht="52" customHeight="1">
      <x:c r="A66" s="20" t="str">
        <x:v>L0065</x:v>
      </x:c>
      <x:c r="B66" s="21" t="str">
        <x:v>C016</x:v>
      </x:c>
      <x:c r="C66" s="21" t="str">
        <x:v>U065</x:v>
      </x:c>
      <x:c r="D66" s="21" t="str">
        <x:v>必修</x:v>
      </x:c>
      <x:c r="E66" s="21" t="str">
        <x:v>IA2</x:v>
      </x:c>
      <x:c r="F66" s="24" t="n">
        <x:v>30</x:v>
      </x:c>
      <x:c r="G66" s="21" t="str">
        <x:v>课程可用单元关系；最终组合以资格出口及原大纲确认</x:v>
      </x:c>
    </x:row>
    <x:row r="67" ht="52" customHeight="1">
      <x:c r="A67" s="20" t="str">
        <x:v>L0066</x:v>
      </x:c>
      <x:c r="B67" s="21" t="str">
        <x:v>C016</x:v>
      </x:c>
      <x:c r="C67" s="21" t="str">
        <x:v>U066</x:v>
      </x:c>
      <x:c r="D67" s="21" t="str">
        <x:v>必修</x:v>
      </x:c>
      <x:c r="E67" s="21" t="str">
        <x:v>IA2</x:v>
      </x:c>
      <x:c r="F67" s="24" t="n">
        <x:v>40</x:v>
      </x:c>
      <x:c r="G67" s="21" t="str">
        <x:v>课程可用单元关系；最终组合以资格出口及原大纲确认</x:v>
      </x:c>
    </x:row>
    <x:row r="68" ht="52" customHeight="1">
      <x:c r="A68" s="20" t="str">
        <x:v>L0067</x:v>
      </x:c>
      <x:c r="B68" s="21" t="str">
        <x:v>C017</x:v>
      </x:c>
      <x:c r="C68" s="21" t="str">
        <x:v>U067</x:v>
      </x:c>
      <x:c r="D68" s="21" t="str">
        <x:v>必修</x:v>
      </x:c>
      <x:c r="E68" s="21" t="str">
        <x:v>IAS</x:v>
      </x:c>
      <x:c r="F68" s="24" t="n">
        <x:v>10</x:v>
      </x:c>
      <x:c r="G68" s="21" t="str">
        <x:v>课程可用单元关系；最终组合以资格出口及原大纲确认</x:v>
      </x:c>
    </x:row>
    <x:row r="69" ht="52" customHeight="1">
      <x:c r="A69" s="20" t="str">
        <x:v>L0068</x:v>
      </x:c>
      <x:c r="B69" s="21" t="str">
        <x:v>C017</x:v>
      </x:c>
      <x:c r="C69" s="21" t="str">
        <x:v>U068</x:v>
      </x:c>
      <x:c r="D69" s="21" t="str">
        <x:v>必修</x:v>
      </x:c>
      <x:c r="E69" s="21" t="str">
        <x:v>IA2</x:v>
      </x:c>
      <x:c r="F69" s="24" t="n">
        <x:v>20</x:v>
      </x:c>
      <x:c r="G69" s="21" t="str">
        <x:v>课程可用单元关系；最终组合以资格出口及原大纲确认</x:v>
      </x:c>
    </x:row>
    <x:row r="70" ht="52" customHeight="1">
      <x:c r="A70" s="20" t="str">
        <x:v>L0069</x:v>
      </x:c>
      <x:c r="B70" s="21" t="str">
        <x:v>C018</x:v>
      </x:c>
      <x:c r="C70" s="21" t="str">
        <x:v>U069</x:v>
      </x:c>
      <x:c r="D70" s="21" t="str">
        <x:v>按资格路径</x:v>
      </x:c>
      <x:c r="E70" s="21" t="str">
        <x:v>按资格路径</x:v>
      </x:c>
      <x:c r="F70" s="24" t="n">
        <x:v>10</x:v>
      </x:c>
      <x:c r="G70" s="21" t="str">
        <x:v>同一单元可被多个课程引用；资格路径与成绩不得重复计入规则另行核对。</x:v>
      </x:c>
    </x:row>
    <x:row r="71" ht="52" customHeight="1">
      <x:c r="A71" s="20" t="str">
        <x:v>L0070</x:v>
      </x:c>
      <x:c r="B71" s="21" t="str">
        <x:v>C018</x:v>
      </x:c>
      <x:c r="C71" s="21" t="str">
        <x:v>U070</x:v>
      </x:c>
      <x:c r="D71" s="21" t="str">
        <x:v>按资格路径</x:v>
      </x:c>
      <x:c r="E71" s="21" t="str">
        <x:v>按资格路径</x:v>
      </x:c>
      <x:c r="F71" s="24" t="n">
        <x:v>20</x:v>
      </x:c>
      <x:c r="G71" s="21" t="str">
        <x:v>同一单元可被多个课程引用；资格路径与成绩不得重复计入规则另行核对。</x:v>
      </x:c>
    </x:row>
    <x:row r="72" ht="52" customHeight="1">
      <x:c r="A72" s="20" t="str">
        <x:v>L0071</x:v>
      </x:c>
      <x:c r="B72" s="21" t="str">
        <x:v>C018</x:v>
      </x:c>
      <x:c r="C72" s="21" t="str">
        <x:v>U071</x:v>
      </x:c>
      <x:c r="D72" s="21" t="str">
        <x:v>按资格路径</x:v>
      </x:c>
      <x:c r="E72" s="21" t="str">
        <x:v>按资格路径</x:v>
      </x:c>
      <x:c r="F72" s="24" t="n">
        <x:v>30</x:v>
      </x:c>
      <x:c r="G72" s="21" t="str">
        <x:v>同一单元可被多个课程引用；资格路径与成绩不得重复计入规则另行核对。</x:v>
      </x:c>
    </x:row>
    <x:row r="73" ht="52" customHeight="1">
      <x:c r="A73" s="20" t="str">
        <x:v>L0072</x:v>
      </x:c>
      <x:c r="B73" s="21" t="str">
        <x:v>C018</x:v>
      </x:c>
      <x:c r="C73" s="21" t="str">
        <x:v>U072</x:v>
      </x:c>
      <x:c r="D73" s="21" t="str">
        <x:v>按资格路径</x:v>
      </x:c>
      <x:c r="E73" s="21" t="str">
        <x:v>按资格路径</x:v>
      </x:c>
      <x:c r="F73" s="24" t="n">
        <x:v>40</x:v>
      </x:c>
      <x:c r="G73" s="21" t="str">
        <x:v>同一单元可被多个课程引用；资格路径与成绩不得重复计入规则另行核对。</x:v>
      </x:c>
    </x:row>
    <x:row r="74" ht="52" customHeight="1">
      <x:c r="A74" s="20" t="str">
        <x:v>L0073</x:v>
      </x:c>
      <x:c r="B74" s="21" t="str">
        <x:v>C018</x:v>
      </x:c>
      <x:c r="C74" s="21" t="str">
        <x:v>U076</x:v>
      </x:c>
      <x:c r="D74" s="21" t="str">
        <x:v>按资格路径</x:v>
      </x:c>
      <x:c r="E74" s="21" t="str">
        <x:v>按资格路径</x:v>
      </x:c>
      <x:c r="F74" s="24" t="n">
        <x:v>50</x:v>
      </x:c>
      <x:c r="G74" s="21" t="str">
        <x:v>同一单元可被多个课程引用；资格路径与成绩不得重复计入规则另行核对。</x:v>
      </x:c>
    </x:row>
    <x:row r="75" ht="52" customHeight="1">
      <x:c r="A75" s="20" t="str">
        <x:v>L0074</x:v>
      </x:c>
      <x:c r="B75" s="21" t="str">
        <x:v>C018</x:v>
      </x:c>
      <x:c r="C75" s="21" t="str">
        <x:v>U077</x:v>
      </x:c>
      <x:c r="D75" s="21" t="str">
        <x:v>按资格路径</x:v>
      </x:c>
      <x:c r="E75" s="21" t="str">
        <x:v>按资格路径</x:v>
      </x:c>
      <x:c r="F75" s="24" t="n">
        <x:v>60</x:v>
      </x:c>
      <x:c r="G75" s="21" t="str">
        <x:v>同一单元可被多个课程引用；资格路径与成绩不得重复计入规则另行核对。</x:v>
      </x:c>
    </x:row>
    <x:row r="76" ht="52" customHeight="1">
      <x:c r="A76" s="20" t="str">
        <x:v>L0075</x:v>
      </x:c>
      <x:c r="B76" s="21" t="str">
        <x:v>C018</x:v>
      </x:c>
      <x:c r="C76" s="21" t="str">
        <x:v>U079</x:v>
      </x:c>
      <x:c r="D76" s="21" t="str">
        <x:v>按资格路径</x:v>
      </x:c>
      <x:c r="E76" s="21" t="str">
        <x:v>按资格路径</x:v>
      </x:c>
      <x:c r="F76" s="24" t="n">
        <x:v>70</x:v>
      </x:c>
      <x:c r="G76" s="21" t="str">
        <x:v>同一单元可被多个课程引用；资格路径与成绩不得重复计入规则另行核对。</x:v>
      </x:c>
    </x:row>
    <x:row r="77" ht="52" customHeight="1">
      <x:c r="A77" s="20" t="str">
        <x:v>L0076</x:v>
      </x:c>
      <x:c r="B77" s="21" t="str">
        <x:v>C018</x:v>
      </x:c>
      <x:c r="C77" s="21" t="str">
        <x:v>U080</x:v>
      </x:c>
      <x:c r="D77" s="21" t="str">
        <x:v>按资格路径</x:v>
      </x:c>
      <x:c r="E77" s="21" t="str">
        <x:v>按资格路径</x:v>
      </x:c>
      <x:c r="F77" s="24" t="n">
        <x:v>80</x:v>
      </x:c>
      <x:c r="G77" s="21" t="str">
        <x:v>同一单元可被多个课程引用；资格路径与成绩不得重复计入规则另行核对。</x:v>
      </x:c>
    </x:row>
    <x:row r="78" ht="52" customHeight="1">
      <x:c r="A78" s="20" t="str">
        <x:v>L0077</x:v>
      </x:c>
      <x:c r="B78" s="21" t="str">
        <x:v>C018</x:v>
      </x:c>
      <x:c r="C78" s="21" t="str">
        <x:v>U082</x:v>
      </x:c>
      <x:c r="D78" s="21" t="str">
        <x:v>按资格路径</x:v>
      </x:c>
      <x:c r="E78" s="21" t="str">
        <x:v>按资格路径</x:v>
      </x:c>
      <x:c r="F78" s="24" t="n">
        <x:v>90</x:v>
      </x:c>
      <x:c r="G78" s="21" t="str">
        <x:v>同一单元可被多个课程引用；资格路径与成绩不得重复计入规则另行核对。</x:v>
      </x:c>
    </x:row>
    <x:row r="79" ht="52" customHeight="1">
      <x:c r="A79" s="20" t="str">
        <x:v>L0078</x:v>
      </x:c>
      <x:c r="B79" s="21" t="str">
        <x:v>C019</x:v>
      </x:c>
      <x:c r="C79" s="21" t="str">
        <x:v>U073</x:v>
      </x:c>
      <x:c r="D79" s="21" t="str">
        <x:v>按资格路径</x:v>
      </x:c>
      <x:c r="E79" s="21" t="str">
        <x:v>按资格路径</x:v>
      </x:c>
      <x:c r="F79" s="24" t="n">
        <x:v>10</x:v>
      </x:c>
      <x:c r="G79" s="21" t="str">
        <x:v>同一单元可被多个课程引用；资格路径与成绩不得重复计入规则另行核对。</x:v>
      </x:c>
    </x:row>
    <x:row r="80" ht="52" customHeight="1">
      <x:c r="A80" s="20" t="str">
        <x:v>L0079</x:v>
      </x:c>
      <x:c r="B80" s="21" t="str">
        <x:v>C019</x:v>
      </x:c>
      <x:c r="C80" s="21" t="str">
        <x:v>U074</x:v>
      </x:c>
      <x:c r="D80" s="21" t="str">
        <x:v>按资格路径</x:v>
      </x:c>
      <x:c r="E80" s="21" t="str">
        <x:v>按资格路径</x:v>
      </x:c>
      <x:c r="F80" s="24" t="n">
        <x:v>20</x:v>
      </x:c>
      <x:c r="G80" s="21" t="str">
        <x:v>同一单元可被多个课程引用；资格路径与成绩不得重复计入规则另行核对。</x:v>
      </x:c>
    </x:row>
    <x:row r="81" ht="52" customHeight="1">
      <x:c r="A81" s="20" t="str">
        <x:v>L0080</x:v>
      </x:c>
      <x:c r="B81" s="21" t="str">
        <x:v>C019</x:v>
      </x:c>
      <x:c r="C81" s="21" t="str">
        <x:v>U075</x:v>
      </x:c>
      <x:c r="D81" s="21" t="str">
        <x:v>按资格路径</x:v>
      </x:c>
      <x:c r="E81" s="21" t="str">
        <x:v>按资格路径</x:v>
      </x:c>
      <x:c r="F81" s="24" t="n">
        <x:v>30</x:v>
      </x:c>
      <x:c r="G81" s="21" t="str">
        <x:v>同一单元可被多个课程引用；资格路径与成绩不得重复计入规则另行核对。</x:v>
      </x:c>
    </x:row>
    <x:row r="82" ht="52" customHeight="1">
      <x:c r="A82" s="20" t="str">
        <x:v>L0081</x:v>
      </x:c>
      <x:c r="B82" s="21" t="str">
        <x:v>C019</x:v>
      </x:c>
      <x:c r="C82" s="21" t="str">
        <x:v>U076</x:v>
      </x:c>
      <x:c r="D82" s="21" t="str">
        <x:v>按资格路径</x:v>
      </x:c>
      <x:c r="E82" s="21" t="str">
        <x:v>按资格路径</x:v>
      </x:c>
      <x:c r="F82" s="24" t="n">
        <x:v>40</x:v>
      </x:c>
      <x:c r="G82" s="21" t="str">
        <x:v>同一单元可被多个课程引用；资格路径与成绩不得重复计入规则另行核对。</x:v>
      </x:c>
    </x:row>
    <x:row r="83" ht="52" customHeight="1">
      <x:c r="A83" s="20" t="str">
        <x:v>L0082</x:v>
      </x:c>
      <x:c r="B83" s="21" t="str">
        <x:v>C019</x:v>
      </x:c>
      <x:c r="C83" s="21" t="str">
        <x:v>U077</x:v>
      </x:c>
      <x:c r="D83" s="21" t="str">
        <x:v>按资格路径</x:v>
      </x:c>
      <x:c r="E83" s="21" t="str">
        <x:v>按资格路径</x:v>
      </x:c>
      <x:c r="F83" s="24" t="n">
        <x:v>50</x:v>
      </x:c>
      <x:c r="G83" s="21" t="str">
        <x:v>同一单元可被多个课程引用；资格路径与成绩不得重复计入规则另行核对。</x:v>
      </x:c>
    </x:row>
    <x:row r="84" ht="52" customHeight="1">
      <x:c r="A84" s="20" t="str">
        <x:v>L0083</x:v>
      </x:c>
      <x:c r="B84" s="21" t="str">
        <x:v>C019</x:v>
      </x:c>
      <x:c r="C84" s="21" t="str">
        <x:v>U078</x:v>
      </x:c>
      <x:c r="D84" s="21" t="str">
        <x:v>按资格路径</x:v>
      </x:c>
      <x:c r="E84" s="21" t="str">
        <x:v>按资格路径</x:v>
      </x:c>
      <x:c r="F84" s="24" t="n">
        <x:v>60</x:v>
      </x:c>
      <x:c r="G84" s="21" t="str">
        <x:v>同一单元可被多个课程引用；资格路径与成绩不得重复计入规则另行核对。</x:v>
      </x:c>
    </x:row>
    <x:row r="85" ht="52" customHeight="1">
      <x:c r="A85" s="20" t="str">
        <x:v>L0084</x:v>
      </x:c>
      <x:c r="B85" s="21" t="str">
        <x:v>C019</x:v>
      </x:c>
      <x:c r="C85" s="21" t="str">
        <x:v>U079</x:v>
      </x:c>
      <x:c r="D85" s="21" t="str">
        <x:v>按资格路径</x:v>
      </x:c>
      <x:c r="E85" s="21" t="str">
        <x:v>按资格路径</x:v>
      </x:c>
      <x:c r="F85" s="24" t="n">
        <x:v>70</x:v>
      </x:c>
      <x:c r="G85" s="21" t="str">
        <x:v>同一单元可被多个课程引用；资格路径与成绩不得重复计入规则另行核对。</x:v>
      </x:c>
    </x:row>
    <x:row r="86" ht="52" customHeight="1">
      <x:c r="A86" s="20" t="str">
        <x:v>L0085</x:v>
      </x:c>
      <x:c r="B86" s="21" t="str">
        <x:v>C019</x:v>
      </x:c>
      <x:c r="C86" s="21" t="str">
        <x:v>U080</x:v>
      </x:c>
      <x:c r="D86" s="21" t="str">
        <x:v>按资格路径</x:v>
      </x:c>
      <x:c r="E86" s="21" t="str">
        <x:v>按资格路径</x:v>
      </x:c>
      <x:c r="F86" s="24" t="n">
        <x:v>80</x:v>
      </x:c>
      <x:c r="G86" s="21" t="str">
        <x:v>同一单元可被多个课程引用；资格路径与成绩不得重复计入规则另行核对。</x:v>
      </x:c>
    </x:row>
    <x:row r="87" ht="52" customHeight="1">
      <x:c r="A87" s="20" t="str">
        <x:v>L0086</x:v>
      </x:c>
      <x:c r="B87" s="21" t="str">
        <x:v>C019</x:v>
      </x:c>
      <x:c r="C87" s="21" t="str">
        <x:v>U081</x:v>
      </x:c>
      <x:c r="D87" s="21" t="str">
        <x:v>按资格路径</x:v>
      </x:c>
      <x:c r="E87" s="21" t="str">
        <x:v>按资格路径</x:v>
      </x:c>
      <x:c r="F87" s="24" t="n">
        <x:v>90</x:v>
      </x:c>
      <x:c r="G87" s="21" t="str">
        <x:v>同一单元可被多个课程引用；资格路径与成绩不得重复计入规则另行核对。</x:v>
      </x:c>
    </x:row>
    <x:row r="88" ht="52" customHeight="1">
      <x:c r="A88" s="20" t="str">
        <x:v>L0087</x:v>
      </x:c>
      <x:c r="B88" s="21" t="str">
        <x:v>C019</x:v>
      </x:c>
      <x:c r="C88" s="21" t="str">
        <x:v>U082</x:v>
      </x:c>
      <x:c r="D88" s="21" t="str">
        <x:v>按资格路径</x:v>
      </x:c>
      <x:c r="E88" s="21" t="str">
        <x:v>按资格路径</x:v>
      </x:c>
      <x:c r="F88" s="24" t="n">
        <x:v>100</x:v>
      </x:c>
      <x:c r="G88" s="21" t="str">
        <x:v>同一单元可被多个课程引用；资格路径与成绩不得重复计入规则另行核对。</x:v>
      </x:c>
    </x:row>
    <x:row r="89" ht="52" customHeight="1">
      <x:c r="A89" s="20" t="str">
        <x:v>L0088</x:v>
      </x:c>
      <x:c r="B89" s="21" t="str">
        <x:v>C020</x:v>
      </x:c>
      <x:c r="C89" s="21" t="str">
        <x:v>U069</x:v>
      </x:c>
      <x:c r="D89" s="21" t="str">
        <x:v>按资格路径</x:v>
      </x:c>
      <x:c r="E89" s="21" t="str">
        <x:v>按资格路径</x:v>
      </x:c>
      <x:c r="F89" s="24" t="n">
        <x:v>10</x:v>
      </x:c>
      <x:c r="G89" s="21" t="str">
        <x:v>同一单元可被多个课程引用；资格路径与成绩不得重复计入规则另行核对。</x:v>
      </x:c>
    </x:row>
    <x:row r="90" ht="52" customHeight="1">
      <x:c r="A90" s="20" t="str">
        <x:v>L0089</x:v>
      </x:c>
      <x:c r="B90" s="21" t="str">
        <x:v>C020</x:v>
      </x:c>
      <x:c r="C90" s="21" t="str">
        <x:v>U070</x:v>
      </x:c>
      <x:c r="D90" s="21" t="str">
        <x:v>按资格路径</x:v>
      </x:c>
      <x:c r="E90" s="21" t="str">
        <x:v>按资格路径</x:v>
      </x:c>
      <x:c r="F90" s="24" t="n">
        <x:v>20</x:v>
      </x:c>
      <x:c r="G90" s="21" t="str">
        <x:v>同一单元可被多个课程引用；资格路径与成绩不得重复计入规则另行核对。</x:v>
      </x:c>
    </x:row>
    <x:row r="91" ht="52" customHeight="1">
      <x:c r="A91" s="20" t="str">
        <x:v>L0090</x:v>
      </x:c>
      <x:c r="B91" s="21" t="str">
        <x:v>C020</x:v>
      </x:c>
      <x:c r="C91" s="21" t="str">
        <x:v>U071</x:v>
      </x:c>
      <x:c r="D91" s="21" t="str">
        <x:v>按资格路径</x:v>
      </x:c>
      <x:c r="E91" s="21" t="str">
        <x:v>按资格路径</x:v>
      </x:c>
      <x:c r="F91" s="24" t="n">
        <x:v>30</x:v>
      </x:c>
      <x:c r="G91" s="21" t="str">
        <x:v>同一单元可被多个课程引用；资格路径与成绩不得重复计入规则另行核对。</x:v>
      </x:c>
    </x:row>
    <x:row r="92" ht="52" customHeight="1">
      <x:c r="A92" s="20" t="str">
        <x:v>L0091</x:v>
      </x:c>
      <x:c r="B92" s="21" t="str">
        <x:v>C020</x:v>
      </x:c>
      <x:c r="C92" s="21" t="str">
        <x:v>U072</x:v>
      </x:c>
      <x:c r="D92" s="21" t="str">
        <x:v>按资格路径</x:v>
      </x:c>
      <x:c r="E92" s="21" t="str">
        <x:v>按资格路径</x:v>
      </x:c>
      <x:c r="F92" s="24" t="n">
        <x:v>40</x:v>
      </x:c>
      <x:c r="G92" s="21" t="str">
        <x:v>同一单元可被多个课程引用；资格路径与成绩不得重复计入规则另行核对。</x:v>
      </x:c>
    </x:row>
    <x:row r="93" ht="52" customHeight="1">
      <x:c r="A93" s="20" t="str">
        <x:v>L0092</x:v>
      </x:c>
      <x:c r="B93" s="21" t="str">
        <x:v>C020</x:v>
      </x:c>
      <x:c r="C93" s="21" t="str">
        <x:v>U073</x:v>
      </x:c>
      <x:c r="D93" s="21" t="str">
        <x:v>按资格路径</x:v>
      </x:c>
      <x:c r="E93" s="21" t="str">
        <x:v>按资格路径</x:v>
      </x:c>
      <x:c r="F93" s="24" t="n">
        <x:v>50</x:v>
      </x:c>
      <x:c r="G93" s="21" t="str">
        <x:v>同一单元可被多个课程引用；资格路径与成绩不得重复计入规则另行核对。</x:v>
      </x:c>
    </x:row>
    <x:row r="94" ht="52" customHeight="1">
      <x:c r="A94" s="20" t="str">
        <x:v>L0093</x:v>
      </x:c>
      <x:c r="B94" s="21" t="str">
        <x:v>C020</x:v>
      </x:c>
      <x:c r="C94" s="21" t="str">
        <x:v>U074</x:v>
      </x:c>
      <x:c r="D94" s="21" t="str">
        <x:v>按资格路径</x:v>
      </x:c>
      <x:c r="E94" s="21" t="str">
        <x:v>按资格路径</x:v>
      </x:c>
      <x:c r="F94" s="24" t="n">
        <x:v>60</x:v>
      </x:c>
      <x:c r="G94" s="21" t="str">
        <x:v>同一单元可被多个课程引用；资格路径与成绩不得重复计入规则另行核对。</x:v>
      </x:c>
    </x:row>
    <x:row r="95" ht="52" customHeight="1">
      <x:c r="A95" s="20" t="str">
        <x:v>L0094</x:v>
      </x:c>
      <x:c r="B95" s="21" t="str">
        <x:v>C020</x:v>
      </x:c>
      <x:c r="C95" s="21" t="str">
        <x:v>U075</x:v>
      </x:c>
      <x:c r="D95" s="21" t="str">
        <x:v>按资格路径</x:v>
      </x:c>
      <x:c r="E95" s="21" t="str">
        <x:v>按资格路径</x:v>
      </x:c>
      <x:c r="F95" s="24" t="n">
        <x:v>70</x:v>
      </x:c>
      <x:c r="G95" s="21" t="str">
        <x:v>同一单元可被多个课程引用；资格路径与成绩不得重复计入规则另行核对。</x:v>
      </x:c>
    </x:row>
    <x:row r="96" ht="52" customHeight="1">
      <x:c r="A96" s="20" t="str">
        <x:v>L0095</x:v>
      </x:c>
      <x:c r="B96" s="21" t="str">
        <x:v>C022</x:v>
      </x:c>
      <x:c r="C96" s="21" t="str">
        <x:v>U083</x:v>
      </x:c>
      <x:c r="D96" s="21" t="str">
        <x:v>依资格路径选择</x:v>
      </x:c>
      <x:c r="E96" s="21" t="str">
        <x:v>AS / AL</x:v>
      </x:c>
      <x:c r="F96" s="24" t="n">
        <x:v>10</x:v>
      </x:c>
      <x:c r="G96" s="21" t="str">
        <x:v>P2仅AS；完整AL不把六单元全部设为必修。</x:v>
      </x:c>
    </x:row>
    <x:row r="97" ht="52" customHeight="1">
      <x:c r="A97" s="20" t="str">
        <x:v>L0096</x:v>
      </x:c>
      <x:c r="B97" s="21" t="str">
        <x:v>C022</x:v>
      </x:c>
      <x:c r="C97" s="21" t="str">
        <x:v>U084</x:v>
      </x:c>
      <x:c r="D97" s="21" t="str">
        <x:v>依资格路径选择</x:v>
      </x:c>
      <x:c r="E97" s="21" t="str">
        <x:v>AS-only</x:v>
      </x:c>
      <x:c r="F97" s="24" t="n">
        <x:v>20</x:v>
      </x:c>
      <x:c r="G97" s="21" t="str">
        <x:v>P2仅AS；完整AL不把六单元全部设为必修。</x:v>
      </x:c>
    </x:row>
    <x:row r="98" ht="52" customHeight="1">
      <x:c r="A98" s="20" t="str">
        <x:v>L0097</x:v>
      </x:c>
      <x:c r="B98" s="21" t="str">
        <x:v>C022</x:v>
      </x:c>
      <x:c r="C98" s="21" t="str">
        <x:v>U085</x:v>
      </x:c>
      <x:c r="D98" s="21" t="str">
        <x:v>依资格路径选择</x:v>
      </x:c>
      <x:c r="E98" s="21" t="str">
        <x:v>AL</x:v>
      </x:c>
      <x:c r="F98" s="24" t="n">
        <x:v>30</x:v>
      </x:c>
      <x:c r="G98" s="21" t="str">
        <x:v>P2仅AS；完整AL不把六单元全部设为必修。</x:v>
      </x:c>
    </x:row>
    <x:row r="99" ht="52" customHeight="1">
      <x:c r="A99" s="20" t="str">
        <x:v>L0098</x:v>
      </x:c>
      <x:c r="B99" s="21" t="str">
        <x:v>C022</x:v>
      </x:c>
      <x:c r="C99" s="21" t="str">
        <x:v>U086</x:v>
      </x:c>
      <x:c r="D99" s="21" t="str">
        <x:v>依资格路径选择</x:v>
      </x:c>
      <x:c r="E99" s="21" t="str">
        <x:v>AS / AL</x:v>
      </x:c>
      <x:c r="F99" s="24" t="n">
        <x:v>40</x:v>
      </x:c>
      <x:c r="G99" s="21" t="str">
        <x:v>P2仅AS；完整AL不把六单元全部设为必修。</x:v>
      </x:c>
    </x:row>
    <x:row r="100" ht="52" customHeight="1">
      <x:c r="A100" s="20" t="str">
        <x:v>L0099</x:v>
      </x:c>
      <x:c r="B100" s="21" t="str">
        <x:v>C022</x:v>
      </x:c>
      <x:c r="C100" s="21" t="str">
        <x:v>U087</x:v>
      </x:c>
      <x:c r="D100" s="21" t="str">
        <x:v>依资格路径选择</x:v>
      </x:c>
      <x:c r="E100" s="21" t="str">
        <x:v>AS / AL</x:v>
      </x:c>
      <x:c r="F100" s="24" t="n">
        <x:v>50</x:v>
      </x:c>
      <x:c r="G100" s="21" t="str">
        <x:v>P2仅AS；完整AL不把六单元全部设为必修。</x:v>
      </x:c>
    </x:row>
    <x:row r="101" ht="52" customHeight="1">
      <x:c r="A101" s="20" t="str">
        <x:v>L0100</x:v>
      </x:c>
      <x:c r="B101" s="21" t="str">
        <x:v>C022</x:v>
      </x:c>
      <x:c r="C101" s="21" t="str">
        <x:v>U088</x:v>
      </x:c>
      <x:c r="D101" s="21" t="str">
        <x:v>依资格路径选择</x:v>
      </x:c>
      <x:c r="E101" s="21" t="str">
        <x:v>AL</x:v>
      </x:c>
      <x:c r="F101" s="24" t="n">
        <x:v>60</x:v>
      </x:c>
      <x:c r="G101" s="21" t="str">
        <x:v>P2仅AS；完整AL不把六单元全部设为必修。</x:v>
      </x:c>
    </x:row>
    <x:row r="102" ht="52" customHeight="1">
      <x:c r="A102" s="20" t="str">
        <x:v>L0101</x:v>
      </x:c>
      <x:c r="B102" s="21" t="str">
        <x:v>C023</x:v>
      </x:c>
      <x:c r="C102" s="21" t="str">
        <x:v>U089</x:v>
      </x:c>
      <x:c r="D102" s="21" t="str">
        <x:v>依资格路径选择</x:v>
      </x:c>
      <x:c r="E102" s="21" t="str">
        <x:v>AS / AL</x:v>
      </x:c>
      <x:c r="F102" s="24" t="n">
        <x:v>10</x:v>
      </x:c>
      <x:c r="G102" s="21" t="str">
        <x:v>课程可用单元关系；最终组合以资格出口及原大纲确认</x:v>
      </x:c>
    </x:row>
    <x:row r="103" ht="52" customHeight="1">
      <x:c r="A103" s="20" t="str">
        <x:v>L0102</x:v>
      </x:c>
      <x:c r="B103" s="21" t="str">
        <x:v>C023</x:v>
      </x:c>
      <x:c r="C103" s="21" t="str">
        <x:v>U090</x:v>
      </x:c>
      <x:c r="D103" s="21" t="str">
        <x:v>依资格路径选择</x:v>
      </x:c>
      <x:c r="E103" s="21" t="str">
        <x:v>AL</x:v>
      </x:c>
      <x:c r="F103" s="24" t="n">
        <x:v>20</x:v>
      </x:c>
      <x:c r="G103" s="21" t="str">
        <x:v>课程可用单元关系；最终组合以资格出口及原大纲确认</x:v>
      </x:c>
    </x:row>
    <x:row r="104" ht="52" customHeight="1">
      <x:c r="A104" s="20" t="str">
        <x:v>L0103</x:v>
      </x:c>
      <x:c r="B104" s="21" t="str">
        <x:v>C023</x:v>
      </x:c>
      <x:c r="C104" s="21" t="str">
        <x:v>U091</x:v>
      </x:c>
      <x:c r="D104" s="21" t="str">
        <x:v>依资格路径选择</x:v>
      </x:c>
      <x:c r="E104" s="21" t="str">
        <x:v>AS / AL</x:v>
      </x:c>
      <x:c r="F104" s="24" t="n">
        <x:v>30</x:v>
      </x:c>
      <x:c r="G104" s="21" t="str">
        <x:v>课程可用单元关系；最终组合以资格出口及原大纲确认</x:v>
      </x:c>
    </x:row>
    <x:row r="105" ht="52" customHeight="1">
      <x:c r="A105" s="20" t="str">
        <x:v>L0104</x:v>
      </x:c>
      <x:c r="B105" s="21" t="str">
        <x:v>C023</x:v>
      </x:c>
      <x:c r="C105" s="21" t="str">
        <x:v>U092</x:v>
      </x:c>
      <x:c r="D105" s="21" t="str">
        <x:v>依资格路径选择</x:v>
      </x:c>
      <x:c r="E105" s="21" t="str">
        <x:v>AS / AL</x:v>
      </x:c>
      <x:c r="F105" s="24" t="n">
        <x:v>40</x:v>
      </x:c>
      <x:c r="G105" s="21" t="str">
        <x:v>课程可用单元关系；最终组合以资格出口及原大纲确认</x:v>
      </x:c>
    </x:row>
    <x:row r="106" ht="52" customHeight="1">
      <x:c r="A106" s="20" t="str">
        <x:v>L0105</x:v>
      </x:c>
      <x:c r="B106" s="21" t="str">
        <x:v>C024</x:v>
      </x:c>
      <x:c r="C106" s="21" t="str">
        <x:v>U093</x:v>
      </x:c>
      <x:c r="D106" s="21" t="str">
        <x:v>校内选定教学划分</x:v>
      </x:c>
      <x:c r="E106" s="21" t="str">
        <x:v>全程</x:v>
      </x:c>
      <x:c r="F106" s="24" t="n">
        <x:v>10</x:v>
      </x:c>
      <x:c r="G106" s="21" t="str">
        <x:v>本示例采用该教学板块；不表示学校必须按此分课，也不参与资格自动兑换。</x:v>
      </x:c>
    </x:row>
    <x:row r="107" ht="52" customHeight="1">
      <x:c r="A107" s="20" t="str">
        <x:v>L0106</x:v>
      </x:c>
      <x:c r="B107" s="21" t="str">
        <x:v>C024</x:v>
      </x:c>
      <x:c r="C107" s="21" t="str">
        <x:v>U094</x:v>
      </x:c>
      <x:c r="D107" s="21" t="str">
        <x:v>校内选定教学划分</x:v>
      </x:c>
      <x:c r="E107" s="21" t="str">
        <x:v>全程</x:v>
      </x:c>
      <x:c r="F107" s="24" t="n">
        <x:v>20</x:v>
      </x:c>
      <x:c r="G107" s="21" t="str">
        <x:v>本示例采用该教学板块；不表示学校必须按此分课，也不参与资格自动兑换。</x:v>
      </x:c>
    </x:row>
    <x:row r="108" ht="52" customHeight="1">
      <x:c r="A108" s="20" t="str">
        <x:v>L0107</x:v>
      </x:c>
      <x:c r="B108" s="21" t="str">
        <x:v>C024</x:v>
      </x:c>
      <x:c r="C108" s="21" t="str">
        <x:v>U095</x:v>
      </x:c>
      <x:c r="D108" s="21" t="str">
        <x:v>校内选定教学划分</x:v>
      </x:c>
      <x:c r="E108" s="21" t="str">
        <x:v>全程</x:v>
      </x:c>
      <x:c r="F108" s="24" t="n">
        <x:v>30</x:v>
      </x:c>
      <x:c r="G108" s="21" t="str">
        <x:v>本示例采用该教学板块；不表示学校必须按此分课，也不参与资格自动兑换。</x:v>
      </x:c>
    </x:row>
    <x:row r="109" ht="52" customHeight="1">
      <x:c r="A109" s="20" t="str">
        <x:v>L0108</x:v>
      </x:c>
      <x:c r="B109" s="21" t="str">
        <x:v>C024</x:v>
      </x:c>
      <x:c r="C109" s="21" t="str">
        <x:v>U096</x:v>
      </x:c>
      <x:c r="D109" s="21" t="str">
        <x:v>校内选定教学划分</x:v>
      </x:c>
      <x:c r="E109" s="21" t="str">
        <x:v>全程</x:v>
      </x:c>
      <x:c r="F109" s="24" t="n">
        <x:v>40</x:v>
      </x:c>
      <x:c r="G109" s="21" t="str">
        <x:v>本示例采用该教学板块；不表示学校必须按此分课，也不参与资格自动兑换。</x:v>
      </x:c>
    </x:row>
    <x:row r="110" ht="52" customHeight="1">
      <x:c r="A110" s="20" t="str">
        <x:v>L0109</x:v>
      </x:c>
      <x:c r="B110" s="21" t="str">
        <x:v>C025</x:v>
      </x:c>
      <x:c r="C110" s="21" t="str">
        <x:v>U097</x:v>
      </x:c>
      <x:c r="D110" s="21" t="str">
        <x:v>校内选定教学划分</x:v>
      </x:c>
      <x:c r="E110" s="21" t="str">
        <x:v>全程</x:v>
      </x:c>
      <x:c r="F110" s="24" t="n">
        <x:v>10</x:v>
      </x:c>
      <x:c r="G110" s="21" t="str">
        <x:v>本示例采用该教学板块；不表示学校必须按此分课，也不参与资格自动兑换。</x:v>
      </x:c>
    </x:row>
    <x:row r="111" ht="52" customHeight="1">
      <x:c r="A111" s="20" t="str">
        <x:v>L0110</x:v>
      </x:c>
      <x:c r="B111" s="21" t="str">
        <x:v>C025</x:v>
      </x:c>
      <x:c r="C111" s="21" t="str">
        <x:v>U098</x:v>
      </x:c>
      <x:c r="D111" s="21" t="str">
        <x:v>校内选定教学划分</x:v>
      </x:c>
      <x:c r="E111" s="21" t="str">
        <x:v>全程</x:v>
      </x:c>
      <x:c r="F111" s="24" t="n">
        <x:v>20</x:v>
      </x:c>
      <x:c r="G111" s="21" t="str">
        <x:v>本示例采用该教学板块；不表示学校必须按此分课，也不参与资格自动兑换。</x:v>
      </x:c>
    </x:row>
    <x:row r="112" ht="52" customHeight="1">
      <x:c r="A112" s="20" t="str">
        <x:v>L0111</x:v>
      </x:c>
      <x:c r="B112" s="21" t="str">
        <x:v>C025</x:v>
      </x:c>
      <x:c r="C112" s="21" t="str">
        <x:v>U099</x:v>
      </x:c>
      <x:c r="D112" s="21" t="str">
        <x:v>校内选定教学划分</x:v>
      </x:c>
      <x:c r="E112" s="21" t="str">
        <x:v>全程</x:v>
      </x:c>
      <x:c r="F112" s="24" t="n">
        <x:v>30</x:v>
      </x:c>
      <x:c r="G112" s="21" t="str">
        <x:v>本示例采用该教学板块；不表示学校必须按此分课，也不参与资格自动兑换。</x:v>
      </x:c>
    </x:row>
    <x:row r="113" ht="52" customHeight="1">
      <x:c r="A113" s="20" t="str">
        <x:v>L0112</x:v>
      </x:c>
      <x:c r="B113" s="21" t="str">
        <x:v>C026</x:v>
      </x:c>
      <x:c r="C113" s="21" t="str">
        <x:v>U100</x:v>
      </x:c>
      <x:c r="D113" s="21" t="str">
        <x:v>校内选定教学划分</x:v>
      </x:c>
      <x:c r="E113" s="21" t="str">
        <x:v>全程</x:v>
      </x:c>
      <x:c r="F113" s="24" t="n">
        <x:v>10</x:v>
      </x:c>
      <x:c r="G113" s="21" t="str">
        <x:v>本示例采用该教学板块；不表示学校必须按此分课，也不参与资格自动兑换。</x:v>
      </x:c>
    </x:row>
    <x:row r="114" ht="52" customHeight="1">
      <x:c r="A114" s="20" t="str">
        <x:v>L0113</x:v>
      </x:c>
      <x:c r="B114" s="21" t="str">
        <x:v>C026</x:v>
      </x:c>
      <x:c r="C114" s="21" t="str">
        <x:v>U101</x:v>
      </x:c>
      <x:c r="D114" s="21" t="str">
        <x:v>校内选定教学划分</x:v>
      </x:c>
      <x:c r="E114" s="21" t="str">
        <x:v>全程</x:v>
      </x:c>
      <x:c r="F114" s="24" t="n">
        <x:v>20</x:v>
      </x:c>
      <x:c r="G114" s="21" t="str">
        <x:v>本示例采用该教学板块；不表示学校必须按此分课，也不参与资格自动兑换。</x:v>
      </x:c>
    </x:row>
    <x:row r="115" ht="52" customHeight="1">
      <x:c r="A115" s="20" t="str">
        <x:v>L0114</x:v>
      </x:c>
      <x:c r="B115" s="21" t="str">
        <x:v>C026</x:v>
      </x:c>
      <x:c r="C115" s="21" t="str">
        <x:v>U102</x:v>
      </x:c>
      <x:c r="D115" s="21" t="str">
        <x:v>校内选定教学划分</x:v>
      </x:c>
      <x:c r="E115" s="21" t="str">
        <x:v>全程</x:v>
      </x:c>
      <x:c r="F115" s="24" t="n">
        <x:v>30</x:v>
      </x:c>
      <x:c r="G115" s="21" t="str">
        <x:v>本示例采用该教学板块；不表示学校必须按此分课，也不参与资格自动兑换。</x:v>
      </x:c>
    </x:row>
    <x:row r="116" ht="52" customHeight="1">
      <x:c r="A116" s="20" t="str">
        <x:v>L0115</x:v>
      </x:c>
      <x:c r="B116" s="21" t="str">
        <x:v>C027</x:v>
      </x:c>
      <x:c r="C116" s="21" t="str">
        <x:v>U103</x:v>
      </x:c>
      <x:c r="D116" s="21" t="str">
        <x:v>校内选定教学划分</x:v>
      </x:c>
      <x:c r="E116" s="21" t="str">
        <x:v>全程</x:v>
      </x:c>
      <x:c r="F116" s="24" t="n">
        <x:v>10</x:v>
      </x:c>
      <x:c r="G116" s="21" t="str">
        <x:v>本示例采用该教学板块；不表示学校必须按此分课，也不参与资格自动兑换。</x:v>
      </x:c>
    </x:row>
    <x:row r="117" ht="52" customHeight="1">
      <x:c r="A117" s="20" t="str">
        <x:v>L0116</x:v>
      </x:c>
      <x:c r="B117" s="21" t="str">
        <x:v>C027</x:v>
      </x:c>
      <x:c r="C117" s="21" t="str">
        <x:v>U104</x:v>
      </x:c>
      <x:c r="D117" s="21" t="str">
        <x:v>校内选定教学划分</x:v>
      </x:c>
      <x:c r="E117" s="21" t="str">
        <x:v>全程</x:v>
      </x:c>
      <x:c r="F117" s="24" t="n">
        <x:v>20</x:v>
      </x:c>
      <x:c r="G117" s="21" t="str">
        <x:v>本示例采用该教学板块；不表示学校必须按此分课，也不参与资格自动兑换。</x:v>
      </x:c>
    </x:row>
    <x:row r="118" ht="52" customHeight="1">
      <x:c r="A118" s="20" t="str">
        <x:v>L0117</x:v>
      </x:c>
      <x:c r="B118" s="21" t="str">
        <x:v>C027</x:v>
      </x:c>
      <x:c r="C118" s="21" t="str">
        <x:v>U105</x:v>
      </x:c>
      <x:c r="D118" s="21" t="str">
        <x:v>校内选定教学划分</x:v>
      </x:c>
      <x:c r="E118" s="21" t="str">
        <x:v>全程</x:v>
      </x:c>
      <x:c r="F118" s="24" t="n">
        <x:v>30</x:v>
      </x:c>
      <x:c r="G118" s="21" t="str">
        <x:v>本示例采用该教学板块；不表示学校必须按此分课，也不参与资格自动兑换。</x:v>
      </x:c>
    </x:row>
    <x:row r="119" ht="52" customHeight="1">
      <x:c r="A119" s="20" t="str">
        <x:v>L0118</x:v>
      </x:c>
      <x:c r="B119" s="21" t="str">
        <x:v>C028</x:v>
      </x:c>
      <x:c r="C119" s="21" t="str">
        <x:v>U106</x:v>
      </x:c>
      <x:c r="D119" s="21" t="str">
        <x:v>校内选定教学划分</x:v>
      </x:c>
      <x:c r="E119" s="21" t="str">
        <x:v>全程</x:v>
      </x:c>
      <x:c r="F119" s="24" t="n">
        <x:v>10</x:v>
      </x:c>
      <x:c r="G119" s="21" t="str">
        <x:v>本示例采用该教学板块；不表示学校必须按此分课，也不参与资格自动兑换。</x:v>
      </x:c>
    </x:row>
    <x:row r="120" ht="52" customHeight="1">
      <x:c r="A120" s="20" t="str">
        <x:v>L0119</x:v>
      </x:c>
      <x:c r="B120" s="21" t="str">
        <x:v>C028</x:v>
      </x:c>
      <x:c r="C120" s="21" t="str">
        <x:v>U107</x:v>
      </x:c>
      <x:c r="D120" s="21" t="str">
        <x:v>校内选定教学划分</x:v>
      </x:c>
      <x:c r="E120" s="21" t="str">
        <x:v>全程</x:v>
      </x:c>
      <x:c r="F120" s="24" t="n">
        <x:v>20</x:v>
      </x:c>
      <x:c r="G120" s="21" t="str">
        <x:v>本示例采用该教学板块；不表示学校必须按此分课，也不参与资格自动兑换。</x:v>
      </x:c>
    </x:row>
    <x:row r="121" ht="52" customHeight="1">
      <x:c r="A121" s="20" t="str">
        <x:v>L0120</x:v>
      </x:c>
      <x:c r="B121" s="21" t="str">
        <x:v>C029</x:v>
      </x:c>
      <x:c r="C121" s="21" t="str">
        <x:v>U108</x:v>
      </x:c>
      <x:c r="D121" s="21" t="str">
        <x:v>校内选定教学划分</x:v>
      </x:c>
      <x:c r="E121" s="21" t="str">
        <x:v>全程</x:v>
      </x:c>
      <x:c r="F121" s="24" t="n">
        <x:v>10</x:v>
      </x:c>
      <x:c r="G121" s="21" t="str">
        <x:v>本示例采用该教学板块；不表示学校必须按此分课，也不参与资格自动兑换。</x:v>
      </x:c>
    </x:row>
    <x:row r="122" ht="52" customHeight="1">
      <x:c r="A122" s="20" t="str">
        <x:v>L0121</x:v>
      </x:c>
      <x:c r="B122" s="21" t="str">
        <x:v>C029</x:v>
      </x:c>
      <x:c r="C122" s="21" t="str">
        <x:v>U109</x:v>
      </x:c>
      <x:c r="D122" s="21" t="str">
        <x:v>校内选定教学划分</x:v>
      </x:c>
      <x:c r="E122" s="21" t="str">
        <x:v>全程</x:v>
      </x:c>
      <x:c r="F122" s="24" t="n">
        <x:v>20</x:v>
      </x:c>
      <x:c r="G122" s="21" t="str">
        <x:v>本示例采用该教学板块；不表示学校必须按此分课，也不参与资格自动兑换。</x:v>
      </x:c>
    </x:row>
    <x:row r="123" ht="52" customHeight="1">
      <x:c r="A123" s="20" t="str">
        <x:v>L0122</x:v>
      </x:c>
      <x:c r="B123" s="21" t="str">
        <x:v>C030</x:v>
      </x:c>
      <x:c r="C123" s="21" t="str">
        <x:v>U110</x:v>
      </x:c>
      <x:c r="D123" s="21" t="str">
        <x:v>校内选定教学划分</x:v>
      </x:c>
      <x:c r="E123" s="21" t="str">
        <x:v>全程</x:v>
      </x:c>
      <x:c r="F123" s="24" t="n">
        <x:v>10</x:v>
      </x:c>
      <x:c r="G123" s="21" t="str">
        <x:v>本示例采用该教学板块；不表示学校必须按此分课，也不参与资格自动兑换。</x:v>
      </x:c>
    </x:row>
    <x:row r="124" ht="52" customHeight="1">
      <x:c r="A124" s="20" t="str">
        <x:v>L0123</x:v>
      </x:c>
      <x:c r="B124" s="21" t="str">
        <x:v>C030</x:v>
      </x:c>
      <x:c r="C124" s="21" t="str">
        <x:v>U111</x:v>
      </x:c>
      <x:c r="D124" s="21" t="str">
        <x:v>校内选定教学划分</x:v>
      </x:c>
      <x:c r="E124" s="21" t="str">
        <x:v>全程</x:v>
      </x:c>
      <x:c r="F124" s="24" t="n">
        <x:v>20</x:v>
      </x:c>
      <x:c r="G124" s="21" t="str">
        <x:v>本示例采用该教学板块；不表示学校必须按此分课，也不参与资格自动兑换。</x:v>
      </x:c>
    </x:row>
    <x:row r="125" ht="52" customHeight="1">
      <x:c r="A125" s="20" t="str">
        <x:v>L0124</x:v>
      </x:c>
      <x:c r="B125" s="21" t="str">
        <x:v>C031</x:v>
      </x:c>
      <x:c r="C125" s="21" t="str">
        <x:v>U112</x:v>
      </x:c>
      <x:c r="D125" s="21" t="str">
        <x:v>校内选定教学划分</x:v>
      </x:c>
      <x:c r="E125" s="21" t="str">
        <x:v>全程</x:v>
      </x:c>
      <x:c r="F125" s="24" t="n">
        <x:v>10</x:v>
      </x:c>
      <x:c r="G125" s="21" t="str">
        <x:v>本示例采用该教学板块；不表示学校必须按此分课，也不参与资格自动兑换。</x:v>
      </x:c>
    </x:row>
    <x:row r="126" ht="52" customHeight="1">
      <x:c r="A126" s="20" t="str">
        <x:v>L0125</x:v>
      </x:c>
      <x:c r="B126" s="21" t="str">
        <x:v>C031</x:v>
      </x:c>
      <x:c r="C126" s="21" t="str">
        <x:v>U113</x:v>
      </x:c>
      <x:c r="D126" s="21" t="str">
        <x:v>校内选定教学划分</x:v>
      </x:c>
      <x:c r="E126" s="21" t="str">
        <x:v>全程</x:v>
      </x:c>
      <x:c r="F126" s="24" t="n">
        <x:v>20</x:v>
      </x:c>
      <x:c r="G126" s="21" t="str">
        <x:v>本示例采用该教学板块；不表示学校必须按此分课，也不参与资格自动兑换。</x:v>
      </x:c>
    </x:row>
    <x:row r="127" ht="52" customHeight="1">
      <x:c r="A127" s="20" t="str">
        <x:v>L0126</x:v>
      </x:c>
      <x:c r="B127" s="21" t="str">
        <x:v>C032</x:v>
      </x:c>
      <x:c r="C127" s="21" t="str">
        <x:v>U114</x:v>
      </x:c>
      <x:c r="D127" s="21" t="str">
        <x:v>依资格出口选择</x:v>
      </x:c>
      <x:c r="E127" s="21" t="str">
        <x:v>AS</x:v>
      </x:c>
      <x:c r="F127" s="24" t="n">
        <x:v>10</x:v>
      </x:c>
      <x:c r="G127" s="21" t="str">
        <x:v>按资格组合安排；数学M2/S2二选一，不因池内有五项而强制全学。</x:v>
      </x:c>
    </x:row>
    <x:row r="128" ht="52" customHeight="1">
      <x:c r="A128" s="20" t="str">
        <x:v>L0127</x:v>
      </x:c>
      <x:c r="B128" s="21" t="str">
        <x:v>C032</x:v>
      </x:c>
      <x:c r="C128" s="21" t="str">
        <x:v>U115</x:v>
      </x:c>
      <x:c r="D128" s="21" t="str">
        <x:v>依资格出口选择</x:v>
      </x:c>
      <x:c r="E128" s="21" t="str">
        <x:v>AS</x:v>
      </x:c>
      <x:c r="F128" s="24" t="n">
        <x:v>20</x:v>
      </x:c>
      <x:c r="G128" s="21" t="str">
        <x:v>按资格组合安排；数学M2/S2二选一，不因池内有五项而强制全学。</x:v>
      </x:c>
    </x:row>
    <x:row r="129" ht="52" customHeight="1">
      <x:c r="A129" s="20" t="str">
        <x:v>L0128</x:v>
      </x:c>
      <x:c r="B129" s="21" t="str">
        <x:v>C032</x:v>
      </x:c>
      <x:c r="C129" s="21" t="str">
        <x:v>U116</x:v>
      </x:c>
      <x:c r="D129" s="21" t="str">
        <x:v>依资格出口选择</x:v>
      </x:c>
      <x:c r="E129" s="21" t="str">
        <x:v>A2</x:v>
      </x:c>
      <x:c r="F129" s="24" t="n">
        <x:v>30</x:v>
      </x:c>
      <x:c r="G129" s="21" t="str">
        <x:v>按资格组合安排；数学M2/S2二选一，不因池内有五项而强制全学。</x:v>
      </x:c>
    </x:row>
    <x:row r="130" ht="52" customHeight="1">
      <x:c r="A130" s="20" t="str">
        <x:v>L0129</x:v>
      </x:c>
      <x:c r="B130" s="21" t="str">
        <x:v>C032</x:v>
      </x:c>
      <x:c r="C130" s="21" t="str">
        <x:v>U117</x:v>
      </x:c>
      <x:c r="D130" s="21" t="str">
        <x:v>依资格出口选择</x:v>
      </x:c>
      <x:c r="E130" s="21" t="str">
        <x:v>A2</x:v>
      </x:c>
      <x:c r="F130" s="24" t="n">
        <x:v>40</x:v>
      </x:c>
      <x:c r="G130" s="21" t="str">
        <x:v>按资格组合安排；数学M2/S2二选一，不因池内有五项而强制全学。</x:v>
      </x:c>
    </x:row>
    <x:row r="131" ht="52" customHeight="1">
      <x:c r="A131" s="20" t="str">
        <x:v>L0130</x:v>
      </x:c>
      <x:c r="B131" s="21" t="str">
        <x:v>C032</x:v>
      </x:c>
      <x:c r="C131" s="21" t="str">
        <x:v>U118</x:v>
      </x:c>
      <x:c r="D131" s="21" t="str">
        <x:v>依资格出口选择</x:v>
      </x:c>
      <x:c r="E131" s="21" t="str">
        <x:v>A2</x:v>
      </x:c>
      <x:c r="F131" s="24" t="n">
        <x:v>50</x:v>
      </x:c>
      <x:c r="G131" s="21" t="str">
        <x:v>按资格组合安排；数学M2/S2二选一，不因池内有五项而强制全学。</x:v>
      </x:c>
    </x:row>
    <x:row r="132" ht="52" customHeight="1">
      <x:c r="A132" s="20" t="str">
        <x:v>L0131</x:v>
      </x:c>
      <x:c r="B132" s="21" t="str">
        <x:v>C033</x:v>
      </x:c>
      <x:c r="C132" s="21" t="str">
        <x:v>U119</x:v>
      </x:c>
      <x:c r="D132" s="21" t="str">
        <x:v>依资格出口选择</x:v>
      </x:c>
      <x:c r="E132" s="21" t="str">
        <x:v>AS</x:v>
      </x:c>
      <x:c r="F132" s="24" t="n">
        <x:v>10</x:v>
      </x:c>
      <x:c r="G132" s="21" t="str">
        <x:v>全AL包含AS和A2；综合项不制造重复大纲要求。</x:v>
      </x:c>
    </x:row>
    <x:row r="133" ht="52" customHeight="1">
      <x:c r="A133" s="20" t="str">
        <x:v>L0132</x:v>
      </x:c>
      <x:c r="B133" s="21" t="str">
        <x:v>C033</x:v>
      </x:c>
      <x:c r="C133" s="21" t="str">
        <x:v>U120</x:v>
      </x:c>
      <x:c r="D133" s="21" t="str">
        <x:v>依资格出口选择</x:v>
      </x:c>
      <x:c r="E133" s="21" t="str">
        <x:v>AS</x:v>
      </x:c>
      <x:c r="F133" s="24" t="n">
        <x:v>20</x:v>
      </x:c>
      <x:c r="G133" s="21" t="str">
        <x:v>全AL包含AS和A2；综合项不制造重复大纲要求。</x:v>
      </x:c>
    </x:row>
    <x:row r="134" ht="52" customHeight="1">
      <x:c r="A134" s="20" t="str">
        <x:v>L0133</x:v>
      </x:c>
      <x:c r="B134" s="21" t="str">
        <x:v>C033</x:v>
      </x:c>
      <x:c r="C134" s="21" t="str">
        <x:v>U121</x:v>
      </x:c>
      <x:c r="D134" s="21" t="str">
        <x:v>依资格出口选择</x:v>
      </x:c>
      <x:c r="E134" s="21" t="str">
        <x:v>A2</x:v>
      </x:c>
      <x:c r="F134" s="24" t="n">
        <x:v>30</x:v>
      </x:c>
      <x:c r="G134" s="21" t="str">
        <x:v>全AL包含AS和A2；综合项不制造重复大纲要求。</x:v>
      </x:c>
    </x:row>
    <x:row r="135" ht="52" customHeight="1">
      <x:c r="A135" s="20" t="str">
        <x:v>L0134</x:v>
      </x:c>
      <x:c r="B135" s="21" t="str">
        <x:v>C033</x:v>
      </x:c>
      <x:c r="C135" s="21" t="str">
        <x:v>U122</x:v>
      </x:c>
      <x:c r="D135" s="21" t="str">
        <x:v>依资格出口选择</x:v>
      </x:c>
      <x:c r="E135" s="21" t="str">
        <x:v>A2</x:v>
      </x:c>
      <x:c r="F135" s="24" t="n">
        <x:v>40</x:v>
      </x:c>
      <x:c r="G135" s="21" t="str">
        <x:v>全AL包含AS和A2；综合项不制造重复大纲要求。</x:v>
      </x:c>
    </x:row>
    <x:row r="136" ht="52" customHeight="1">
      <x:c r="A136" s="20" t="str">
        <x:v>L0135</x:v>
      </x:c>
      <x:c r="B136" s="21" t="str">
        <x:v>C033</x:v>
      </x:c>
      <x:c r="C136" s="21" t="str">
        <x:v>U123</x:v>
      </x:c>
      <x:c r="D136" s="21" t="str">
        <x:v>依资格出口选择</x:v>
      </x:c>
      <x:c r="E136" s="21" t="str">
        <x:v>A2</x:v>
      </x:c>
      <x:c r="F136" s="24" t="n">
        <x:v>50</x:v>
      </x:c>
      <x:c r="G136" s="21" t="str">
        <x:v>全AL包含AS和A2；综合项不制造重复大纲要求。</x:v>
      </x:c>
    </x:row>
    <x:row r="137" ht="52" customHeight="1">
      <x:c r="A137" s="20" t="str">
        <x:v>L0136</x:v>
      </x:c>
      <x:c r="B137" s="21" t="str">
        <x:v>C034</x:v>
      </x:c>
      <x:c r="C137" s="21" t="str">
        <x:v>U124</x:v>
      </x:c>
      <x:c r="D137" s="21" t="str">
        <x:v>依资格出口选择</x:v>
      </x:c>
      <x:c r="E137" s="21" t="str">
        <x:v>AS</x:v>
      </x:c>
      <x:c r="F137" s="24" t="n">
        <x:v>10</x:v>
      </x:c>
      <x:c r="G137" s="21" t="str">
        <x:v>全AL包含AS和A2；综合项不制造重复大纲要求。</x:v>
      </x:c>
    </x:row>
    <x:row r="138" ht="52" customHeight="1">
      <x:c r="A138" s="20" t="str">
        <x:v>L0137</x:v>
      </x:c>
      <x:c r="B138" s="21" t="str">
        <x:v>C034</x:v>
      </x:c>
      <x:c r="C138" s="21" t="str">
        <x:v>U125</x:v>
      </x:c>
      <x:c r="D138" s="21" t="str">
        <x:v>依资格出口选择</x:v>
      </x:c>
      <x:c r="E138" s="21" t="str">
        <x:v>AS</x:v>
      </x:c>
      <x:c r="F138" s="24" t="n">
        <x:v>20</x:v>
      </x:c>
      <x:c r="G138" s="21" t="str">
        <x:v>全AL包含AS和A2；综合项不制造重复大纲要求。</x:v>
      </x:c>
    </x:row>
    <x:row r="139" ht="52" customHeight="1">
      <x:c r="A139" s="20" t="str">
        <x:v>L0138</x:v>
      </x:c>
      <x:c r="B139" s="21" t="str">
        <x:v>C034</x:v>
      </x:c>
      <x:c r="C139" s="21" t="str">
        <x:v>U126</x:v>
      </x:c>
      <x:c r="D139" s="21" t="str">
        <x:v>依资格出口选择</x:v>
      </x:c>
      <x:c r="E139" s="21" t="str">
        <x:v>A2</x:v>
      </x:c>
      <x:c r="F139" s="24" t="n">
        <x:v>30</x:v>
      </x:c>
      <x:c r="G139" s="21" t="str">
        <x:v>全AL包含AS和A2；综合项不制造重复大纲要求。</x:v>
      </x:c>
    </x:row>
    <x:row r="140" ht="52" customHeight="1">
      <x:c r="A140" s="20" t="str">
        <x:v>L0139</x:v>
      </x:c>
      <x:c r="B140" s="21" t="str">
        <x:v>C034</x:v>
      </x:c>
      <x:c r="C140" s="21" t="str">
        <x:v>U127</x:v>
      </x:c>
      <x:c r="D140" s="21" t="str">
        <x:v>依资格出口选择</x:v>
      </x:c>
      <x:c r="E140" s="21" t="str">
        <x:v>A2</x:v>
      </x:c>
      <x:c r="F140" s="24" t="n">
        <x:v>40</x:v>
      </x:c>
      <x:c r="G140" s="21" t="str">
        <x:v>全AL包含AS和A2；综合项不制造重复大纲要求。</x:v>
      </x:c>
    </x:row>
    <x:row r="141" ht="52" customHeight="1">
      <x:c r="A141" s="20" t="str">
        <x:v>L0140</x:v>
      </x:c>
      <x:c r="B141" s="21" t="str">
        <x:v>C034</x:v>
      </x:c>
      <x:c r="C141" s="21" t="str">
        <x:v>U128</x:v>
      </x:c>
      <x:c r="D141" s="21" t="str">
        <x:v>依资格出口选择</x:v>
      </x:c>
      <x:c r="E141" s="21" t="str">
        <x:v>A2</x:v>
      </x:c>
      <x:c r="F141" s="24" t="n">
        <x:v>50</x:v>
      </x:c>
      <x:c r="G141" s="21" t="str">
        <x:v>全AL包含AS和A2；综合项不制造重复大纲要求。</x:v>
      </x:c>
    </x:row>
    <x:row r="142" ht="52" customHeight="1">
      <x:c r="A142" s="20" t="str">
        <x:v>L0141</x:v>
      </x:c>
      <x:c r="B142" s="21" t="str">
        <x:v>C035</x:v>
      </x:c>
      <x:c r="C142" s="21" t="str">
        <x:v>U129</x:v>
      </x:c>
      <x:c r="D142" s="21" t="str">
        <x:v>依资格出口选择</x:v>
      </x:c>
      <x:c r="E142" s="21" t="str">
        <x:v>AS</x:v>
      </x:c>
      <x:c r="F142" s="24" t="n">
        <x:v>10</x:v>
      </x:c>
      <x:c r="G142" s="21" t="str">
        <x:v>全AL包含AS和A2；综合项不制造重复大纲要求。</x:v>
      </x:c>
    </x:row>
    <x:row r="143" ht="52" customHeight="1">
      <x:c r="A143" s="20" t="str">
        <x:v>L0142</x:v>
      </x:c>
      <x:c r="B143" s="21" t="str">
        <x:v>C035</x:v>
      </x:c>
      <x:c r="C143" s="21" t="str">
        <x:v>U130</x:v>
      </x:c>
      <x:c r="D143" s="21" t="str">
        <x:v>依资格出口选择</x:v>
      </x:c>
      <x:c r="E143" s="21" t="str">
        <x:v>AS</x:v>
      </x:c>
      <x:c r="F143" s="24" t="n">
        <x:v>20</x:v>
      </x:c>
      <x:c r="G143" s="21" t="str">
        <x:v>全AL包含AS和A2；综合项不制造重复大纲要求。</x:v>
      </x:c>
    </x:row>
    <x:row r="144" ht="52" customHeight="1">
      <x:c r="A144" s="20" t="str">
        <x:v>L0143</x:v>
      </x:c>
      <x:c r="B144" s="21" t="str">
        <x:v>C035</x:v>
      </x:c>
      <x:c r="C144" s="21" t="str">
        <x:v>U131</x:v>
      </x:c>
      <x:c r="D144" s="21" t="str">
        <x:v>依资格出口选择</x:v>
      </x:c>
      <x:c r="E144" s="21" t="str">
        <x:v>A2</x:v>
      </x:c>
      <x:c r="F144" s="24" t="n">
        <x:v>30</x:v>
      </x:c>
      <x:c r="G144" s="21" t="str">
        <x:v>全AL包含AS和A2；综合项不制造重复大纲要求。</x:v>
      </x:c>
    </x:row>
    <x:row r="145" ht="52" customHeight="1">
      <x:c r="A145" s="20" t="str">
        <x:v>L0144</x:v>
      </x:c>
      <x:c r="B145" s="21" t="str">
        <x:v>C035</x:v>
      </x:c>
      <x:c r="C145" s="21" t="str">
        <x:v>U132</x:v>
      </x:c>
      <x:c r="D145" s="21" t="str">
        <x:v>依资格出口选择</x:v>
      </x:c>
      <x:c r="E145" s="21" t="str">
        <x:v>A2</x:v>
      </x:c>
      <x:c r="F145" s="24" t="n">
        <x:v>40</x:v>
      </x:c>
      <x:c r="G145" s="21" t="str">
        <x:v>全AL包含AS和A2；综合项不制造重复大纲要求。</x:v>
      </x:c>
    </x:row>
    <x:row r="146" ht="52" customHeight="1">
      <x:c r="A146" s="20" t="str">
        <x:v>L0145</x:v>
      </x:c>
      <x:c r="B146" s="21" t="str">
        <x:v>C035</x:v>
      </x:c>
      <x:c r="C146" s="21" t="str">
        <x:v>U133</x:v>
      </x:c>
      <x:c r="D146" s="21" t="str">
        <x:v>依资格出口选择</x:v>
      </x:c>
      <x:c r="E146" s="21" t="str">
        <x:v>A2</x:v>
      </x:c>
      <x:c r="F146" s="24" t="n">
        <x:v>50</x:v>
      </x:c>
      <x:c r="G146" s="21" t="str">
        <x:v>全AL包含AS和A2；综合项不制造重复大纲要求。</x:v>
      </x:c>
    </x:row>
    <x:row r="147" ht="52" customHeight="1">
      <x:c r="A147" s="20" t="str">
        <x:v>L0146</x:v>
      </x:c>
      <x:c r="B147" s="21" t="str">
        <x:v>C036</x:v>
      </x:c>
      <x:c r="C147" s="21" t="str">
        <x:v>U134</x:v>
      </x:c>
      <x:c r="D147" s="21" t="str">
        <x:v>校内选定教学划分</x:v>
      </x:c>
      <x:c r="E147" s="21" t="str">
        <x:v>AL</x:v>
      </x:c>
      <x:c r="F147" s="24" t="n">
        <x:v>10</x:v>
      </x:c>
      <x:c r="G147" s="21" t="str">
        <x:v>本示例采用该教学板块；不表示学校必须按此分课，也不参与资格自动兑换。</x:v>
      </x:c>
    </x:row>
    <x:row r="148" ht="52" customHeight="1">
      <x:c r="A148" s="20" t="str">
        <x:v>L0147</x:v>
      </x:c>
      <x:c r="B148" s="21" t="str">
        <x:v>C036</x:v>
      </x:c>
      <x:c r="C148" s="21" t="str">
        <x:v>U135</x:v>
      </x:c>
      <x:c r="D148" s="21" t="str">
        <x:v>校内选定教学划分</x:v>
      </x:c>
      <x:c r="E148" s="21" t="str">
        <x:v>AL</x:v>
      </x:c>
      <x:c r="F148" s="24" t="n">
        <x:v>20</x:v>
      </x:c>
      <x:c r="G148" s="21" t="str">
        <x:v>本示例采用该教学板块；不表示学校必须按此分课，也不参与资格自动兑换。</x:v>
      </x:c>
    </x:row>
    <x:row r="149" ht="52" customHeight="1">
      <x:c r="A149" s="20" t="str">
        <x:v>L0148</x:v>
      </x:c>
      <x:c r="B149" s="21" t="str">
        <x:v>C036</x:v>
      </x:c>
      <x:c r="C149" s="21" t="str">
        <x:v>U136</x:v>
      </x:c>
      <x:c r="D149" s="21" t="str">
        <x:v>校内选定教学划分</x:v>
      </x:c>
      <x:c r="E149" s="21" t="str">
        <x:v>AL</x:v>
      </x:c>
      <x:c r="F149" s="24" t="n">
        <x:v>30</x:v>
      </x:c>
      <x:c r="G149" s="21" t="str">
        <x:v>本示例采用该教学板块；不表示学校必须按此分课，也不参与资格自动兑换。</x:v>
      </x:c>
    </x:row>
    <x:row r="150" ht="52" customHeight="1">
      <x:c r="A150" s="20" t="str">
        <x:v>L0149</x:v>
      </x:c>
      <x:c r="B150" s="21" t="str">
        <x:v>C037</x:v>
      </x:c>
      <x:c r="C150" s="21" t="str">
        <x:v>U137</x:v>
      </x:c>
      <x:c r="D150" s="21" t="str">
        <x:v>校内选定教学划分</x:v>
      </x:c>
      <x:c r="E150" s="21" t="str">
        <x:v>AL</x:v>
      </x:c>
      <x:c r="F150" s="24" t="n">
        <x:v>10</x:v>
      </x:c>
      <x:c r="G150" s="21" t="str">
        <x:v>本示例采用该教学板块；不表示学校必须按此分课，也不参与资格自动兑换。</x:v>
      </x:c>
    </x:row>
    <x:row r="151" ht="52" customHeight="1">
      <x:c r="A151" s="20" t="str">
        <x:v>L0150</x:v>
      </x:c>
      <x:c r="B151" s="21" t="str">
        <x:v>C037</x:v>
      </x:c>
      <x:c r="C151" s="21" t="str">
        <x:v>U138</x:v>
      </x:c>
      <x:c r="D151" s="21" t="str">
        <x:v>校内选定教学划分</x:v>
      </x:c>
      <x:c r="E151" s="21" t="str">
        <x:v>AL</x:v>
      </x:c>
      <x:c r="F151" s="24" t="n">
        <x:v>20</x:v>
      </x:c>
      <x:c r="G151" s="21" t="str">
        <x:v>本示例采用该教学板块；不表示学校必须按此分课，也不参与资格自动兑换。</x:v>
      </x:c>
    </x:row>
    <x:row r="152" ht="52" customHeight="1">
      <x:c r="A152" s="20" t="str">
        <x:v>L0151</x:v>
      </x:c>
      <x:c r="B152" s="21" t="str">
        <x:v>C037</x:v>
      </x:c>
      <x:c r="C152" s="21" t="str">
        <x:v>U139</x:v>
      </x:c>
      <x:c r="D152" s="21" t="str">
        <x:v>校内选定教学划分</x:v>
      </x:c>
      <x:c r="E152" s="21" t="str">
        <x:v>AL</x:v>
      </x:c>
      <x:c r="F152" s="24" t="n">
        <x:v>30</x:v>
      </x:c>
      <x:c r="G152" s="21" t="str">
        <x:v>本示例采用该教学板块；不表示学校必须按此分课，也不参与资格自动兑换。</x:v>
      </x:c>
    </x:row>
    <x:row r="153" ht="52" customHeight="1">
      <x:c r="A153" s="20" t="str">
        <x:v>L0152</x:v>
      </x:c>
      <x:c r="B153" s="21" t="str">
        <x:v>C037</x:v>
      </x:c>
      <x:c r="C153" s="21" t="str">
        <x:v>U140</x:v>
      </x:c>
      <x:c r="D153" s="21" t="str">
        <x:v>校内选定教学划分</x:v>
      </x:c>
      <x:c r="E153" s="21" t="str">
        <x:v>AL</x:v>
      </x:c>
      <x:c r="F153" s="24" t="n">
        <x:v>40</x:v>
      </x:c>
      <x:c r="G153" s="21" t="str">
        <x:v>本示例采用该教学板块；不表示学校必须按此分课，也不参与资格自动兑换。</x:v>
      </x:c>
    </x:row>
    <x:row r="154" ht="52" customHeight="1">
      <x:c r="A154" s="20" t="str">
        <x:v>L0153</x:v>
      </x:c>
      <x:c r="B154" s="21" t="str">
        <x:v>C038</x:v>
      </x:c>
      <x:c r="C154" s="21" t="str">
        <x:v>U141</x:v>
      </x:c>
      <x:c r="D154" s="21" t="str">
        <x:v>校内选定教学划分</x:v>
      </x:c>
      <x:c r="E154" s="21" t="str">
        <x:v>AL</x:v>
      </x:c>
      <x:c r="F154" s="24" t="n">
        <x:v>10</x:v>
      </x:c>
      <x:c r="G154" s="21" t="str">
        <x:v>本示例采用该教学板块；不表示学校必须按此分课，也不参与资格自动兑换。</x:v>
      </x:c>
    </x:row>
    <x:row r="155" ht="52" customHeight="1">
      <x:c r="A155" s="20" t="str">
        <x:v>L0154</x:v>
      </x:c>
      <x:c r="B155" s="21" t="str">
        <x:v>C038</x:v>
      </x:c>
      <x:c r="C155" s="21" t="str">
        <x:v>U142</x:v>
      </x:c>
      <x:c r="D155" s="21" t="str">
        <x:v>校内选定教学划分</x:v>
      </x:c>
      <x:c r="E155" s="21" t="str">
        <x:v>AL</x:v>
      </x:c>
      <x:c r="F155" s="24" t="n">
        <x:v>20</x:v>
      </x:c>
      <x:c r="G155" s="21" t="str">
        <x:v>本示例采用该教学板块；不表示学校必须按此分课，也不参与资格自动兑换。</x:v>
      </x:c>
    </x:row>
    <x:row r="156" ht="52" customHeight="1">
      <x:c r="A156" s="20" t="str">
        <x:v>L0155</x:v>
      </x:c>
      <x:c r="B156" s="21" t="str">
        <x:v>C038</x:v>
      </x:c>
      <x:c r="C156" s="21" t="str">
        <x:v>U143</x:v>
      </x:c>
      <x:c r="D156" s="21" t="str">
        <x:v>校内选定教学划分</x:v>
      </x:c>
      <x:c r="E156" s="21" t="str">
        <x:v>AL</x:v>
      </x:c>
      <x:c r="F156" s="24" t="n">
        <x:v>30</x:v>
      </x:c>
      <x:c r="G156" s="21" t="str">
        <x:v>本示例采用该教学板块；不表示学校必须按此分课，也不参与资格自动兑换。</x:v>
      </x:c>
    </x:row>
    <x:row r="157" ht="52" customHeight="1">
      <x:c r="A157" s="20" t="str">
        <x:v>L0156</x:v>
      </x:c>
      <x:c r="B157" s="21" t="str">
        <x:v>C039</x:v>
      </x:c>
      <x:c r="C157" s="21" t="str">
        <x:v>U144</x:v>
      </x:c>
      <x:c r="D157" s="21" t="str">
        <x:v>校内选定教学划分</x:v>
      </x:c>
      <x:c r="E157" s="21" t="str">
        <x:v>AL</x:v>
      </x:c>
      <x:c r="F157" s="24" t="n">
        <x:v>10</x:v>
      </x:c>
      <x:c r="G157" s="21" t="str">
        <x:v>本示例采用该教学板块；不表示学校必须按此分课，也不参与资格自动兑换。</x:v>
      </x:c>
    </x:row>
    <x:row r="158" ht="52" customHeight="1">
      <x:c r="A158" s="20" t="str">
        <x:v>L0157</x:v>
      </x:c>
      <x:c r="B158" s="21" t="str">
        <x:v>C039</x:v>
      </x:c>
      <x:c r="C158" s="21" t="str">
        <x:v>U145</x:v>
      </x:c>
      <x:c r="D158" s="21" t="str">
        <x:v>校内选定教学划分</x:v>
      </x:c>
      <x:c r="E158" s="21" t="str">
        <x:v>AL</x:v>
      </x:c>
      <x:c r="F158" s="24" t="n">
        <x:v>20</x:v>
      </x:c>
      <x:c r="G158" s="21" t="str">
        <x:v>本示例采用该教学板块；不表示学校必须按此分课，也不参与资格自动兑换。</x:v>
      </x:c>
    </x:row>
    <x:row r="159" ht="52" customHeight="1">
      <x:c r="A159" s="20" t="str">
        <x:v>L0158</x:v>
      </x:c>
      <x:c r="B159" s="21" t="str">
        <x:v>C039</x:v>
      </x:c>
      <x:c r="C159" s="21" t="str">
        <x:v>U146</x:v>
      </x:c>
      <x:c r="D159" s="21" t="str">
        <x:v>校内选定教学划分</x:v>
      </x:c>
      <x:c r="E159" s="21" t="str">
        <x:v>AL</x:v>
      </x:c>
      <x:c r="F159" s="24" t="n">
        <x:v>30</x:v>
      </x:c>
      <x:c r="G159" s="21" t="str">
        <x:v>本示例采用该教学板块；不表示学校必须按此分课，也不参与资格自动兑换。</x:v>
      </x:c>
    </x:row>
    <x:row r="160" ht="52" customHeight="1">
      <x:c r="A160" s="20" t="str">
        <x:v>L0159</x:v>
      </x:c>
      <x:c r="B160" s="21" t="str">
        <x:v>C039</x:v>
      </x:c>
      <x:c r="C160" s="21" t="str">
        <x:v>U147</x:v>
      </x:c>
      <x:c r="D160" s="21" t="str">
        <x:v>校内选定教学划分</x:v>
      </x:c>
      <x:c r="E160" s="21" t="str">
        <x:v>AL</x:v>
      </x:c>
      <x:c r="F160" s="24" t="n">
        <x:v>40</x:v>
      </x:c>
      <x:c r="G160" s="21" t="str">
        <x:v>本示例采用该教学板块；不表示学校必须按此分课，也不参与资格自动兑换。</x:v>
      </x:c>
    </x:row>
    <x:row r="161" ht="52" customHeight="1">
      <x:c r="A161" s="20" t="str">
        <x:v>L0160</x:v>
      </x:c>
      <x:c r="B161" s="21" t="str">
        <x:v>C040</x:v>
      </x:c>
      <x:c r="C161" s="21" t="str">
        <x:v>U148</x:v>
      </x:c>
      <x:c r="D161" s="21" t="str">
        <x:v>校内选定教学划分</x:v>
      </x:c>
      <x:c r="E161" s="21" t="str">
        <x:v>AL</x:v>
      </x:c>
      <x:c r="F161" s="24" t="n">
        <x:v>10</x:v>
      </x:c>
      <x:c r="G161" s="21" t="str">
        <x:v>本示例采用该教学板块；不表示学校必须按此分课，也不参与资格自动兑换。</x:v>
      </x:c>
    </x:row>
    <x:row r="162" ht="52" customHeight="1">
      <x:c r="A162" s="20" t="str">
        <x:v>L0161</x:v>
      </x:c>
      <x:c r="B162" s="21" t="str">
        <x:v>C040</x:v>
      </x:c>
      <x:c r="C162" s="21" t="str">
        <x:v>U149</x:v>
      </x:c>
      <x:c r="D162" s="21" t="str">
        <x:v>校内选定教学划分</x:v>
      </x:c>
      <x:c r="E162" s="21" t="str">
        <x:v>AL</x:v>
      </x:c>
      <x:c r="F162" s="24" t="n">
        <x:v>20</x:v>
      </x:c>
      <x:c r="G162" s="21" t="str">
        <x:v>本示例采用该教学板块；不表示学校必须按此分课，也不参与资格自动兑换。</x:v>
      </x:c>
    </x:row>
    <x:row r="163" ht="52" customHeight="1">
      <x:c r="A163" s="20" t="str">
        <x:v>L0162</x:v>
      </x:c>
      <x:c r="B163" s="21" t="str">
        <x:v>C040</x:v>
      </x:c>
      <x:c r="C163" s="21" t="str">
        <x:v>U150</x:v>
      </x:c>
      <x:c r="D163" s="21" t="str">
        <x:v>校内选定教学划分</x:v>
      </x:c>
      <x:c r="E163" s="21" t="str">
        <x:v>AL</x:v>
      </x:c>
      <x:c r="F163" s="24" t="n">
        <x:v>30</x:v>
      </x:c>
      <x:c r="G163" s="21" t="str">
        <x:v>本示例采用该教学板块；不表示学校必须按此分课，也不参与资格自动兑换。</x:v>
      </x:c>
    </x:row>
    <x:row r="164" ht="52" customHeight="1">
      <x:c r="A164" s="20" t="str">
        <x:v>L0163</x:v>
      </x:c>
      <x:c r="B164" s="21" t="str">
        <x:v>C041</x:v>
      </x:c>
      <x:c r="C164" s="21" t="str">
        <x:v>U151</x:v>
      </x:c>
      <x:c r="D164" s="21" t="str">
        <x:v>校内选定教学划分</x:v>
      </x:c>
      <x:c r="E164" s="21" t="str">
        <x:v>AS</x:v>
      </x:c>
      <x:c r="F164" s="24" t="n">
        <x:v>10</x:v>
      </x:c>
      <x:c r="G164" s="21" t="str">
        <x:v>本示例采用该教学板块；不表示学校必须按此分课，也不参与资格自动兑换。</x:v>
      </x:c>
    </x:row>
    <x:row r="165" ht="52" customHeight="1">
      <x:c r="A165" s="20" t="str">
        <x:v>L0164</x:v>
      </x:c>
      <x:c r="B165" s="21" t="str">
        <x:v>C041</x:v>
      </x:c>
      <x:c r="C165" s="21" t="str">
        <x:v>U152</x:v>
      </x:c>
      <x:c r="D165" s="21" t="str">
        <x:v>校内选定教学划分</x:v>
      </x:c>
      <x:c r="E165" s="21" t="str">
        <x:v>AS</x:v>
      </x:c>
      <x:c r="F165" s="24" t="n">
        <x:v>20</x:v>
      </x:c>
      <x:c r="G165" s="21" t="str">
        <x:v>本示例采用该教学板块；不表示学校必须按此分课，也不参与资格自动兑换。</x:v>
      </x:c>
    </x:row>
    <x:row r="166" ht="52" customHeight="1">
      <x:c r="A166" s="20" t="str">
        <x:v>L0165</x:v>
      </x:c>
      <x:c r="B166" s="21" t="str">
        <x:v>C041</x:v>
      </x:c>
      <x:c r="C166" s="21" t="str">
        <x:v>U153</x:v>
      </x:c>
      <x:c r="D166" s="21" t="str">
        <x:v>校内选定教学划分</x:v>
      </x:c>
      <x:c r="E166" s="21" t="str">
        <x:v>AS</x:v>
      </x:c>
      <x:c r="F166" s="24" t="n">
        <x:v>30</x:v>
      </x:c>
      <x:c r="G166" s="21" t="str">
        <x:v>本示例采用该教学板块；不表示学校必须按此分课，也不参与资格自动兑换。</x:v>
      </x:c>
    </x:row>
    <x:row r="167" ht="52" customHeight="1">
      <x:c r="A167" s="20" t="str">
        <x:v>L0166</x:v>
      </x:c>
      <x:c r="B167" s="21" t="str">
        <x:v>C042</x:v>
      </x:c>
      <x:c r="C167" s="21" t="str">
        <x:v>U154</x:v>
      </x:c>
      <x:c r="D167" s="21" t="str">
        <x:v>校内选定教学划分</x:v>
      </x:c>
      <x:c r="E167" s="21" t="str">
        <x:v>AL</x:v>
      </x:c>
      <x:c r="F167" s="24" t="n">
        <x:v>10</x:v>
      </x:c>
      <x:c r="G167" s="21" t="str">
        <x:v>本示例采用该教学板块；不表示学校必须按此分课，也不参与资格自动兑换。</x:v>
      </x:c>
    </x:row>
    <x:row r="168" ht="52" customHeight="1">
      <x:c r="A168" s="20" t="str">
        <x:v>L0167</x:v>
      </x:c>
      <x:c r="B168" s="21" t="str">
        <x:v>C042</x:v>
      </x:c>
      <x:c r="C168" s="21" t="str">
        <x:v>U155</x:v>
      </x:c>
      <x:c r="D168" s="21" t="str">
        <x:v>校内选定教学划分</x:v>
      </x:c>
      <x:c r="E168" s="21" t="str">
        <x:v>AL</x:v>
      </x:c>
      <x:c r="F168" s="24" t="n">
        <x:v>20</x:v>
      </x:c>
      <x:c r="G168" s="21" t="str">
        <x:v>本示例采用该教学板块；不表示学校必须按此分课，也不参与资格自动兑换。</x:v>
      </x:c>
    </x:row>
    <x:row r="169" ht="52" customHeight="1">
      <x:c r="A169" s="20" t="str">
        <x:v>L0168</x:v>
      </x:c>
      <x:c r="B169" s="21" t="str">
        <x:v>C042</x:v>
      </x:c>
      <x:c r="C169" s="21" t="str">
        <x:v>U156</x:v>
      </x:c>
      <x:c r="D169" s="21" t="str">
        <x:v>校内选定教学划分</x:v>
      </x:c>
      <x:c r="E169" s="21" t="str">
        <x:v>AL</x:v>
      </x:c>
      <x:c r="F169" s="24" t="n">
        <x:v>30</x:v>
      </x:c>
      <x:c r="G169" s="21" t="str">
        <x:v>本示例采用该教学板块；不表示学校必须按此分课，也不参与资格自动兑换。</x:v>
      </x:c>
    </x:row>
    <x:row r="170" ht="52" customHeight="1">
      <x:c r="A170" s="20" t="str">
        <x:v>L0169</x:v>
      </x:c>
      <x:c r="B170" s="21" t="str">
        <x:v>C043</x:v>
      </x:c>
      <x:c r="C170" s="21" t="str">
        <x:v>U157</x:v>
      </x:c>
      <x:c r="D170" s="21" t="str">
        <x:v>校内选定教学划分</x:v>
      </x:c>
      <x:c r="E170" s="21" t="str">
        <x:v>AS</x:v>
      </x:c>
      <x:c r="F170" s="24" t="n">
        <x:v>10</x:v>
      </x:c>
      <x:c r="G170" s="21" t="str">
        <x:v>本示例采用该教学板块；不表示学校必须按此分课，也不参与资格自动兑换。</x:v>
      </x:c>
    </x:row>
    <x:row r="171" ht="52" customHeight="1">
      <x:c r="A171" s="20" t="str">
        <x:v>L0170</x:v>
      </x:c>
      <x:c r="B171" s="21" t="str">
        <x:v>C043</x:v>
      </x:c>
      <x:c r="C171" s="21" t="str">
        <x:v>U158</x:v>
      </x:c>
      <x:c r="D171" s="21" t="str">
        <x:v>校内选定教学划分</x:v>
      </x:c>
      <x:c r="E171" s="21" t="str">
        <x:v>AS</x:v>
      </x:c>
      <x:c r="F171" s="24" t="n">
        <x:v>20</x:v>
      </x:c>
      <x:c r="G171" s="21" t="str">
        <x:v>本示例采用该教学板块；不表示学校必须按此分课，也不参与资格自动兑换。</x:v>
      </x:c>
    </x:row>
    <x:row r="172" ht="52" customHeight="1">
      <x:c r="A172" s="20" t="str">
        <x:v>L0171</x:v>
      </x:c>
      <x:c r="B172" s="21" t="str">
        <x:v>C043</x:v>
      </x:c>
      <x:c r="C172" s="21" t="str">
        <x:v>U159</x:v>
      </x:c>
      <x:c r="D172" s="21" t="str">
        <x:v>校内选定教学划分</x:v>
      </x:c>
      <x:c r="E172" s="21" t="str">
        <x:v>AS</x:v>
      </x:c>
      <x:c r="F172" s="24" t="n">
        <x:v>30</x:v>
      </x:c>
      <x:c r="G172" s="21" t="str">
        <x:v>本示例采用该教学板块；不表示学校必须按此分课，也不参与资格自动兑换。</x:v>
      </x:c>
    </x:row>
    <x:row r="173" ht="52" customHeight="1">
      <x:c r="A173" s="20" t="str">
        <x:v>L0172</x:v>
      </x:c>
      <x:c r="B173" s="21" t="str">
        <x:v>C044</x:v>
      </x:c>
      <x:c r="C173" s="21" t="str">
        <x:v>U160</x:v>
      </x:c>
      <x:c r="D173" s="21" t="str">
        <x:v>校内选定教学划分</x:v>
      </x:c>
      <x:c r="E173" s="21" t="str">
        <x:v>AL</x:v>
      </x:c>
      <x:c r="F173" s="24" t="n">
        <x:v>10</x:v>
      </x:c>
      <x:c r="G173" s="21" t="str">
        <x:v>本示例采用该教学板块；不表示学校必须按此分课，也不参与资格自动兑换。</x:v>
      </x:c>
    </x:row>
    <x:row r="174" ht="52" customHeight="1">
      <x:c r="A174" s="20" t="str">
        <x:v>L0173</x:v>
      </x:c>
      <x:c r="B174" s="21" t="str">
        <x:v>C044</x:v>
      </x:c>
      <x:c r="C174" s="21" t="str">
        <x:v>U161</x:v>
      </x:c>
      <x:c r="D174" s="21" t="str">
        <x:v>校内选定教学划分</x:v>
      </x:c>
      <x:c r="E174" s="21" t="str">
        <x:v>AL</x:v>
      </x:c>
      <x:c r="F174" s="24" t="n">
        <x:v>20</x:v>
      </x:c>
      <x:c r="G174" s="21" t="str">
        <x:v>本示例采用该教学板块；不表示学校必须按此分课，也不参与资格自动兑换。</x:v>
      </x:c>
    </x:row>
    <x:row r="175" ht="52" customHeight="1">
      <x:c r="A175" s="20" t="str">
        <x:v>L0174</x:v>
      </x:c>
      <x:c r="B175" s="21" t="str">
        <x:v>C044</x:v>
      </x:c>
      <x:c r="C175" s="21" t="str">
        <x:v>U162</x:v>
      </x:c>
      <x:c r="D175" s="21" t="str">
        <x:v>校内选定教学划分</x:v>
      </x:c>
      <x:c r="E175" s="21" t="str">
        <x:v>AL</x:v>
      </x:c>
      <x:c r="F175" s="24" t="n">
        <x:v>30</x:v>
      </x:c>
      <x:c r="G175" s="21" t="str">
        <x:v>本示例采用该教学板块；不表示学校必须按此分课，也不参与资格自动兑换。</x:v>
      </x:c>
    </x:row>
    <x:row r="176" ht="52" customHeight="1">
      <x:c r="A176" s="20" t="str">
        <x:v>L0175</x:v>
      </x:c>
      <x:c r="B176" s="21" t="str">
        <x:v>C045</x:v>
      </x:c>
      <x:c r="C176" s="21" t="str">
        <x:v>U163</x:v>
      </x:c>
      <x:c r="D176" s="21" t="str">
        <x:v>校内选定教学划分</x:v>
      </x:c>
      <x:c r="E176" s="21" t="str">
        <x:v>AS</x:v>
      </x:c>
      <x:c r="F176" s="24" t="n">
        <x:v>10</x:v>
      </x:c>
      <x:c r="G176" s="21" t="str">
        <x:v>本示例采用该教学板块；不表示学校必须按此分课，也不参与资格自动兑换。</x:v>
      </x:c>
    </x:row>
    <x:row r="177" ht="52" customHeight="1">
      <x:c r="A177" s="20" t="str">
        <x:v>L0176</x:v>
      </x:c>
      <x:c r="B177" s="21" t="str">
        <x:v>C045</x:v>
      </x:c>
      <x:c r="C177" s="21" t="str">
        <x:v>U164</x:v>
      </x:c>
      <x:c r="D177" s="21" t="str">
        <x:v>校内选定教学划分</x:v>
      </x:c>
      <x:c r="E177" s="21" t="str">
        <x:v>AS</x:v>
      </x:c>
      <x:c r="F177" s="24" t="n">
        <x:v>20</x:v>
      </x:c>
      <x:c r="G177" s="21" t="str">
        <x:v>本示例采用该教学板块；不表示学校必须按此分课，也不参与资格自动兑换。</x:v>
      </x:c>
    </x:row>
    <x:row r="178" ht="52" customHeight="1">
      <x:c r="A178" s="20" t="str">
        <x:v>L0177</x:v>
      </x:c>
      <x:c r="B178" s="21" t="str">
        <x:v>C045</x:v>
      </x:c>
      <x:c r="C178" s="21" t="str">
        <x:v>U165</x:v>
      </x:c>
      <x:c r="D178" s="21" t="str">
        <x:v>校内选定教学划分</x:v>
      </x:c>
      <x:c r="E178" s="21" t="str">
        <x:v>AS</x:v>
      </x:c>
      <x:c r="F178" s="24" t="n">
        <x:v>30</x:v>
      </x:c>
      <x:c r="G178" s="21" t="str">
        <x:v>本示例采用该教学板块；不表示学校必须按此分课，也不参与资格自动兑换。</x:v>
      </x:c>
    </x:row>
    <x:row r="179" ht="52" customHeight="1">
      <x:c r="A179" s="20" t="str">
        <x:v>L0178</x:v>
      </x:c>
      <x:c r="B179" s="21" t="str">
        <x:v>C046</x:v>
      </x:c>
      <x:c r="C179" s="21" t="str">
        <x:v>U166</x:v>
      </x:c>
      <x:c r="D179" s="21" t="str">
        <x:v>必修</x:v>
      </x:c>
      <x:c r="E179" s="21" t="str">
        <x:v>AS</x:v>
      </x:c>
      <x:c r="F179" s="24" t="n">
        <x:v>10</x:v>
      </x:c>
      <x:c r="G179" s="21" t="str">
        <x:v>课程可用单元关系；最终组合以资格出口及原大纲确认</x:v>
      </x:c>
    </x:row>
    <x:row r="180" ht="52" customHeight="1">
      <x:c r="A180" s="20" t="str">
        <x:v>L0179</x:v>
      </x:c>
      <x:c r="B180" s="21" t="str">
        <x:v>C046</x:v>
      </x:c>
      <x:c r="C180" s="21" t="str">
        <x:v>U167</x:v>
      </x:c>
      <x:c r="D180" s="21" t="str">
        <x:v>必修</x:v>
      </x:c>
      <x:c r="E180" s="21" t="str">
        <x:v>AS</x:v>
      </x:c>
      <x:c r="F180" s="24" t="n">
        <x:v>20</x:v>
      </x:c>
      <x:c r="G180" s="21" t="str">
        <x:v>课程可用单元关系；最终组合以资格出口及原大纲确认</x:v>
      </x:c>
    </x:row>
    <x:row r="181" ht="52" customHeight="1">
      <x:c r="A181" s="20" t="str">
        <x:v>L0180</x:v>
      </x:c>
      <x:c r="B181" s="21" t="str">
        <x:v>C046</x:v>
      </x:c>
      <x:c r="C181" s="21" t="str">
        <x:v>U168</x:v>
      </x:c>
      <x:c r="D181" s="21" t="str">
        <x:v>必修</x:v>
      </x:c>
      <x:c r="E181" s="21" t="str">
        <x:v>A2</x:v>
      </x:c>
      <x:c r="F181" s="24" t="n">
        <x:v>30</x:v>
      </x:c>
      <x:c r="G181" s="21" t="str">
        <x:v>课程可用单元关系；最终组合以资格出口及原大纲确认</x:v>
      </x:c>
    </x:row>
    <x:row r="182" ht="52" customHeight="1">
      <x:c r="A182" s="20" t="str">
        <x:v>L0181</x:v>
      </x:c>
      <x:c r="B182" s="21" t="str">
        <x:v>C046</x:v>
      </x:c>
      <x:c r="C182" s="21" t="str">
        <x:v>U169</x:v>
      </x:c>
      <x:c r="D182" s="21" t="str">
        <x:v>必修</x:v>
      </x:c>
      <x:c r="E182" s="21" t="str">
        <x:v>A2</x:v>
      </x:c>
      <x:c r="F182" s="24" t="n">
        <x:v>40</x:v>
      </x:c>
      <x:c r="G182" s="21" t="str">
        <x:v>课程可用单元关系；最终组合以资格出口及原大纲确认</x:v>
      </x:c>
    </x:row>
    <x:row r="183" ht="52" customHeight="1">
      <x:c r="A183" s="20" t="str">
        <x:v>L0182</x:v>
      </x:c>
      <x:c r="B183" s="21" t="str">
        <x:v>C047</x:v>
      </x:c>
      <x:c r="C183" s="21" t="str">
        <x:v>U170</x:v>
      </x:c>
      <x:c r="D183" s="21" t="str">
        <x:v>必修</x:v>
      </x:c>
      <x:c r="E183" s="21" t="str">
        <x:v>AS</x:v>
      </x:c>
      <x:c r="F183" s="24" t="n">
        <x:v>10</x:v>
      </x:c>
      <x:c r="G183" s="21" t="str">
        <x:v>课程可用单元关系；最终组合以资格出口及原大纲确认</x:v>
      </x:c>
    </x:row>
    <x:row r="184" ht="52" customHeight="1">
      <x:c r="A184" s="20" t="str">
        <x:v>L0183</x:v>
      </x:c>
      <x:c r="B184" s="21" t="str">
        <x:v>C047</x:v>
      </x:c>
      <x:c r="C184" s="21" t="str">
        <x:v>U171</x:v>
      </x:c>
      <x:c r="D184" s="21" t="str">
        <x:v>必修</x:v>
      </x:c>
      <x:c r="E184" s="21" t="str">
        <x:v>AS</x:v>
      </x:c>
      <x:c r="F184" s="24" t="n">
        <x:v>20</x:v>
      </x:c>
      <x:c r="G184" s="21" t="str">
        <x:v>课程可用单元关系；最终组合以资格出口及原大纲确认</x:v>
      </x:c>
    </x:row>
    <x:row r="185" ht="52" customHeight="1">
      <x:c r="A185" s="20" t="str">
        <x:v>L0184</x:v>
      </x:c>
      <x:c r="B185" s="21" t="str">
        <x:v>C047</x:v>
      </x:c>
      <x:c r="C185" s="21" t="str">
        <x:v>U172</x:v>
      </x:c>
      <x:c r="D185" s="21" t="str">
        <x:v>必修</x:v>
      </x:c>
      <x:c r="E185" s="21" t="str">
        <x:v>A2</x:v>
      </x:c>
      <x:c r="F185" s="24" t="n">
        <x:v>30</x:v>
      </x:c>
      <x:c r="G185" s="21" t="str">
        <x:v>课程可用单元关系；最终组合以资格出口及原大纲确认</x:v>
      </x:c>
    </x:row>
    <x:row r="186" ht="52" customHeight="1">
      <x:c r="A186" s="20" t="str">
        <x:v>L0185</x:v>
      </x:c>
      <x:c r="B186" s="21" t="str">
        <x:v>C047</x:v>
      </x:c>
      <x:c r="C186" s="21" t="str">
        <x:v>U173</x:v>
      </x:c>
      <x:c r="D186" s="21" t="str">
        <x:v>必修</x:v>
      </x:c>
      <x:c r="E186" s="21" t="str">
        <x:v>A2</x:v>
      </x:c>
      <x:c r="F186" s="24" t="n">
        <x:v>40</x:v>
      </x:c>
      <x:c r="G186" s="21" t="str">
        <x:v>课程可用单元关系；最终组合以资格出口及原大纲确认</x:v>
      </x:c>
    </x:row>
    <x:row r="187" ht="52" customHeight="1">
      <x:c r="A187" s="20" t="str">
        <x:v>L0186</x:v>
      </x:c>
      <x:c r="B187" s="21" t="str">
        <x:v>C048</x:v>
      </x:c>
      <x:c r="C187" s="21" t="str">
        <x:v>U174</x:v>
      </x:c>
      <x:c r="D187" s="21" t="str">
        <x:v>校内选定教学划分</x:v>
      </x:c>
      <x:c r="E187" s="21" t="str">
        <x:v>AL</x:v>
      </x:c>
      <x:c r="F187" s="24" t="n">
        <x:v>10</x:v>
      </x:c>
      <x:c r="G187" s="21" t="str">
        <x:v>本示例采用该教学板块；不表示学校必须按此分课，也不参与资格自动兑换。</x:v>
      </x:c>
    </x:row>
    <x:row r="188" ht="52" customHeight="1">
      <x:c r="A188" s="20" t="str">
        <x:v>L0187</x:v>
      </x:c>
      <x:c r="B188" s="21" t="str">
        <x:v>C048</x:v>
      </x:c>
      <x:c r="C188" s="21" t="str">
        <x:v>U175</x:v>
      </x:c>
      <x:c r="D188" s="21" t="str">
        <x:v>校内选定教学划分</x:v>
      </x:c>
      <x:c r="E188" s="21" t="str">
        <x:v>AL</x:v>
      </x:c>
      <x:c r="F188" s="24" t="n">
        <x:v>20</x:v>
      </x:c>
      <x:c r="G188" s="21" t="str">
        <x:v>本示例采用该教学板块；不表示学校必须按此分课，也不参与资格自动兑换。</x:v>
      </x:c>
    </x:row>
    <x:row r="189" ht="52" customHeight="1">
      <x:c r="A189" s="20" t="str">
        <x:v>L0188</x:v>
      </x:c>
      <x:c r="B189" s="21" t="str">
        <x:v>C048</x:v>
      </x:c>
      <x:c r="C189" s="21" t="str">
        <x:v>U176</x:v>
      </x:c>
      <x:c r="D189" s="21" t="str">
        <x:v>校内选定教学划分</x:v>
      </x:c>
      <x:c r="E189" s="21" t="str">
        <x:v>AL</x:v>
      </x:c>
      <x:c r="F189" s="24" t="n">
        <x:v>30</x:v>
      </x:c>
      <x:c r="G189" s="21" t="str">
        <x:v>本示例采用该教学板块；不表示学校必须按此分课，也不参与资格自动兑换。</x:v>
      </x:c>
    </x:row>
    <x:row r="190" ht="52" customHeight="1">
      <x:c r="A190" s="20" t="str">
        <x:v>L0189</x:v>
      </x:c>
      <x:c r="B190" s="21" t="str">
        <x:v>C048</x:v>
      </x:c>
      <x:c r="C190" s="21" t="str">
        <x:v>U177</x:v>
      </x:c>
      <x:c r="D190" s="21" t="str">
        <x:v>校内选定教学划分</x:v>
      </x:c>
      <x:c r="E190" s="21" t="str">
        <x:v>AL</x:v>
      </x:c>
      <x:c r="F190" s="24" t="n">
        <x:v>40</x:v>
      </x:c>
      <x:c r="G190" s="21" t="str">
        <x:v>本示例采用该教学板块；不表示学校必须按此分课，也不参与资格自动兑换。</x:v>
      </x:c>
    </x:row>
    <x:row r="191" ht="52" customHeight="1">
      <x:c r="A191" s="20" t="str">
        <x:v>L0190</x:v>
      </x:c>
      <x:c r="B191" s="21" t="str">
        <x:v>C049</x:v>
      </x:c>
      <x:c r="C191" s="21" t="str">
        <x:v>U178</x:v>
      </x:c>
      <x:c r="D191" s="21" t="str">
        <x:v>校内选定教学划分</x:v>
      </x:c>
      <x:c r="E191" s="21" t="str">
        <x:v>AL</x:v>
      </x:c>
      <x:c r="F191" s="24" t="n">
        <x:v>10</x:v>
      </x:c>
      <x:c r="G191" s="21" t="str">
        <x:v>本示例采用该教学板块；不表示学校必须按此分课，也不参与资格自动兑换。</x:v>
      </x:c>
    </x:row>
    <x:row r="192" ht="52" customHeight="1">
      <x:c r="A192" s="20" t="str">
        <x:v>L0191</x:v>
      </x:c>
      <x:c r="B192" s="21" t="str">
        <x:v>C049</x:v>
      </x:c>
      <x:c r="C192" s="21" t="str">
        <x:v>U179</x:v>
      </x:c>
      <x:c r="D192" s="21" t="str">
        <x:v>校内选定教学划分</x:v>
      </x:c>
      <x:c r="E192" s="21" t="str">
        <x:v>AL</x:v>
      </x:c>
      <x:c r="F192" s="24" t="n">
        <x:v>20</x:v>
      </x:c>
      <x:c r="G192" s="21" t="str">
        <x:v>本示例采用该教学板块；不表示学校必须按此分课，也不参与资格自动兑换。</x:v>
      </x:c>
    </x:row>
    <x:row r="193" ht="52" customHeight="1">
      <x:c r="A193" s="20" t="str">
        <x:v>L0192</x:v>
      </x:c>
      <x:c r="B193" s="21" t="str">
        <x:v>C049</x:v>
      </x:c>
      <x:c r="C193" s="21" t="str">
        <x:v>U180</x:v>
      </x:c>
      <x:c r="D193" s="21" t="str">
        <x:v>校内选定教学划分</x:v>
      </x:c>
      <x:c r="E193" s="21" t="str">
        <x:v>AL</x:v>
      </x:c>
      <x:c r="F193" s="24" t="n">
        <x:v>30</x:v>
      </x:c>
      <x:c r="G193" s="21" t="str">
        <x:v>本示例采用该教学板块；不表示学校必须按此分课，也不参与资格自动兑换。</x:v>
      </x:c>
    </x:row>
    <x:row r="194" ht="52" customHeight="1">
      <x:c r="A194" s="20" t="str">
        <x:v>L0193</x:v>
      </x:c>
      <x:c r="B194" s="21" t="str">
        <x:v>C049</x:v>
      </x:c>
      <x:c r="C194" s="21" t="str">
        <x:v>U181</x:v>
      </x:c>
      <x:c r="D194" s="21" t="str">
        <x:v>校内选定教学划分</x:v>
      </x:c>
      <x:c r="E194" s="21" t="str">
        <x:v>AL</x:v>
      </x:c>
      <x:c r="F194" s="24" t="n">
        <x:v>40</x:v>
      </x:c>
      <x:c r="G194" s="21" t="str">
        <x:v>本示例采用该教学板块；不表示学校必须按此分课，也不参与资格自动兑换。</x:v>
      </x:c>
    </x:row>
    <x:row r="195" ht="52" customHeight="1">
      <x:c r="A195" s="20" t="str">
        <x:v>L0194</x:v>
      </x:c>
      <x:c r="B195" s="21" t="str">
        <x:v>C050</x:v>
      </x:c>
      <x:c r="C195" s="21" t="str">
        <x:v>U182</x:v>
      </x:c>
      <x:c r="D195" s="21" t="str">
        <x:v>校内选定教学划分</x:v>
      </x:c>
      <x:c r="E195" s="21" t="str">
        <x:v>全程</x:v>
      </x:c>
      <x:c r="F195" s="24" t="n">
        <x:v>10</x:v>
      </x:c>
      <x:c r="G195" s="21" t="str">
        <x:v>本示例采用该教学板块；不表示学校必须按此分课，也不参与资格自动兑换。</x:v>
      </x:c>
    </x:row>
    <x:row r="196" ht="52" customHeight="1">
      <x:c r="A196" s="20" t="str">
        <x:v>L0195</x:v>
      </x:c>
      <x:c r="B196" s="21" t="str">
        <x:v>C050</x:v>
      </x:c>
      <x:c r="C196" s="21" t="str">
        <x:v>U183</x:v>
      </x:c>
      <x:c r="D196" s="21" t="str">
        <x:v>校内选定教学划分</x:v>
      </x:c>
      <x:c r="E196" s="21" t="str">
        <x:v>全程</x:v>
      </x:c>
      <x:c r="F196" s="24" t="n">
        <x:v>20</x:v>
      </x:c>
      <x:c r="G196" s="21" t="str">
        <x:v>本示例采用该教学板块；不表示学校必须按此分课，也不参与资格自动兑换。</x:v>
      </x:c>
    </x:row>
    <x:row r="197" ht="52" customHeight="1">
      <x:c r="A197" s="20" t="str">
        <x:v>L0196</x:v>
      </x:c>
      <x:c r="B197" s="21" t="str">
        <x:v>C051</x:v>
      </x:c>
      <x:c r="C197" s="21" t="str">
        <x:v>U184</x:v>
      </x:c>
      <x:c r="D197" s="21" t="str">
        <x:v>校内选定教学划分</x:v>
      </x:c>
      <x:c r="E197" s="21" t="str">
        <x:v>AL</x:v>
      </x:c>
      <x:c r="F197" s="24" t="n">
        <x:v>10</x:v>
      </x:c>
      <x:c r="G197" s="21" t="str">
        <x:v>本示例采用该教学板块；不表示学校必须按此分课，也不参与资格自动兑换。</x:v>
      </x:c>
    </x:row>
    <x:row r="198" ht="52" customHeight="1">
      <x:c r="A198" s="20" t="str">
        <x:v>L0197</x:v>
      </x:c>
      <x:c r="B198" s="21" t="str">
        <x:v>C051</x:v>
      </x:c>
      <x:c r="C198" s="21" t="str">
        <x:v>U185</x:v>
      </x:c>
      <x:c r="D198" s="21" t="str">
        <x:v>校内选定教学划分</x:v>
      </x:c>
      <x:c r="E198" s="21" t="str">
        <x:v>AL</x:v>
      </x:c>
      <x:c r="F198" s="24" t="n">
        <x:v>20</x:v>
      </x:c>
      <x:c r="G198" s="21" t="str">
        <x:v>本示例采用该教学板块；不表示学校必须按此分课，也不参与资格自动兑换。</x:v>
      </x:c>
    </x:row>
    <x:row r="199" ht="52" customHeight="1">
      <x:c r="A199" s="20" t="str">
        <x:v>L0198</x:v>
      </x:c>
      <x:c r="B199" s="21" t="str">
        <x:v>C051</x:v>
      </x:c>
      <x:c r="C199" s="21" t="str">
        <x:v>U186</x:v>
      </x:c>
      <x:c r="D199" s="21" t="str">
        <x:v>校内选定教学划分</x:v>
      </x:c>
      <x:c r="E199" s="21" t="str">
        <x:v>AL</x:v>
      </x:c>
      <x:c r="F199" s="24" t="n">
        <x:v>30</x:v>
      </x:c>
      <x:c r="G199" s="21" t="str">
        <x:v>本示例采用该教学板块；不表示学校必须按此分课，也不参与资格自动兑换。</x:v>
      </x:c>
    </x:row>
    <x:row r="200" ht="64" customHeight="1">
      <x:c r="A200" s="71" t="str">
        <x:v>L0199</x:v>
      </x:c>
      <x:c r="B200" s="70" t="str">
        <x:v>C497</x:v>
      </x:c>
      <x:c r="C200" s="70" t="str">
        <x:v>U187</x:v>
      </x:c>
      <x:c r="D200" s="70" t="str">
        <x:v>校内选定教学划分</x:v>
      </x:c>
      <x:c r="E200" s="70" t="str">
        <x:v>备考</x:v>
      </x:c>
      <x:c r="F200" s="70" t="n">
        <x:v>10</x:v>
      </x:c>
      <x:c r="G200" s="70" t="str">
        <x:v>对应SAT考试内容领域；不为自适应第1/2模块建立永久课程。</x:v>
      </x:c>
    </x:row>
    <x:row r="201" ht="64" customHeight="1">
      <x:c r="A201" s="71" t="str">
        <x:v>L0200</x:v>
      </x:c>
      <x:c r="B201" s="70" t="str">
        <x:v>C497</x:v>
      </x:c>
      <x:c r="C201" s="70" t="str">
        <x:v>U188</x:v>
      </x:c>
      <x:c r="D201" s="70" t="str">
        <x:v>校内选定教学划分</x:v>
      </x:c>
      <x:c r="E201" s="70" t="str">
        <x:v>备考</x:v>
      </x:c>
      <x:c r="F201" s="70" t="n">
        <x:v>20</x:v>
      </x:c>
      <x:c r="G201" s="70" t="str">
        <x:v>对应SAT考试内容领域；不为自适应第1/2模块建立永久课程。</x:v>
      </x:c>
    </x:row>
    <x:row r="202" ht="64" customHeight="1">
      <x:c r="A202" s="71" t="str">
        <x:v>L0201</x:v>
      </x:c>
      <x:c r="B202" s="70" t="str">
        <x:v>C498</x:v>
      </x:c>
      <x:c r="C202" s="70" t="str">
        <x:v>U189</x:v>
      </x:c>
      <x:c r="D202" s="70" t="str">
        <x:v>校内选定教学划分</x:v>
      </x:c>
      <x:c r="E202" s="70" t="str">
        <x:v>备考</x:v>
      </x:c>
      <x:c r="F202" s="70" t="n">
        <x:v>10</x:v>
      </x:c>
      <x:c r="G202" s="70" t="str">
        <x:v>现行ACT Composite核心部分。</x:v>
      </x:c>
    </x:row>
    <x:row r="203" ht="64" customHeight="1">
      <x:c r="A203" s="71" t="str">
        <x:v>L0202</x:v>
      </x:c>
      <x:c r="B203" s="70" t="str">
        <x:v>C498</x:v>
      </x:c>
      <x:c r="C203" s="70" t="str">
        <x:v>U190</x:v>
      </x:c>
      <x:c r="D203" s="70" t="str">
        <x:v>校内选定教学划分</x:v>
      </x:c>
      <x:c r="E203" s="70" t="str">
        <x:v>备考</x:v>
      </x:c>
      <x:c r="F203" s="70" t="n">
        <x:v>20</x:v>
      </x:c>
      <x:c r="G203" s="70" t="str">
        <x:v>现行ACT Composite核心部分。</x:v>
      </x:c>
    </x:row>
    <x:row r="204" ht="64" customHeight="1">
      <x:c r="A204" s="71" t="str">
        <x:v>L0203</x:v>
      </x:c>
      <x:c r="B204" s="70" t="str">
        <x:v>C498</x:v>
      </x:c>
      <x:c r="C204" s="70" t="str">
        <x:v>U191</x:v>
      </x:c>
      <x:c r="D204" s="70" t="str">
        <x:v>校内选定教学划分</x:v>
      </x:c>
      <x:c r="E204" s="70" t="str">
        <x:v>备考</x:v>
      </x:c>
      <x:c r="F204" s="70" t="n">
        <x:v>30</x:v>
      </x:c>
      <x:c r="G204" s="70" t="str">
        <x:v>现行ACT Composite核心部分。</x:v>
      </x:c>
    </x:row>
    <x:row r="205" ht="64" customHeight="1">
      <x:c r="A205" s="71" t="str">
        <x:v>L0204</x:v>
      </x:c>
      <x:c r="B205" s="70" t="str">
        <x:v>C498</x:v>
      </x:c>
      <x:c r="C205" s="70" t="str">
        <x:v>U192</x:v>
      </x:c>
      <x:c r="D205" s="70" t="str">
        <x:v>可选备考模块</x:v>
      </x:c>
      <x:c r="E205" s="70" t="str">
        <x:v>备考</x:v>
      </x:c>
      <x:c r="F205" s="70" t="n">
        <x:v>40</x:v>
      </x:c>
      <x:c r="G205" s="70" t="str">
        <x:v>可选部分；是否参加按场次/考点要求确定，不计Composite。</x:v>
      </x:c>
    </x:row>
    <x:row r="206" ht="64" customHeight="1">
      <x:c r="A206" s="71" t="str">
        <x:v>L0205</x:v>
      </x:c>
      <x:c r="B206" s="70" t="str">
        <x:v>C498</x:v>
      </x:c>
      <x:c r="C206" s="70" t="str">
        <x:v>U193</x:v>
      </x:c>
      <x:c r="D206" s="70" t="str">
        <x:v>可选备考模块</x:v>
      </x:c>
      <x:c r="E206" s="70" t="str">
        <x:v>备考</x:v>
      </x:c>
      <x:c r="F206" s="70" t="n">
        <x:v>50</x:v>
      </x:c>
      <x:c r="G206" s="70" t="str">
        <x:v>可选部分；是否参加按场次/考点要求确定，不计Composite。</x:v>
      </x:c>
    </x:row>
    <x:row r="207" ht="64" customHeight="1">
      <x:c r="A207" s="71" t="str">
        <x:v>L0206</x:v>
      </x:c>
      <x:c r="B207" s="70" t="str">
        <x:v>C499</x:v>
      </x:c>
      <x:c r="C207" s="70" t="str">
        <x:v>U194</x:v>
      </x:c>
      <x:c r="D207" s="70" t="str">
        <x:v>校内选定教学划分</x:v>
      </x:c>
      <x:c r="E207" s="70" t="str">
        <x:v>备考</x:v>
      </x:c>
      <x:c r="F207" s="70" t="n">
        <x:v>10</x:v>
      </x:c>
      <x:c r="G207" s="70" t="str">
        <x:v>教学安排；具体考试任务与量表见95。</x:v>
      </x:c>
    </x:row>
    <x:row r="208" ht="64" customHeight="1">
      <x:c r="A208" s="71" t="str">
        <x:v>L0207</x:v>
      </x:c>
      <x:c r="B208" s="70" t="str">
        <x:v>C499</x:v>
      </x:c>
      <x:c r="C208" s="70" t="str">
        <x:v>U195</x:v>
      </x:c>
      <x:c r="D208" s="70" t="str">
        <x:v>校内选定教学划分</x:v>
      </x:c>
      <x:c r="E208" s="70" t="str">
        <x:v>备考</x:v>
      </x:c>
      <x:c r="F208" s="70" t="n">
        <x:v>20</x:v>
      </x:c>
      <x:c r="G208" s="70" t="str">
        <x:v>教学安排；具体考试任务与量表见95。</x:v>
      </x:c>
    </x:row>
    <x:row r="209" ht="64" customHeight="1">
      <x:c r="A209" s="71" t="str">
        <x:v>L0208</x:v>
      </x:c>
      <x:c r="B209" s="70" t="str">
        <x:v>C499</x:v>
      </x:c>
      <x:c r="C209" s="70" t="str">
        <x:v>U196</x:v>
      </x:c>
      <x:c r="D209" s="70" t="str">
        <x:v>校内选定教学划分</x:v>
      </x:c>
      <x:c r="E209" s="70" t="str">
        <x:v>备考</x:v>
      </x:c>
      <x:c r="F209" s="70" t="n">
        <x:v>30</x:v>
      </x:c>
      <x:c r="G209" s="70" t="str">
        <x:v>教学安排；具体考试任务与量表见95。</x:v>
      </x:c>
    </x:row>
    <x:row r="210" ht="64" customHeight="1">
      <x:c r="A210" s="71" t="str">
        <x:v>L0209</x:v>
      </x:c>
      <x:c r="B210" s="70" t="str">
        <x:v>C499</x:v>
      </x:c>
      <x:c r="C210" s="70" t="str">
        <x:v>U197</x:v>
      </x:c>
      <x:c r="D210" s="70" t="str">
        <x:v>校内选定教学划分</x:v>
      </x:c>
      <x:c r="E210" s="70" t="str">
        <x:v>备考</x:v>
      </x:c>
      <x:c r="F210" s="70" t="n">
        <x:v>40</x:v>
      </x:c>
      <x:c r="G210" s="70" t="str">
        <x:v>教学安排；具体考试任务与量表见95。</x:v>
      </x:c>
    </x:row>
    <x:row r="211" ht="64" customHeight="1">
      <x:c r="A211" s="71" t="str">
        <x:v>L0210</x:v>
      </x:c>
      <x:c r="B211" s="70" t="str">
        <x:v>C500</x:v>
      </x:c>
      <x:c r="C211" s="70" t="str">
        <x:v>U198</x:v>
      </x:c>
      <x:c r="D211" s="70" t="str">
        <x:v>校内选定教学划分</x:v>
      </x:c>
      <x:c r="E211" s="70" t="str">
        <x:v>备考</x:v>
      </x:c>
      <x:c r="F211" s="70" t="n">
        <x:v>10</x:v>
      </x:c>
      <x:c r="G211" s="70" t="str">
        <x:v>教学安排；具体考试任务与量表见95。</x:v>
      </x:c>
    </x:row>
    <x:row r="212" ht="64" customHeight="1">
      <x:c r="A212" s="71" t="str">
        <x:v>L0211</x:v>
      </x:c>
      <x:c r="B212" s="70" t="str">
        <x:v>C500</x:v>
      </x:c>
      <x:c r="C212" s="70" t="str">
        <x:v>U199</x:v>
      </x:c>
      <x:c r="D212" s="70" t="str">
        <x:v>校内选定教学划分</x:v>
      </x:c>
      <x:c r="E212" s="70" t="str">
        <x:v>备考</x:v>
      </x:c>
      <x:c r="F212" s="70" t="n">
        <x:v>20</x:v>
      </x:c>
      <x:c r="G212" s="70" t="str">
        <x:v>教学安排；具体考试任务与量表见95。</x:v>
      </x:c>
    </x:row>
    <x:row r="213" ht="64" customHeight="1">
      <x:c r="A213" s="71" t="str">
        <x:v>L0212</x:v>
      </x:c>
      <x:c r="B213" s="70" t="str">
        <x:v>C500</x:v>
      </x:c>
      <x:c r="C213" s="70" t="str">
        <x:v>U200</x:v>
      </x:c>
      <x:c r="D213" s="70" t="str">
        <x:v>校内选定教学划分</x:v>
      </x:c>
      <x:c r="E213" s="70" t="str">
        <x:v>备考</x:v>
      </x:c>
      <x:c r="F213" s="70" t="n">
        <x:v>30</x:v>
      </x:c>
      <x:c r="G213" s="70" t="str">
        <x:v>教学安排；具体考试任务与量表见95。</x:v>
      </x:c>
    </x:row>
    <x:row r="214" ht="64" customHeight="1">
      <x:c r="A214" s="71" t="str">
        <x:v>L0213</x:v>
      </x:c>
      <x:c r="B214" s="70" t="str">
        <x:v>C500</x:v>
      </x:c>
      <x:c r="C214" s="70" t="str">
        <x:v>U201</x:v>
      </x:c>
      <x:c r="D214" s="70" t="str">
        <x:v>校内选定教学划分</x:v>
      </x:c>
      <x:c r="E214" s="70" t="str">
        <x:v>备考</x:v>
      </x:c>
      <x:c r="F214" s="70" t="n">
        <x:v>40</x:v>
      </x:c>
      <x:c r="G214" s="70" t="str">
        <x:v>教学安排；具体考试任务与量表见95。</x:v>
      </x:c>
    </x:row>
    <x:row r="215" ht="64" customHeight="1">
      <x:c r="A215" s="71" t="str">
        <x:v>L0214</x:v>
      </x:c>
      <x:c r="B215" s="70" t="str">
        <x:v>C501</x:v>
      </x:c>
      <x:c r="C215" s="70" t="str">
        <x:v>U202</x:v>
      </x:c>
      <x:c r="D215" s="70" t="str">
        <x:v>校内选定教学划分</x:v>
      </x:c>
      <x:c r="E215" s="70" t="str">
        <x:v>备考</x:v>
      </x:c>
      <x:c r="F215" s="70" t="n">
        <x:v>10</x:v>
      </x:c>
      <x:c r="G215" s="70" t="str">
        <x:v>教学安排；具体考试任务与量表见95。</x:v>
      </x:c>
    </x:row>
    <x:row r="216" ht="64" customHeight="1">
      <x:c r="A216" s="71" t="str">
        <x:v>L0215</x:v>
      </x:c>
      <x:c r="B216" s="70" t="str">
        <x:v>C501</x:v>
      </x:c>
      <x:c r="C216" s="70" t="str">
        <x:v>U203</x:v>
      </x:c>
      <x:c r="D216" s="70" t="str">
        <x:v>校内选定教学划分</x:v>
      </x:c>
      <x:c r="E216" s="70" t="str">
        <x:v>备考</x:v>
      </x:c>
      <x:c r="F216" s="70" t="n">
        <x:v>20</x:v>
      </x:c>
      <x:c r="G216" s="70" t="str">
        <x:v>教学安排；具体考试任务与量表见95。</x:v>
      </x:c>
    </x:row>
    <x:row r="217" ht="64" customHeight="1">
      <x:c r="A217" s="71" t="str">
        <x:v>L0216</x:v>
      </x:c>
      <x:c r="B217" s="70" t="str">
        <x:v>C501</x:v>
      </x:c>
      <x:c r="C217" s="70" t="str">
        <x:v>U204</x:v>
      </x:c>
      <x:c r="D217" s="70" t="str">
        <x:v>校内选定教学划分</x:v>
      </x:c>
      <x:c r="E217" s="70" t="str">
        <x:v>备考</x:v>
      </x:c>
      <x:c r="F217" s="70" t="n">
        <x:v>30</x:v>
      </x:c>
      <x:c r="G217" s="70" t="str">
        <x:v>教学安排；具体考试任务与量表见95。</x:v>
      </x:c>
    </x:row>
    <x:row r="218" ht="64" customHeight="1">
      <x:c r="A218" s="71" t="str">
        <x:v>L0217</x:v>
      </x:c>
      <x:c r="B218" s="70" t="str">
        <x:v>C501</x:v>
      </x:c>
      <x:c r="C218" s="70" t="str">
        <x:v>U205</x:v>
      </x:c>
      <x:c r="D218" s="70" t="str">
        <x:v>校内选定教学划分</x:v>
      </x:c>
      <x:c r="E218" s="70" t="str">
        <x:v>备考</x:v>
      </x:c>
      <x:c r="F218" s="70" t="n">
        <x:v>40</x:v>
      </x:c>
      <x:c r="G218" s="70" t="str">
        <x:v>教学安排；具体考试任务与量表见95。</x:v>
      </x:c>
    </x:row>
    <x:row r="219" ht="64" customHeight="1">
      <x:c r="A219" s="71" t="str">
        <x:v>L0218</x:v>
      </x:c>
      <x:c r="B219" s="70" t="str">
        <x:v>C502</x:v>
      </x:c>
      <x:c r="C219" s="70" t="str">
        <x:v>U206</x:v>
      </x:c>
      <x:c r="D219" s="70" t="str">
        <x:v>校内选定教学划分</x:v>
      </x:c>
      <x:c r="E219" s="70" t="str">
        <x:v>备考</x:v>
      </x:c>
      <x:c r="F219" s="70" t="n">
        <x:v>10</x:v>
      </x:c>
      <x:c r="G219" s="70" t="str">
        <x:v>DET技能教学划分，不代表四个独立计时section。</x:v>
      </x:c>
    </x:row>
    <x:row r="220" ht="64" customHeight="1">
      <x:c r="A220" s="71" t="str">
        <x:v>L0219</x:v>
      </x:c>
      <x:c r="B220" s="70" t="str">
        <x:v>C502</x:v>
      </x:c>
      <x:c r="C220" s="70" t="str">
        <x:v>U207</x:v>
      </x:c>
      <x:c r="D220" s="70" t="str">
        <x:v>校内选定教学划分</x:v>
      </x:c>
      <x:c r="E220" s="70" t="str">
        <x:v>备考</x:v>
      </x:c>
      <x:c r="F220" s="70" t="n">
        <x:v>20</x:v>
      </x:c>
      <x:c r="G220" s="70" t="str">
        <x:v>DET技能教学划分，不代表四个独立计时section。</x:v>
      </x:c>
    </x:row>
    <x:row r="221" ht="64" customHeight="1">
      <x:c r="A221" s="71" t="str">
        <x:v>L0220</x:v>
      </x:c>
      <x:c r="B221" s="70" t="str">
        <x:v>C502</x:v>
      </x:c>
      <x:c r="C221" s="70" t="str">
        <x:v>U208</x:v>
      </x:c>
      <x:c r="D221" s="70" t="str">
        <x:v>校内选定教学划分</x:v>
      </x:c>
      <x:c r="E221" s="70" t="str">
        <x:v>备考</x:v>
      </x:c>
      <x:c r="F221" s="70" t="n">
        <x:v>30</x:v>
      </x:c>
      <x:c r="G221" s="70" t="str">
        <x:v>DET技能教学划分，不代表四个独立计时section。</x:v>
      </x:c>
    </x:row>
    <x:row r="222" ht="64" customHeight="1">
      <x:c r="A222" s="71" t="str">
        <x:v>L0221</x:v>
      </x:c>
      <x:c r="B222" s="70" t="str">
        <x:v>C502</x:v>
      </x:c>
      <x:c r="C222" s="70" t="str">
        <x:v>U209</x:v>
      </x:c>
      <x:c r="D222" s="70" t="str">
        <x:v>校内选定教学划分</x:v>
      </x:c>
      <x:c r="E222" s="70" t="str">
        <x:v>备考</x:v>
      </x:c>
      <x:c r="F222" s="70" t="n">
        <x:v>40</x:v>
      </x:c>
      <x:c r="G222" s="70" t="str">
        <x:v>DET技能教学划分，不代表四个独立计时section。</x:v>
      </x:c>
    </x:row>
    <x:row r="223" ht="64" customHeight="1">
      <x:c r="A223" s="71" t="str">
        <x:v>L0222</x:v>
      </x:c>
      <x:c r="B223" s="70" t="str">
        <x:v>C362</x:v>
      </x:c>
      <x:c r="C223" s="70" t="str">
        <x:v>U210</x:v>
      </x:c>
      <x:c r="D223" s="70" t="str">
        <x:v>校内选定教学划分</x:v>
      </x:c>
      <x:c r="E223" s="70" t="str">
        <x:v>Category A</x:v>
      </x:c>
      <x:c r="F223" s="70" t="n">
        <x:v>10</x:v>
      </x:c>
      <x:c r="G223" s="70" t="str">
        <x:v>M1/M2是数学扩展部分；不自动当成独立毕业学科，不强制两者全修。</x:v>
      </x:c>
    </x:row>
    <x:row r="224" ht="64" customHeight="1">
      <x:c r="A224" s="71" t="str">
        <x:v>L0223</x:v>
      </x:c>
      <x:c r="B224" s="70" t="str">
        <x:v>C362</x:v>
      </x:c>
      <x:c r="C224" s="70" t="str">
        <x:v>U211</x:v>
      </x:c>
      <x:c r="D224" s="70" t="str">
        <x:v>按学生选修的扩展模块</x:v>
      </x:c>
      <x:c r="E224" s="70" t="str">
        <x:v>Category A</x:v>
      </x:c>
      <x:c r="F224" s="70" t="n">
        <x:v>20</x:v>
      </x:c>
      <x:c r="G224" s="70" t="str">
        <x:v>M1/M2是数学扩展部分；不自动当成独立毕业学科，不强制两者全修。</x:v>
      </x:c>
    </x:row>
    <x:row r="225" ht="64" customHeight="1">
      <x:c r="A225" s="71" t="str">
        <x:v>L0224</x:v>
      </x:c>
      <x:c r="B225" s="70" t="str">
        <x:v>C362</x:v>
      </x:c>
      <x:c r="C225" s="70" t="str">
        <x:v>U212</x:v>
      </x:c>
      <x:c r="D225" s="70" t="str">
        <x:v>按学生选修的扩展模块</x:v>
      </x:c>
      <x:c r="E225" s="70" t="str">
        <x:v>Category A</x:v>
      </x:c>
      <x:c r="F225" s="70" t="n">
        <x:v>30</x:v>
      </x:c>
      <x:c r="G225" s="70" t="str">
        <x:v>M1/M2是数学扩展部分；不自动当成独立毕业学科，不强制两者全修。</x:v>
      </x:c>
    </x:row>
  </x:sheetData>
  <x:dataValidations count="2">
    <x:dataValidation type="list" sqref="B2:B3000">
      <x:formula1>INDIRECT("'02_课程'!$A$2:$A$3000")</x:formula1>
    </x:dataValidation>
    <x:dataValidation type="list" sqref="C2:C3000">
      <x:formula1>INDIRECT("'03_单元库'!$A$2:$A$3000")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4e18efc1f8461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  <x:col min="3" max="3" width="16" hidden="0" customWidth="1"/>
    <x:col min="4" max="4" width="27" hidden="0" customWidth="1"/>
    <x:col min="5" max="5" width="26" hidden="0" customWidth="1"/>
    <x:col min="6" max="6" width="40" hidden="0" customWidth="1"/>
    <x:col min="7" max="7" width="95" hidden="0" customWidth="1"/>
    <x:col min="8" max="8" width="20" hidden="0" customWidth="1"/>
    <x:col min="9" max="9" width="24" hidden="0" customWidth="1"/>
  </x:cols>
  <x:sheetData>
    <x:row r="1" ht="40" customHeight="1">
      <x:c r="A1" s="13" t="str">
        <x:v>文件内资格标记*</x:v>
      </x:c>
      <x:c r="B1" s="13" t="str">
        <x:v>课程标记*</x:v>
      </x:c>
      <x:c r="C1" s="13" t="str">
        <x:v>资格层级*</x:v>
      </x:c>
      <x:c r="D1" s="13" t="str">
        <x:v>官方资格／Cash-in代码</x:v>
      </x:c>
      <x:c r="E1" s="13" t="str">
        <x:v>代码类型</x:v>
      </x:c>
      <x:c r="F1" s="13" t="str">
        <x:v>AS与完整资格关系</x:v>
      </x:c>
      <x:c r="G1" s="13" t="str">
        <x:v>组成说明</x:v>
      </x:c>
      <x:c r="H1" s="13" t="str">
        <x:v>资格UMS满分</x:v>
      </x:c>
      <x:c r="I1" s="13" t="str">
        <x:v>来源编号</x:v>
      </x:c>
    </x:row>
    <x:row r="2" ht="52" customHeight="1">
      <x:c r="A2" s="20" t="str">
        <x:v>Q001</x:v>
      </x:c>
      <x:c r="B2" s="21" t="str">
        <x:v>C001</x:v>
      </x:c>
      <x:c r="C2" s="21" t="str">
        <x:v>IAS</x:v>
      </x:c>
      <x:c r="D2" s="21" t="str">
        <x:v>XAC11</x:v>
      </x:c>
      <x:c r="E2" s="21" t="str">
        <x:v>Cash-in</x:v>
      </x:c>
      <x:c r="F2" s="21" t="str">
        <x:v>可计入完整IAL（按官方规则）</x:v>
      </x:c>
      <x:c r="G2" s="21" t="str">
        <x:v>WAC11</x:v>
      </x:c>
      <x:c r="H2" s="21" t="n">
        <x:v>300</x:v>
      </x:c>
      <x:c r="I2" s="21" t="str">
        <x:v>P-ACCOUNTING;P-MAN;P-UMS</x:v>
      </x:c>
    </x:row>
    <x:row r="3" ht="52" customHeight="1">
      <x:c r="A3" s="20" t="str">
        <x:v>Q002</x:v>
      </x:c>
      <x:c r="B3" s="21" t="str">
        <x:v>C001</x:v>
      </x:c>
      <x:c r="C3" s="21" t="str">
        <x:v>IAL</x:v>
      </x:c>
      <x:c r="D3" s="21" t="str">
        <x:v>YAC11</x:v>
      </x:c>
      <x:c r="E3" s="21" t="str">
        <x:v>Cash-in</x:v>
      </x:c>
      <x:c r="F3" s="21" t="str">
        <x:v>完整资格</x:v>
      </x:c>
      <x:c r="G3" s="21" t="str">
        <x:v>WAC11 + WAC12</x:v>
      </x:c>
      <x:c r="H3" s="21" t="n">
        <x:v>600</x:v>
      </x:c>
      <x:c r="I3" s="21" t="str">
        <x:v>P-ACCOUNTING;P-MAN;P-UMS</x:v>
      </x:c>
    </x:row>
    <x:row r="4" ht="52" customHeight="1">
      <x:c r="A4" s="20" t="str">
        <x:v>Q003</x:v>
      </x:c>
      <x:c r="B4" s="21" t="str">
        <x:v>C002</x:v>
      </x:c>
      <x:c r="C4" s="21" t="str">
        <x:v>IAS</x:v>
      </x:c>
      <x:c r="D4" s="21" t="str">
        <x:v>XAA01</x:v>
      </x:c>
      <x:c r="E4" s="21" t="str">
        <x:v>Cash-in</x:v>
      </x:c>
      <x:c r="F4" s="21" t="str">
        <x:v>可计入完整IAL（按官方规则）</x:v>
      </x:c>
      <x:c r="G4" s="21" t="str">
        <x:v>WAA01</x:v>
      </x:c>
      <x:c r="H4" s="21" t="n">
        <x:v>100</x:v>
      </x:c>
      <x:c r="I4" s="21" t="str">
        <x:v>P-ARABIC;P-MAN;P-UMS</x:v>
      </x:c>
    </x:row>
    <x:row r="5" ht="52" customHeight="1">
      <x:c r="A5" s="20" t="str">
        <x:v>Q004</x:v>
      </x:c>
      <x:c r="B5" s="21" t="str">
        <x:v>C002</x:v>
      </x:c>
      <x:c r="C5" s="21" t="str">
        <x:v>IAL</x:v>
      </x:c>
      <x:c r="D5" s="21" t="str">
        <x:v>YAA01</x:v>
      </x:c>
      <x:c r="E5" s="21" t="str">
        <x:v>Cash-in</x:v>
      </x:c>
      <x:c r="F5" s="21" t="str">
        <x:v>完整资格</x:v>
      </x:c>
      <x:c r="G5" s="21" t="str">
        <x:v>WAA01 + WAA02</x:v>
      </x:c>
      <x:c r="H5" s="21" t="n">
        <x:v>200</x:v>
      </x:c>
      <x:c r="I5" s="21" t="str">
        <x:v>P-ARABIC;P-MAN;P-UMS</x:v>
      </x:c>
    </x:row>
    <x:row r="6" ht="52" customHeight="1">
      <x:c r="A6" s="20" t="str">
        <x:v>Q005</x:v>
      </x:c>
      <x:c r="B6" s="21" t="str">
        <x:v>C003</x:v>
      </x:c>
      <x:c r="C6" s="21" t="str">
        <x:v>IAS</x:v>
      </x:c>
      <x:c r="D6" s="21" t="str">
        <x:v>XBI11</x:v>
      </x:c>
      <x:c r="E6" s="21" t="str">
        <x:v>Cash-in</x:v>
      </x:c>
      <x:c r="F6" s="21" t="str">
        <x:v>可计入完整IAL（按官方规则）</x:v>
      </x:c>
      <x:c r="G6" s="21" t="str">
        <x:v>WBI11 + WBI12 + WBI13</x:v>
      </x:c>
      <x:c r="H6" s="21" t="n">
        <x:v>300</x:v>
      </x:c>
      <x:c r="I6" s="21" t="str">
        <x:v>P-BIOLOGY;P-MAN;P-UMS</x:v>
      </x:c>
    </x:row>
    <x:row r="7" ht="52" customHeight="1">
      <x:c r="A7" s="20" t="str">
        <x:v>Q006</x:v>
      </x:c>
      <x:c r="B7" s="21" t="str">
        <x:v>C003</x:v>
      </x:c>
      <x:c r="C7" s="21" t="str">
        <x:v>IAL</x:v>
      </x:c>
      <x:c r="D7" s="21" t="str">
        <x:v>YBI11</x:v>
      </x:c>
      <x:c r="E7" s="21" t="str">
        <x:v>Cash-in</x:v>
      </x:c>
      <x:c r="F7" s="21" t="str">
        <x:v>完整资格</x:v>
      </x:c>
      <x:c r="G7" s="21" t="str">
        <x:v>WBI11 + WBI12 + WBI13 + WBI14 + WBI15 + WBI16</x:v>
      </x:c>
      <x:c r="H7" s="21" t="n">
        <x:v>600</x:v>
      </x:c>
      <x:c r="I7" s="21" t="str">
        <x:v>P-BIOLOGY;P-MAN;P-UMS</x:v>
      </x:c>
    </x:row>
    <x:row r="8" ht="52" customHeight="1">
      <x:c r="A8" s="20" t="str">
        <x:v>Q007</x:v>
      </x:c>
      <x:c r="B8" s="21" t="str">
        <x:v>C004</x:v>
      </x:c>
      <x:c r="C8" s="21" t="str">
        <x:v>IAS</x:v>
      </x:c>
      <x:c r="D8" s="21" t="str">
        <x:v>XBS11</x:v>
      </x:c>
      <x:c r="E8" s="21" t="str">
        <x:v>Cash-in</x:v>
      </x:c>
      <x:c r="F8" s="21" t="str">
        <x:v>可计入完整IAL（按官方规则）</x:v>
      </x:c>
      <x:c r="G8" s="21" t="str">
        <x:v>WBS11 + WBS12</x:v>
      </x:c>
      <x:c r="H8" s="21" t="n">
        <x:v>200</x:v>
      </x:c>
      <x:c r="I8" s="21" t="str">
        <x:v>P-BUSINESS;P-MAN;P-UMS</x:v>
      </x:c>
    </x:row>
    <x:row r="9" ht="52" customHeight="1">
      <x:c r="A9" s="20" t="str">
        <x:v>Q008</x:v>
      </x:c>
      <x:c r="B9" s="21" t="str">
        <x:v>C004</x:v>
      </x:c>
      <x:c r="C9" s="21" t="str">
        <x:v>IAL</x:v>
      </x:c>
      <x:c r="D9" s="21" t="str">
        <x:v>YBS11</x:v>
      </x:c>
      <x:c r="E9" s="21" t="str">
        <x:v>Cash-in</x:v>
      </x:c>
      <x:c r="F9" s="21" t="str">
        <x:v>完整资格</x:v>
      </x:c>
      <x:c r="G9" s="21" t="str">
        <x:v>WBS11 + WBS12 + WBS13 + WBS14</x:v>
      </x:c>
      <x:c r="H9" s="21" t="n">
        <x:v>400</x:v>
      </x:c>
      <x:c r="I9" s="21" t="str">
        <x:v>P-BUSINESS;P-MAN;P-UMS</x:v>
      </x:c>
    </x:row>
    <x:row r="10" ht="52" customHeight="1">
      <x:c r="A10" s="20" t="str">
        <x:v>Q009</x:v>
      </x:c>
      <x:c r="B10" s="21" t="str">
        <x:v>C005</x:v>
      </x:c>
      <x:c r="C10" s="21" t="str">
        <x:v>IAS</x:v>
      </x:c>
      <x:c r="D10" s="21" t="str">
        <x:v>XCH11</x:v>
      </x:c>
      <x:c r="E10" s="21" t="str">
        <x:v>Cash-in</x:v>
      </x:c>
      <x:c r="F10" s="21" t="str">
        <x:v>可计入完整IAL（按官方规则）</x:v>
      </x:c>
      <x:c r="G10" s="21" t="str">
        <x:v>WCH11 + WCH12 + WCH13</x:v>
      </x:c>
      <x:c r="H10" s="21" t="n">
        <x:v>300</x:v>
      </x:c>
      <x:c r="I10" s="21" t="str">
        <x:v>P-CHEMISTRY;P-MAN;P-UMS</x:v>
      </x:c>
    </x:row>
    <x:row r="11" ht="52" customHeight="1">
      <x:c r="A11" s="20" t="str">
        <x:v>Q010</x:v>
      </x:c>
      <x:c r="B11" s="21" t="str">
        <x:v>C005</x:v>
      </x:c>
      <x:c r="C11" s="21" t="str">
        <x:v>IAL</x:v>
      </x:c>
      <x:c r="D11" s="21" t="str">
        <x:v>YCH11</x:v>
      </x:c>
      <x:c r="E11" s="21" t="str">
        <x:v>Cash-in</x:v>
      </x:c>
      <x:c r="F11" s="21" t="str">
        <x:v>完整资格</x:v>
      </x:c>
      <x:c r="G11" s="21" t="str">
        <x:v>WCH11 + WCH12 + WCH13 + WCH14 + WCH15 + WCH16</x:v>
      </x:c>
      <x:c r="H11" s="21" t="n">
        <x:v>600</x:v>
      </x:c>
      <x:c r="I11" s="21" t="str">
        <x:v>P-CHEMISTRY;P-MAN;P-UMS</x:v>
      </x:c>
    </x:row>
    <x:row r="12" ht="52" customHeight="1">
      <x:c r="A12" s="20" t="str">
        <x:v>Q011</x:v>
      </x:c>
      <x:c r="B12" s="21" t="str">
        <x:v>C006</x:v>
      </x:c>
      <x:c r="C12" s="21" t="str">
        <x:v>IAS</x:v>
      </x:c>
      <x:c r="D12" s="21" t="str">
        <x:v>XEC11</x:v>
      </x:c>
      <x:c r="E12" s="21" t="str">
        <x:v>Cash-in</x:v>
      </x:c>
      <x:c r="F12" s="21" t="str">
        <x:v>可计入完整IAL（按官方规则）</x:v>
      </x:c>
      <x:c r="G12" s="21" t="str">
        <x:v>WEC11 + WEC12</x:v>
      </x:c>
      <x:c r="H12" s="21" t="n">
        <x:v>200</x:v>
      </x:c>
      <x:c r="I12" s="21" t="str">
        <x:v>P-ECONOMICS;P-MAN;P-UMS</x:v>
      </x:c>
    </x:row>
    <x:row r="13" ht="52" customHeight="1">
      <x:c r="A13" s="20" t="str">
        <x:v>Q012</x:v>
      </x:c>
      <x:c r="B13" s="21" t="str">
        <x:v>C006</x:v>
      </x:c>
      <x:c r="C13" s="21" t="str">
        <x:v>IAL</x:v>
      </x:c>
      <x:c r="D13" s="21" t="str">
        <x:v>YEC11</x:v>
      </x:c>
      <x:c r="E13" s="21" t="str">
        <x:v>Cash-in</x:v>
      </x:c>
      <x:c r="F13" s="21" t="str">
        <x:v>完整资格</x:v>
      </x:c>
      <x:c r="G13" s="21" t="str">
        <x:v>WEC11 + WEC12 + WEC13 + WEC14</x:v>
      </x:c>
      <x:c r="H13" s="21" t="n">
        <x:v>400</x:v>
      </x:c>
      <x:c r="I13" s="21" t="str">
        <x:v>P-ECONOMICS;P-MAN;P-UMS</x:v>
      </x:c>
    </x:row>
    <x:row r="14" ht="52" customHeight="1">
      <x:c r="A14" s="20" t="str">
        <x:v>Q013</x:v>
      </x:c>
      <x:c r="B14" s="21" t="str">
        <x:v>C007</x:v>
      </x:c>
      <x:c r="C14" s="21" t="str">
        <x:v>IAS</x:v>
      </x:c>
      <x:c r="D14" s="21" t="str">
        <x:v>XEN01</x:v>
      </x:c>
      <x:c r="E14" s="21" t="str">
        <x:v>Cash-in</x:v>
      </x:c>
      <x:c r="F14" s="21" t="str">
        <x:v>可计入完整IAL（按官方规则）</x:v>
      </x:c>
      <x:c r="G14" s="21" t="str">
        <x:v>WEN01 + WEN02</x:v>
      </x:c>
      <x:c r="H14" s="21" t="n">
        <x:v>200</x:v>
      </x:c>
      <x:c r="I14" s="21" t="str">
        <x:v>P-ENGLISHLANGUAGE;P-MAN;P-UMS</x:v>
      </x:c>
    </x:row>
    <x:row r="15" ht="52" customHeight="1">
      <x:c r="A15" s="20" t="str">
        <x:v>Q014</x:v>
      </x:c>
      <x:c r="B15" s="21" t="str">
        <x:v>C007</x:v>
      </x:c>
      <x:c r="C15" s="21" t="str">
        <x:v>IAL</x:v>
      </x:c>
      <x:c r="D15" s="21" t="str">
        <x:v>YEN01</x:v>
      </x:c>
      <x:c r="E15" s="21" t="str">
        <x:v>Cash-in</x:v>
      </x:c>
      <x:c r="F15" s="21" t="str">
        <x:v>完整资格</x:v>
      </x:c>
      <x:c r="G15" s="21" t="str">
        <x:v>WEN01 + WEN02 + WEN03 + WEN04</x:v>
      </x:c>
      <x:c r="H15" s="21" t="n">
        <x:v>400</x:v>
      </x:c>
      <x:c r="I15" s="21" t="str">
        <x:v>P-ENGLISHLANGUAGE;P-MAN;P-UMS</x:v>
      </x:c>
    </x:row>
    <x:row r="16" ht="52" customHeight="1">
      <x:c r="A16" s="20" t="str">
        <x:v>Q015</x:v>
      </x:c>
      <x:c r="B16" s="21" t="str">
        <x:v>C008</x:v>
      </x:c>
      <x:c r="C16" s="21" t="str">
        <x:v>IAS</x:v>
      </x:c>
      <x:c r="D16" s="21" t="str">
        <x:v>XET01</x:v>
      </x:c>
      <x:c r="E16" s="21" t="str">
        <x:v>Cash-in</x:v>
      </x:c>
      <x:c r="F16" s="21" t="str">
        <x:v>可计入完整IAL（按官方规则）</x:v>
      </x:c>
      <x:c r="G16" s="21" t="str">
        <x:v>WET01 + WET02</x:v>
      </x:c>
      <x:c r="H16" s="21" t="n">
        <x:v>200</x:v>
      </x:c>
      <x:c r="I16" s="21" t="str">
        <x:v>P-ENGLISHLITERATURE;P-MAN;P-UMS</x:v>
      </x:c>
    </x:row>
    <x:row r="17" ht="52" customHeight="1">
      <x:c r="A17" s="20" t="str">
        <x:v>Q016</x:v>
      </x:c>
      <x:c r="B17" s="21" t="str">
        <x:v>C008</x:v>
      </x:c>
      <x:c r="C17" s="21" t="str">
        <x:v>IAL</x:v>
      </x:c>
      <x:c r="D17" s="21" t="str">
        <x:v>YET01</x:v>
      </x:c>
      <x:c r="E17" s="21" t="str">
        <x:v>Cash-in</x:v>
      </x:c>
      <x:c r="F17" s="21" t="str">
        <x:v>完整资格</x:v>
      </x:c>
      <x:c r="G17" s="21" t="str">
        <x:v>WET01 + WET02 + WET03 + WET04</x:v>
      </x:c>
      <x:c r="H17" s="21" t="n">
        <x:v>400</x:v>
      </x:c>
      <x:c r="I17" s="21" t="str">
        <x:v>P-ENGLISHLITERATURE;P-MAN;P-UMS</x:v>
      </x:c>
    </x:row>
    <x:row r="18" ht="52" customHeight="1">
      <x:c r="A18" s="20" t="str">
        <x:v>Q017</x:v>
      </x:c>
      <x:c r="B18" s="21" t="str">
        <x:v>C009</x:v>
      </x:c>
      <x:c r="C18" s="21" t="str">
        <x:v>IAS</x:v>
      </x:c>
      <x:c r="D18" s="21" t="str">
        <x:v>XFR01</x:v>
      </x:c>
      <x:c r="E18" s="21" t="str">
        <x:v>Cash-in</x:v>
      </x:c>
      <x:c r="F18" s="21" t="str">
        <x:v>可计入完整IAL（按官方规则）</x:v>
      </x:c>
      <x:c r="G18" s="21" t="str">
        <x:v>WFR01 + WFR02</x:v>
      </x:c>
      <x:c r="H18" s="21" t="n">
        <x:v>200</x:v>
      </x:c>
      <x:c r="I18" s="21" t="str">
        <x:v>P-MAN;P-UMS</x:v>
      </x:c>
    </x:row>
    <x:row r="19" ht="52" customHeight="1">
      <x:c r="A19" s="20" t="str">
        <x:v>Q018</x:v>
      </x:c>
      <x:c r="B19" s="21" t="str">
        <x:v>C009</x:v>
      </x:c>
      <x:c r="C19" s="21" t="str">
        <x:v>IAL</x:v>
      </x:c>
      <x:c r="D19" s="21" t="str">
        <x:v>YFR01</x:v>
      </x:c>
      <x:c r="E19" s="21" t="str">
        <x:v>Cash-in</x:v>
      </x:c>
      <x:c r="F19" s="21" t="str">
        <x:v>完整资格</x:v>
      </x:c>
      <x:c r="G19" s="21" t="str">
        <x:v>WFR01 + WFR02 + WFR03 + WFR04</x:v>
      </x:c>
      <x:c r="H19" s="21" t="n">
        <x:v>400</x:v>
      </x:c>
      <x:c r="I19" s="21" t="str">
        <x:v>P-MAN;P-UMS</x:v>
      </x:c>
    </x:row>
    <x:row r="20" ht="52" customHeight="1">
      <x:c r="A20" s="20" t="str">
        <x:v>Q019</x:v>
      </x:c>
      <x:c r="B20" s="21" t="str">
        <x:v>C010</x:v>
      </x:c>
      <x:c r="C20" s="21" t="str">
        <x:v>IAS</x:v>
      </x:c>
      <x:c r="D20" s="21" t="str">
        <x:v>XGE01</x:v>
      </x:c>
      <x:c r="E20" s="21" t="str">
        <x:v>Cash-in</x:v>
      </x:c>
      <x:c r="F20" s="21" t="str">
        <x:v>可计入完整IAL（按官方规则）</x:v>
      </x:c>
      <x:c r="G20" s="21" t="str">
        <x:v>WGE01 + WGE02</x:v>
      </x:c>
      <x:c r="H20" s="21" t="n">
        <x:v>200</x:v>
      </x:c>
      <x:c r="I20" s="21" t="str">
        <x:v>P-MAN;P-UMS</x:v>
      </x:c>
    </x:row>
    <x:row r="21" ht="52" customHeight="1">
      <x:c r="A21" s="20" t="str">
        <x:v>Q020</x:v>
      </x:c>
      <x:c r="B21" s="21" t="str">
        <x:v>C010</x:v>
      </x:c>
      <x:c r="C21" s="21" t="str">
        <x:v>IAL</x:v>
      </x:c>
      <x:c r="D21" s="21" t="str">
        <x:v>YGE01</x:v>
      </x:c>
      <x:c r="E21" s="21" t="str">
        <x:v>Cash-in</x:v>
      </x:c>
      <x:c r="F21" s="21" t="str">
        <x:v>完整资格</x:v>
      </x:c>
      <x:c r="G21" s="21" t="str">
        <x:v>WGE01 + WGE02 + WGE03 + WGE04</x:v>
      </x:c>
      <x:c r="H21" s="21" t="n">
        <x:v>400</x:v>
      </x:c>
      <x:c r="I21" s="21" t="str">
        <x:v>P-MAN;P-UMS</x:v>
      </x:c>
    </x:row>
    <x:row r="22" ht="52" customHeight="1">
      <x:c r="A22" s="20" t="str">
        <x:v>Q021</x:v>
      </x:c>
      <x:c r="B22" s="21" t="str">
        <x:v>C011</x:v>
      </x:c>
      <x:c r="C22" s="21" t="str">
        <x:v>IAS</x:v>
      </x:c>
      <x:c r="D22" s="21" t="str">
        <x:v>XGN01</x:v>
      </x:c>
      <x:c r="E22" s="21" t="str">
        <x:v>Cash-in</x:v>
      </x:c>
      <x:c r="F22" s="21" t="str">
        <x:v>可计入完整IAL（按官方规则）</x:v>
      </x:c>
      <x:c r="G22" s="21" t="str">
        <x:v>WGN01 + WGN02</x:v>
      </x:c>
      <x:c r="H22" s="21" t="n">
        <x:v>200</x:v>
      </x:c>
      <x:c r="I22" s="21" t="str">
        <x:v>P-MAN;P-UMS</x:v>
      </x:c>
    </x:row>
    <x:row r="23" ht="52" customHeight="1">
      <x:c r="A23" s="20" t="str">
        <x:v>Q022</x:v>
      </x:c>
      <x:c r="B23" s="21" t="str">
        <x:v>C011</x:v>
      </x:c>
      <x:c r="C23" s="21" t="str">
        <x:v>IAL</x:v>
      </x:c>
      <x:c r="D23" s="21" t="str">
        <x:v>YGN01</x:v>
      </x:c>
      <x:c r="E23" s="21" t="str">
        <x:v>Cash-in</x:v>
      </x:c>
      <x:c r="F23" s="21" t="str">
        <x:v>完整资格</x:v>
      </x:c>
      <x:c r="G23" s="21" t="str">
        <x:v>WGN01 + WGN02 + WGN03 + WGN04</x:v>
      </x:c>
      <x:c r="H23" s="21" t="n">
        <x:v>400</x:v>
      </x:c>
      <x:c r="I23" s="21" t="str">
        <x:v>P-MAN;P-UMS</x:v>
      </x:c>
    </x:row>
    <x:row r="24" ht="52" customHeight="1">
      <x:c r="A24" s="20" t="str">
        <x:v>Q023</x:v>
      </x:c>
      <x:c r="B24" s="21" t="str">
        <x:v>C012</x:v>
      </x:c>
      <x:c r="C24" s="21" t="str">
        <x:v>IAS</x:v>
      </x:c>
      <x:c r="D24" s="21" t="str">
        <x:v>XHI01</x:v>
      </x:c>
      <x:c r="E24" s="21" t="str">
        <x:v>Cash-in</x:v>
      </x:c>
      <x:c r="F24" s="21" t="str">
        <x:v>可计入完整IAL（按官方规则）</x:v>
      </x:c>
      <x:c r="G24" s="21" t="str">
        <x:v>WHI01 + WHI02</x:v>
      </x:c>
      <x:c r="H24" s="21" t="n">
        <x:v>200</x:v>
      </x:c>
      <x:c r="I24" s="21" t="str">
        <x:v>P-MAN;P-UMS</x:v>
      </x:c>
    </x:row>
    <x:row r="25" ht="52" customHeight="1">
      <x:c r="A25" s="20" t="str">
        <x:v>Q024</x:v>
      </x:c>
      <x:c r="B25" s="21" t="str">
        <x:v>C012</x:v>
      </x:c>
      <x:c r="C25" s="21" t="str">
        <x:v>IAL</x:v>
      </x:c>
      <x:c r="D25" s="21" t="str">
        <x:v>YHI01</x:v>
      </x:c>
      <x:c r="E25" s="21" t="str">
        <x:v>Cash-in</x:v>
      </x:c>
      <x:c r="F25" s="21" t="str">
        <x:v>完整资格</x:v>
      </x:c>
      <x:c r="G25" s="21" t="str">
        <x:v>WHI01 + WHI02 + WHI03 + WHI04</x:v>
      </x:c>
      <x:c r="H25" s="21" t="n">
        <x:v>400</x:v>
      </x:c>
      <x:c r="I25" s="21" t="str">
        <x:v>P-MAN;P-UMS</x:v>
      </x:c>
    </x:row>
    <x:row r="26" ht="52" customHeight="1">
      <x:c r="A26" s="20" t="str">
        <x:v>Q025</x:v>
      </x:c>
      <x:c r="B26" s="21" t="str">
        <x:v>C013</x:v>
      </x:c>
      <x:c r="C26" s="21" t="str">
        <x:v>IAS</x:v>
      </x:c>
      <x:c r="D26" s="21" t="str">
        <x:v>XIT11</x:v>
      </x:c>
      <x:c r="E26" s="21" t="str">
        <x:v>Cash-in</x:v>
      </x:c>
      <x:c r="F26" s="21" t="str">
        <x:v>可计入完整IAL（按官方规则）</x:v>
      </x:c>
      <x:c r="G26" s="21" t="str">
        <x:v>WIT11 + WIT12</x:v>
      </x:c>
      <x:c r="H26" s="21" t="n">
        <x:v>200</x:v>
      </x:c>
      <x:c r="I26" s="21" t="str">
        <x:v>P-INFORMATIONTECHNOLOGY;P-MAN;P-UMS</x:v>
      </x:c>
    </x:row>
    <x:row r="27" ht="52" customHeight="1">
      <x:c r="A27" s="20" t="str">
        <x:v>Q026</x:v>
      </x:c>
      <x:c r="B27" s="21" t="str">
        <x:v>C013</x:v>
      </x:c>
      <x:c r="C27" s="21" t="str">
        <x:v>IAL</x:v>
      </x:c>
      <x:c r="D27" s="21" t="str">
        <x:v>YIT11</x:v>
      </x:c>
      <x:c r="E27" s="21" t="str">
        <x:v>Cash-in</x:v>
      </x:c>
      <x:c r="F27" s="21" t="str">
        <x:v>完整资格</x:v>
      </x:c>
      <x:c r="G27" s="21" t="str">
        <x:v>WIT11 + WIT12 + WIT13 + WIT14</x:v>
      </x:c>
      <x:c r="H27" s="21" t="n">
        <x:v>400</x:v>
      </x:c>
      <x:c r="I27" s="21" t="str">
        <x:v>P-INFORMATIONTECHNOLOGY;P-MAN;P-UMS</x:v>
      </x:c>
    </x:row>
    <x:row r="28" ht="52" customHeight="1">
      <x:c r="A28" s="20" t="str">
        <x:v>Q027</x:v>
      </x:c>
      <x:c r="B28" s="21" t="str">
        <x:v>C014</x:v>
      </x:c>
      <x:c r="C28" s="21" t="str">
        <x:v>IAS</x:v>
      </x:c>
      <x:c r="D28" s="21" t="str">
        <x:v>XPH11</x:v>
      </x:c>
      <x:c r="E28" s="21" t="str">
        <x:v>Cash-in</x:v>
      </x:c>
      <x:c r="F28" s="21" t="str">
        <x:v>可计入完整IAL（按官方规则）</x:v>
      </x:c>
      <x:c r="G28" s="21" t="str">
        <x:v>WPH11 + WPH12 + WPH13</x:v>
      </x:c>
      <x:c r="H28" s="21" t="n">
        <x:v>300</x:v>
      </x:c>
      <x:c r="I28" s="21" t="str">
        <x:v>P-MAN;P-UMS</x:v>
      </x:c>
    </x:row>
    <x:row r="29" ht="52" customHeight="1">
      <x:c r="A29" s="20" t="str">
        <x:v>Q028</x:v>
      </x:c>
      <x:c r="B29" s="21" t="str">
        <x:v>C014</x:v>
      </x:c>
      <x:c r="C29" s="21" t="str">
        <x:v>IAL</x:v>
      </x:c>
      <x:c r="D29" s="21" t="str">
        <x:v>YPH11</x:v>
      </x:c>
      <x:c r="E29" s="21" t="str">
        <x:v>Cash-in</x:v>
      </x:c>
      <x:c r="F29" s="21" t="str">
        <x:v>完整资格</x:v>
      </x:c>
      <x:c r="G29" s="21" t="str">
        <x:v>WPH11 + WPH12 + WPH13 + WPH14 + WPH15 + WPH16</x:v>
      </x:c>
      <x:c r="H29" s="21" t="n">
        <x:v>600</x:v>
      </x:c>
      <x:c r="I29" s="21" t="str">
        <x:v>P-MAN;P-UMS</x:v>
      </x:c>
    </x:row>
    <x:row r="30" ht="52" customHeight="1">
      <x:c r="A30" s="20" t="str">
        <x:v>Q029</x:v>
      </x:c>
      <x:c r="B30" s="21" t="str">
        <x:v>C015</x:v>
      </x:c>
      <x:c r="C30" s="21" t="str">
        <x:v>IAS</x:v>
      </x:c>
      <x:c r="D30" s="21" t="str">
        <x:v>XPS01</x:v>
      </x:c>
      <x:c r="E30" s="21" t="str">
        <x:v>Cash-in</x:v>
      </x:c>
      <x:c r="F30" s="21" t="str">
        <x:v>可计入完整IAL（按官方规则）</x:v>
      </x:c>
      <x:c r="G30" s="21" t="str">
        <x:v>WPS01 + WPS02</x:v>
      </x:c>
      <x:c r="H30" s="21" t="n">
        <x:v>200</x:v>
      </x:c>
      <x:c r="I30" s="21" t="str">
        <x:v>P-MAN;P-UMS</x:v>
      </x:c>
    </x:row>
    <x:row r="31" ht="52" customHeight="1">
      <x:c r="A31" s="20" t="str">
        <x:v>Q030</x:v>
      </x:c>
      <x:c r="B31" s="21" t="str">
        <x:v>C015</x:v>
      </x:c>
      <x:c r="C31" s="21" t="str">
        <x:v>IAL</x:v>
      </x:c>
      <x:c r="D31" s="21" t="str">
        <x:v>YPS01</x:v>
      </x:c>
      <x:c r="E31" s="21" t="str">
        <x:v>Cash-in</x:v>
      </x:c>
      <x:c r="F31" s="21" t="str">
        <x:v>完整资格</x:v>
      </x:c>
      <x:c r="G31" s="21" t="str">
        <x:v>WPS01 + WPS02 + WPS03 + WPS04</x:v>
      </x:c>
      <x:c r="H31" s="21" t="n">
        <x:v>400</x:v>
      </x:c>
      <x:c r="I31" s="21" t="str">
        <x:v>P-MAN;P-UMS</x:v>
      </x:c>
    </x:row>
    <x:row r="32" ht="52" customHeight="1">
      <x:c r="A32" s="20" t="str">
        <x:v>Q031</x:v>
      </x:c>
      <x:c r="B32" s="21" t="str">
        <x:v>C016</x:v>
      </x:c>
      <x:c r="C32" s="21" t="str">
        <x:v>IAS</x:v>
      </x:c>
      <x:c r="D32" s="21" t="str">
        <x:v>XSP01</x:v>
      </x:c>
      <x:c r="E32" s="21" t="str">
        <x:v>Cash-in</x:v>
      </x:c>
      <x:c r="F32" s="21" t="str">
        <x:v>可计入完整IAL（按官方规则）</x:v>
      </x:c>
      <x:c r="G32" s="21" t="str">
        <x:v>WSP01 + WSP02</x:v>
      </x:c>
      <x:c r="H32" s="21" t="n">
        <x:v>200</x:v>
      </x:c>
      <x:c r="I32" s="21" t="str">
        <x:v>P-MAN;P-UMS</x:v>
      </x:c>
    </x:row>
    <x:row r="33" ht="52" customHeight="1">
      <x:c r="A33" s="20" t="str">
        <x:v>Q032</x:v>
      </x:c>
      <x:c r="B33" s="21" t="str">
        <x:v>C016</x:v>
      </x:c>
      <x:c r="C33" s="21" t="str">
        <x:v>IAL</x:v>
      </x:c>
      <x:c r="D33" s="21" t="str">
        <x:v>YSP01</x:v>
      </x:c>
      <x:c r="E33" s="21" t="str">
        <x:v>Cash-in</x:v>
      </x:c>
      <x:c r="F33" s="21" t="str">
        <x:v>完整资格</x:v>
      </x:c>
      <x:c r="G33" s="21" t="str">
        <x:v>WSP01 + WSP02 + WSP03 + WSP04</x:v>
      </x:c>
      <x:c r="H33" s="21" t="n">
        <x:v>400</x:v>
      </x:c>
      <x:c r="I33" s="21" t="str">
        <x:v>P-MAN;P-UMS</x:v>
      </x:c>
    </x:row>
    <x:row r="34" ht="52" customHeight="1">
      <x:c r="A34" s="20" t="str">
        <x:v>Q033</x:v>
      </x:c>
      <x:c r="B34" s="21" t="str">
        <x:v>C017</x:v>
      </x:c>
      <x:c r="C34" s="21" t="str">
        <x:v>IAS</x:v>
      </x:c>
      <x:c r="D34" s="21" t="str">
        <x:v>XGK01</x:v>
      </x:c>
      <x:c r="E34" s="21" t="str">
        <x:v>Cash-in</x:v>
      </x:c>
      <x:c r="F34" s="21" t="str">
        <x:v>可计入完整IAL（按官方规则）</x:v>
      </x:c>
      <x:c r="G34" s="21" t="str">
        <x:v>WGK01</x:v>
      </x:c>
      <x:c r="H34" s="21" t="n">
        <x:v>100</x:v>
      </x:c>
      <x:c r="I34" s="21" t="str">
        <x:v>P-MAN;P-UMS</x:v>
      </x:c>
    </x:row>
    <x:row r="35" ht="52" customHeight="1">
      <x:c r="A35" s="20" t="str">
        <x:v>Q034</x:v>
      </x:c>
      <x:c r="B35" s="21" t="str">
        <x:v>C017</x:v>
      </x:c>
      <x:c r="C35" s="21" t="str">
        <x:v>IAL</x:v>
      </x:c>
      <x:c r="D35" s="21" t="str">
        <x:v>YGK01</x:v>
      </x:c>
      <x:c r="E35" s="21" t="str">
        <x:v>Cash-in</x:v>
      </x:c>
      <x:c r="F35" s="21" t="str">
        <x:v>完整资格</x:v>
      </x:c>
      <x:c r="G35" s="21" t="str">
        <x:v>WGK01 + WGK02</x:v>
      </x:c>
      <x:c r="H35" s="21" t="n">
        <x:v>200</x:v>
      </x:c>
      <x:c r="I35" s="21" t="str">
        <x:v>P-MAN;P-UMS</x:v>
      </x:c>
    </x:row>
    <x:row r="36" ht="52" customHeight="1">
      <x:c r="A36" s="20" t="str">
        <x:v>Q035</x:v>
      </x:c>
      <x:c r="B36" s="21" t="str">
        <x:v>C018</x:v>
      </x:c>
      <x:c r="C36" s="21" t="str">
        <x:v>IAS</x:v>
      </x:c>
      <x:c r="D36" s="21" t="str">
        <x:v>XMA01</x:v>
      </x:c>
      <x:c r="E36" s="21" t="str">
        <x:v>Cash-in</x:v>
      </x:c>
      <x:c r="F36" s="21" t="str">
        <x:v>可计入完整IAL（按官方规则）</x:v>
      </x:c>
      <x:c r="G36" s="21" t="str">
        <x:v>WMA11 + WMA12 +（WME01 / WST01 / WDM11 三选一）</x:v>
      </x:c>
      <x:c r="H36" s="21" t="n">
        <x:v>300</x:v>
      </x:c>
      <x:c r="I36" s="21" t="str">
        <x:v>P-MATH;P-MAN;P-UMS</x:v>
      </x:c>
    </x:row>
    <x:row r="37" ht="52" customHeight="1">
      <x:c r="A37" s="20" t="str">
        <x:v>Q036</x:v>
      </x:c>
      <x:c r="B37" s="21" t="str">
        <x:v>C018</x:v>
      </x:c>
      <x:c r="C37" s="21" t="str">
        <x:v>IAL</x:v>
      </x:c>
      <x:c r="D37" s="21" t="str">
        <x:v>YMA01</x:v>
      </x:c>
      <x:c r="E37" s="21" t="str">
        <x:v>Cash-in</x:v>
      </x:c>
      <x:c r="F37" s="21" t="str">
        <x:v>完整资格</x:v>
      </x:c>
      <x:c r="G37" s="21" t="str">
        <x:v>WMA11 + WMA12 + WMA13 + WMA14；另选一对：WME01+WST01 / WME01+WDM11 / WME01+WME02 / WST01+WDM11 / WST01+WST02</x:v>
      </x:c>
      <x:c r="H37" s="21" t="n">
        <x:v>600</x:v>
      </x:c>
      <x:c r="I37" s="21" t="str">
        <x:v>P-MATH;P-MAN;P-UMS</x:v>
      </x:c>
    </x:row>
    <x:row r="38" ht="52" customHeight="1">
      <x:c r="A38" s="20" t="str">
        <x:v>Q037</x:v>
      </x:c>
      <x:c r="B38" s="21" t="str">
        <x:v>C019</x:v>
      </x:c>
      <x:c r="C38" s="21" t="str">
        <x:v>IAS</x:v>
      </x:c>
      <x:c r="D38" s="21" t="str">
        <x:v>XFM01</x:v>
      </x:c>
      <x:c r="E38" s="21" t="str">
        <x:v>Cash-in</x:v>
      </x:c>
      <x:c r="F38" s="21" t="str">
        <x:v>可计入完整IAL（按官方规则）</x:v>
      </x:c>
      <x:c r="G38" s="21" t="str">
        <x:v>WFM01 + 两个允许单元（从FP2/FP3/M1/M2/M3/S1/S2/S3/D1中按规则选）</x:v>
      </x:c>
      <x:c r="H38" s="21" t="n">
        <x:v>300</x:v>
      </x:c>
      <x:c r="I38" s="21" t="str">
        <x:v>P-MATH;P-MAN;P-UMS</x:v>
      </x:c>
    </x:row>
    <x:row r="39" ht="52" customHeight="1">
      <x:c r="A39" s="20" t="str">
        <x:v>Q038</x:v>
      </x:c>
      <x:c r="B39" s="21" t="str">
        <x:v>C019</x:v>
      </x:c>
      <x:c r="C39" s="21" t="str">
        <x:v>IAL</x:v>
      </x:c>
      <x:c r="D39" s="21" t="str">
        <x:v>YFM01</x:v>
      </x:c>
      <x:c r="E39" s="21" t="str">
        <x:v>Cash-in</x:v>
      </x:c>
      <x:c r="F39" s="21" t="str">
        <x:v>完整资格</x:v>
      </x:c>
      <x:c r="G39" s="21" t="str">
        <x:v>共6单元：WFM01及WFM02/WFM03至少一个；其余按官方组合规则，不能与数学资格重复计入同一成绩</x:v>
      </x:c>
      <x:c r="H39" s="21" t="n">
        <x:v>600</x:v>
      </x:c>
      <x:c r="I39" s="21" t="str">
        <x:v>P-MATH;P-MAN;P-UMS</x:v>
      </x:c>
    </x:row>
    <x:row r="40" ht="52" customHeight="1">
      <x:c r="A40" s="20" t="str">
        <x:v>Q039</x:v>
      </x:c>
      <x:c r="B40" s="21" t="str">
        <x:v>C020</x:v>
      </x:c>
      <x:c r="C40" s="21" t="str">
        <x:v>IAS</x:v>
      </x:c>
      <x:c r="D40" s="21" t="str">
        <x:v>XPM01</x:v>
      </x:c>
      <x:c r="E40" s="21" t="str">
        <x:v>Cash-in</x:v>
      </x:c>
      <x:c r="F40" s="21" t="str">
        <x:v>可计入完整IAL（按官方规则）</x:v>
      </x:c>
      <x:c r="G40" s="21" t="str">
        <x:v>WMA11 + WMA12 + WFM01</x:v>
      </x:c>
      <x:c r="H40" s="21" t="n">
        <x:v>300</x:v>
      </x:c>
      <x:c r="I40" s="21" t="str">
        <x:v>P-MATH;P-MAN;P-UMS</x:v>
      </x:c>
    </x:row>
    <x:row r="41" ht="52" customHeight="1">
      <x:c r="A41" s="20" t="str">
        <x:v>Q040</x:v>
      </x:c>
      <x:c r="B41" s="21" t="str">
        <x:v>C020</x:v>
      </x:c>
      <x:c r="C41" s="21" t="str">
        <x:v>IAL</x:v>
      </x:c>
      <x:c r="D41" s="21" t="str">
        <x:v>YPM01</x:v>
      </x:c>
      <x:c r="E41" s="21" t="str">
        <x:v>Cash-in</x:v>
      </x:c>
      <x:c r="F41" s="21" t="str">
        <x:v>完整资格</x:v>
      </x:c>
      <x:c r="G41" s="21" t="str">
        <x:v>WMA11 + WMA12 + WMA13 + WMA14 + WFM01 +（WFM02 / WFM03 二选一）</x:v>
      </x:c>
      <x:c r="H41" s="21" t="n">
        <x:v>600</x:v>
      </x:c>
      <x:c r="I41" s="21" t="str">
        <x:v>P-MATH;P-MAN;P-UMS</x:v>
      </x:c>
    </x:row>
    <x:row r="42" ht="52" customHeight="1">
      <x:c r="A42" s="20" t="str">
        <x:v>Q041</x:v>
      </x:c>
      <x:c r="B42" s="21" t="str">
        <x:v>C021</x:v>
      </x:c>
      <x:c r="C42" s="21" t="str">
        <x:v>IAL</x:v>
      </x:c>
      <x:c r="D42" s="21" t="str">
        <x:v>YLA1</x:v>
      </x:c>
      <x:c r="E42" s="21" t="str">
        <x:v>资格代码</x:v>
      </x:c>
      <x:c r="F42" s="21" t="str">
        <x:v>独立完整资格（无IAS出口）</x:v>
      </x:c>
      <x:c r="G42" s="21" t="str">
        <x:v>Paper 1 + Paper 2；线性完整资格</x:v>
      </x:c>
      <x:c r="H42" s="21" t="str">
        <x:v>不适用</x:v>
      </x:c>
      <x:c r="I42" s="21" t="str">
        <x:v>P-MAN</x:v>
      </x:c>
    </x:row>
    <x:row r="43" ht="52" customHeight="1">
      <x:c r="A43" s="20" t="str">
        <x:v>Q042</x:v>
      </x:c>
      <x:c r="B43" s="21" t="str">
        <x:v>C022</x:v>
      </x:c>
      <x:c r="C43" s="21" t="str">
        <x:v>AS</x:v>
      </x:c>
      <x:c r="D43" s="21" t="str">
        <x:v>9709</x:v>
      </x:c>
      <x:c r="E43" s="21" t="str">
        <x:v>Syllabus code</x:v>
      </x:c>
      <x:c r="F43" s="21" t="str">
        <x:v>部分路径可结转；P1+P2不可结转</x:v>
      </x:c>
      <x:c r="G43" s="21" t="str">
        <x:v>P1+P2 或 P1+M1 或 P1+S1</x:v>
      </x:c>
      <x:c r="H43" s="21" t="str">
        <x:v>不适用</x:v>
      </x:c>
      <x:c r="I43" s="21" t="str">
        <x:v>C-9709-PDF</x:v>
      </x:c>
    </x:row>
    <x:row r="44" ht="52" customHeight="1">
      <x:c r="A44" s="20" t="str">
        <x:v>Q043</x:v>
      </x:c>
      <x:c r="B44" s="21" t="str">
        <x:v>C022</x:v>
      </x:c>
      <x:c r="C44" s="21" t="str">
        <x:v>AL</x:v>
      </x:c>
      <x:c r="D44" s="21" t="str">
        <x:v>9709</x:v>
      </x:c>
      <x:c r="E44" s="21" t="str">
        <x:v>Syllabus code</x:v>
      </x:c>
      <x:c r="F44" s="21" t="str">
        <x:v>完整资格</x:v>
      </x:c>
      <x:c r="G44" s="21" t="str">
        <x:v>P1+P3+M1+S1 或 P1+P3+S1+S2</x:v>
      </x:c>
      <x:c r="H44" s="21" t="str">
        <x:v>不适用</x:v>
      </x:c>
      <x:c r="I44" s="21" t="str">
        <x:v>C-9709-PDF</x:v>
      </x:c>
    </x:row>
    <x:row r="45" ht="52" customHeight="1">
      <x:c r="A45" s="20" t="str">
        <x:v>Q044</x:v>
      </x:c>
      <x:c r="B45" s="21" t="str">
        <x:v>C023</x:v>
      </x:c>
      <x:c r="C45" s="21" t="str">
        <x:v>AS</x:v>
      </x:c>
      <x:c r="D45" s="21" t="str">
        <x:v>9231</x:v>
      </x:c>
      <x:c r="E45" s="21" t="str">
        <x:v>Syllabus code</x:v>
      </x:c>
      <x:c r="F45" s="21" t="str">
        <x:v>可分阶段结转，按官方考季规则</x:v>
      </x:c>
      <x:c r="G45" s="21" t="str">
        <x:v>FP1+(FM或FS)</x:v>
      </x:c>
      <x:c r="H45" s="21" t="str">
        <x:v>不适用</x:v>
      </x:c>
      <x:c r="I45" s="21" t="str">
        <x:v>C-9231-PDF</x:v>
      </x:c>
    </x:row>
    <x:row r="46" ht="52" customHeight="1">
      <x:c r="A46" s="20" t="str">
        <x:v>Q045</x:v>
      </x:c>
      <x:c r="B46" s="21" t="str">
        <x:v>C023</x:v>
      </x:c>
      <x:c r="C46" s="21" t="str">
        <x:v>AL</x:v>
      </x:c>
      <x:c r="D46" s="21" t="str">
        <x:v>9231</x:v>
      </x:c>
      <x:c r="E46" s="21" t="str">
        <x:v>Syllabus code</x:v>
      </x:c>
      <x:c r="F46" s="21" t="str">
        <x:v>完整资格</x:v>
      </x:c>
      <x:c r="G46" s="21" t="str">
        <x:v>FP1+FP2+FM+FS</x:v>
      </x:c>
      <x:c r="H46" s="21" t="str">
        <x:v>不适用</x:v>
      </x:c>
      <x:c r="I46" s="21" t="str">
        <x:v>C-9231-PDF</x:v>
      </x:c>
    </x:row>
    <x:row r="47" ht="52" customHeight="1">
      <x:c r="A47" s="20" t="str">
        <x:v>Q046</x:v>
      </x:c>
      <x:c r="B47" s="21" t="str">
        <x:v>C024</x:v>
      </x:c>
      <x:c r="C47" s="21" t="str">
        <x:v>AS</x:v>
      </x:c>
      <x:c r="D47" s="21" t="str">
        <x:v>9618</x:v>
      </x:c>
      <x:c r="E47" s="21" t="str">
        <x:v>Syllabus code</x:v>
      </x:c>
      <x:c r="F47" s="21" t="str">
        <x:v>同课程AS出口；具体考试选项另核对</x:v>
      </x:c>
      <x:c r="G47" s="21" t="str">
        <x:v>按本课程AS考核安排；校内教学块不代替官方试卷组合</x:v>
      </x:c>
      <x:c r="H47" s="21" t="str">
        <x:v>不适用</x:v>
      </x:c>
      <x:c r="I47" s="21" t="str">
        <x:v>C-9618</x:v>
      </x:c>
    </x:row>
    <x:row r="48" ht="52" customHeight="1">
      <x:c r="A48" s="20" t="str">
        <x:v>Q047</x:v>
      </x:c>
      <x:c r="B48" s="21" t="str">
        <x:v>C024</x:v>
      </x:c>
      <x:c r="C48" s="21" t="str">
        <x:v>AL</x:v>
      </x:c>
      <x:c r="D48" s="21" t="str">
        <x:v>9618</x:v>
      </x:c>
      <x:c r="E48" s="21" t="str">
        <x:v>Syllabus code</x:v>
      </x:c>
      <x:c r="F48" s="21" t="str">
        <x:v>完整资格；结转与路径以对应大纲为准</x:v>
      </x:c>
      <x:c r="G48" s="21" t="str">
        <x:v>按本课程完整AL考核安排；不从教学块数量推算考试组合</x:v>
      </x:c>
      <x:c r="H48" s="21" t="str">
        <x:v>不适用</x:v>
      </x:c>
      <x:c r="I48" s="21" t="str">
        <x:v>C-9618</x:v>
      </x:c>
    </x:row>
    <x:row r="49" ht="52" customHeight="1">
      <x:c r="A49" s="20" t="str">
        <x:v>Q048</x:v>
      </x:c>
      <x:c r="B49" s="21" t="str">
        <x:v>C025</x:v>
      </x:c>
      <x:c r="C49" s="21" t="str">
        <x:v>AS</x:v>
      </x:c>
      <x:c r="D49" s="21" t="str">
        <x:v>9702</x:v>
      </x:c>
      <x:c r="E49" s="21" t="str">
        <x:v>Syllabus code</x:v>
      </x:c>
      <x:c r="F49" s="21" t="str">
        <x:v>同课程AS出口；具体考试选项另核对</x:v>
      </x:c>
      <x:c r="G49" s="21" t="str">
        <x:v>按本课程AS考核安排；校内教学块不代替官方试卷组合</x:v>
      </x:c>
      <x:c r="H49" s="21" t="str">
        <x:v>不适用</x:v>
      </x:c>
      <x:c r="I49" s="21" t="str">
        <x:v>C-9702</x:v>
      </x:c>
    </x:row>
    <x:row r="50" ht="52" customHeight="1">
      <x:c r="A50" s="20" t="str">
        <x:v>Q049</x:v>
      </x:c>
      <x:c r="B50" s="21" t="str">
        <x:v>C025</x:v>
      </x:c>
      <x:c r="C50" s="21" t="str">
        <x:v>AL</x:v>
      </x:c>
      <x:c r="D50" s="21" t="str">
        <x:v>9702</x:v>
      </x:c>
      <x:c r="E50" s="21" t="str">
        <x:v>Syllabus code</x:v>
      </x:c>
      <x:c r="F50" s="21" t="str">
        <x:v>完整资格；结转与路径以对应大纲为准</x:v>
      </x:c>
      <x:c r="G50" s="21" t="str">
        <x:v>按本课程完整AL考核安排；不从教学块数量推算考试组合</x:v>
      </x:c>
      <x:c r="H50" s="21" t="str">
        <x:v>不适用</x:v>
      </x:c>
      <x:c r="I50" s="21" t="str">
        <x:v>C-9702</x:v>
      </x:c>
    </x:row>
    <x:row r="51" ht="52" customHeight="1">
      <x:c r="A51" s="20" t="str">
        <x:v>Q050</x:v>
      </x:c>
      <x:c r="B51" s="21" t="str">
        <x:v>C026</x:v>
      </x:c>
      <x:c r="C51" s="21" t="str">
        <x:v>AS</x:v>
      </x:c>
      <x:c r="D51" s="21" t="str">
        <x:v>9701</x:v>
      </x:c>
      <x:c r="E51" s="21" t="str">
        <x:v>Syllabus code</x:v>
      </x:c>
      <x:c r="F51" s="21" t="str">
        <x:v>同课程AS出口；具体考试选项另核对</x:v>
      </x:c>
      <x:c r="G51" s="21" t="str">
        <x:v>按本课程AS考核安排；校内教学块不代替官方试卷组合</x:v>
      </x:c>
      <x:c r="H51" s="21" t="str">
        <x:v>不适用</x:v>
      </x:c>
      <x:c r="I51" s="21" t="str">
        <x:v>C-9701</x:v>
      </x:c>
    </x:row>
    <x:row r="52" ht="52" customHeight="1">
      <x:c r="A52" s="20" t="str">
        <x:v>Q051</x:v>
      </x:c>
      <x:c r="B52" s="21" t="str">
        <x:v>C026</x:v>
      </x:c>
      <x:c r="C52" s="21" t="str">
        <x:v>AL</x:v>
      </x:c>
      <x:c r="D52" s="21" t="str">
        <x:v>9701</x:v>
      </x:c>
      <x:c r="E52" s="21" t="str">
        <x:v>Syllabus code</x:v>
      </x:c>
      <x:c r="F52" s="21" t="str">
        <x:v>完整资格；结转与路径以对应大纲为准</x:v>
      </x:c>
      <x:c r="G52" s="21" t="str">
        <x:v>按本课程完整AL考核安排；不从教学块数量推算考试组合</x:v>
      </x:c>
      <x:c r="H52" s="21" t="str">
        <x:v>不适用</x:v>
      </x:c>
      <x:c r="I52" s="21" t="str">
        <x:v>C-9701</x:v>
      </x:c>
    </x:row>
    <x:row r="53" ht="52" customHeight="1">
      <x:c r="A53" s="20" t="str">
        <x:v>Q052</x:v>
      </x:c>
      <x:c r="B53" s="21" t="str">
        <x:v>C027</x:v>
      </x:c>
      <x:c r="C53" s="21" t="str">
        <x:v>AS</x:v>
      </x:c>
      <x:c r="D53" s="21" t="str">
        <x:v>9700</x:v>
      </x:c>
      <x:c r="E53" s="21" t="str">
        <x:v>Syllabus code</x:v>
      </x:c>
      <x:c r="F53" s="21" t="str">
        <x:v>同课程AS出口；具体考试选项另核对</x:v>
      </x:c>
      <x:c r="G53" s="21" t="str">
        <x:v>按本课程AS考核安排；校内教学块不代替官方试卷组合</x:v>
      </x:c>
      <x:c r="H53" s="21" t="str">
        <x:v>不适用</x:v>
      </x:c>
      <x:c r="I53" s="21" t="str">
        <x:v>C-9700</x:v>
      </x:c>
    </x:row>
    <x:row r="54" ht="52" customHeight="1">
      <x:c r="A54" s="20" t="str">
        <x:v>Q053</x:v>
      </x:c>
      <x:c r="B54" s="21" t="str">
        <x:v>C027</x:v>
      </x:c>
      <x:c r="C54" s="21" t="str">
        <x:v>AL</x:v>
      </x:c>
      <x:c r="D54" s="21" t="str">
        <x:v>9700</x:v>
      </x:c>
      <x:c r="E54" s="21" t="str">
        <x:v>Syllabus code</x:v>
      </x:c>
      <x:c r="F54" s="21" t="str">
        <x:v>完整资格；结转与路径以对应大纲为准</x:v>
      </x:c>
      <x:c r="G54" s="21" t="str">
        <x:v>按本课程完整AL考核安排；不从教学块数量推算考试组合</x:v>
      </x:c>
      <x:c r="H54" s="21" t="str">
        <x:v>不适用</x:v>
      </x:c>
      <x:c r="I54" s="21" t="str">
        <x:v>C-9700</x:v>
      </x:c>
    </x:row>
    <x:row r="55" ht="52" customHeight="1">
      <x:c r="A55" s="20" t="str">
        <x:v>Q054</x:v>
      </x:c>
      <x:c r="B55" s="21" t="str">
        <x:v>C028</x:v>
      </x:c>
      <x:c r="C55" s="21" t="str">
        <x:v>AS</x:v>
      </x:c>
      <x:c r="D55" s="21" t="str">
        <x:v>9609</x:v>
      </x:c>
      <x:c r="E55" s="21" t="str">
        <x:v>Syllabus code</x:v>
      </x:c>
      <x:c r="F55" s="21" t="str">
        <x:v>同课程AS出口；具体考试选项另核对</x:v>
      </x:c>
      <x:c r="G55" s="21" t="str">
        <x:v>按本课程AS考核安排；校内教学块不代替官方试卷组合</x:v>
      </x:c>
      <x:c r="H55" s="21" t="str">
        <x:v>不适用</x:v>
      </x:c>
      <x:c r="I55" s="21" t="str">
        <x:v>C-9609</x:v>
      </x:c>
    </x:row>
    <x:row r="56" ht="52" customHeight="1">
      <x:c r="A56" s="20" t="str">
        <x:v>Q055</x:v>
      </x:c>
      <x:c r="B56" s="21" t="str">
        <x:v>C028</x:v>
      </x:c>
      <x:c r="C56" s="21" t="str">
        <x:v>AL</x:v>
      </x:c>
      <x:c r="D56" s="21" t="str">
        <x:v>9609</x:v>
      </x:c>
      <x:c r="E56" s="21" t="str">
        <x:v>Syllabus code</x:v>
      </x:c>
      <x:c r="F56" s="21" t="str">
        <x:v>完整资格；结转与路径以对应大纲为准</x:v>
      </x:c>
      <x:c r="G56" s="21" t="str">
        <x:v>按本课程完整AL考核安排；不从教学块数量推算考试组合</x:v>
      </x:c>
      <x:c r="H56" s="21" t="str">
        <x:v>不适用</x:v>
      </x:c>
      <x:c r="I56" s="21" t="str">
        <x:v>C-9609</x:v>
      </x:c>
    </x:row>
    <x:row r="57" ht="52" customHeight="1">
      <x:c r="A57" s="20" t="str">
        <x:v>Q056</x:v>
      </x:c>
      <x:c r="B57" s="21" t="str">
        <x:v>C029</x:v>
      </x:c>
      <x:c r="C57" s="21" t="str">
        <x:v>AS</x:v>
      </x:c>
      <x:c r="D57" s="21" t="str">
        <x:v>9708</x:v>
      </x:c>
      <x:c r="E57" s="21" t="str">
        <x:v>Syllabus code</x:v>
      </x:c>
      <x:c r="F57" s="21" t="str">
        <x:v>同课程AS出口；具体考试选项另核对</x:v>
      </x:c>
      <x:c r="G57" s="21" t="str">
        <x:v>按本课程AS考核安排；校内教学块不代替官方试卷组合</x:v>
      </x:c>
      <x:c r="H57" s="21" t="str">
        <x:v>不适用</x:v>
      </x:c>
      <x:c r="I57" s="21" t="str">
        <x:v>C-9708</x:v>
      </x:c>
    </x:row>
    <x:row r="58" ht="52" customHeight="1">
      <x:c r="A58" s="20" t="str">
        <x:v>Q057</x:v>
      </x:c>
      <x:c r="B58" s="21" t="str">
        <x:v>C029</x:v>
      </x:c>
      <x:c r="C58" s="21" t="str">
        <x:v>AL</x:v>
      </x:c>
      <x:c r="D58" s="21" t="str">
        <x:v>9708</x:v>
      </x:c>
      <x:c r="E58" s="21" t="str">
        <x:v>Syllabus code</x:v>
      </x:c>
      <x:c r="F58" s="21" t="str">
        <x:v>完整资格；结转与路径以对应大纲为准</x:v>
      </x:c>
      <x:c r="G58" s="21" t="str">
        <x:v>按本课程完整AL考核安排；不从教学块数量推算考试组合</x:v>
      </x:c>
      <x:c r="H58" s="21" t="str">
        <x:v>不适用</x:v>
      </x:c>
      <x:c r="I58" s="21" t="str">
        <x:v>C-9708</x:v>
      </x:c>
    </x:row>
    <x:row r="59" ht="52" customHeight="1">
      <x:c r="A59" s="20" t="str">
        <x:v>Q058</x:v>
      </x:c>
      <x:c r="B59" s="21" t="str">
        <x:v>C030</x:v>
      </x:c>
      <x:c r="C59" s="21" t="str">
        <x:v>AS</x:v>
      </x:c>
      <x:c r="D59" s="21" t="str">
        <x:v>9626</x:v>
      </x:c>
      <x:c r="E59" s="21" t="str">
        <x:v>Syllabus code</x:v>
      </x:c>
      <x:c r="F59" s="21" t="str">
        <x:v>同课程AS出口；具体考试选项另核对</x:v>
      </x:c>
      <x:c r="G59" s="21" t="str">
        <x:v>按本课程AS考核安排；校内教学块不代替官方试卷组合</x:v>
      </x:c>
      <x:c r="H59" s="21" t="str">
        <x:v>不适用</x:v>
      </x:c>
      <x:c r="I59" s="21" t="str">
        <x:v>C-9626</x:v>
      </x:c>
    </x:row>
    <x:row r="60" ht="52" customHeight="1">
      <x:c r="A60" s="20" t="str">
        <x:v>Q059</x:v>
      </x:c>
      <x:c r="B60" s="21" t="str">
        <x:v>C030</x:v>
      </x:c>
      <x:c r="C60" s="21" t="str">
        <x:v>AL</x:v>
      </x:c>
      <x:c r="D60" s="21" t="str">
        <x:v>9626</x:v>
      </x:c>
      <x:c r="E60" s="21" t="str">
        <x:v>Syllabus code</x:v>
      </x:c>
      <x:c r="F60" s="21" t="str">
        <x:v>完整资格；结转与路径以对应大纲为准</x:v>
      </x:c>
      <x:c r="G60" s="21" t="str">
        <x:v>按本课程完整AL考核安排；不从教学块数量推算考试组合</x:v>
      </x:c>
      <x:c r="H60" s="21" t="str">
        <x:v>不适用</x:v>
      </x:c>
      <x:c r="I60" s="21" t="str">
        <x:v>C-9626</x:v>
      </x:c>
    </x:row>
    <x:row r="61" ht="52" customHeight="1">
      <x:c r="A61" s="20" t="str">
        <x:v>Q060</x:v>
      </x:c>
      <x:c r="B61" s="21" t="str">
        <x:v>C031</x:v>
      </x:c>
      <x:c r="C61" s="21" t="str">
        <x:v>AS</x:v>
      </x:c>
      <x:c r="D61" s="21" t="str">
        <x:v>9706</x:v>
      </x:c>
      <x:c r="E61" s="21" t="str">
        <x:v>Syllabus code</x:v>
      </x:c>
      <x:c r="F61" s="21" t="str">
        <x:v>同课程AS出口；具体考试选项另核对</x:v>
      </x:c>
      <x:c r="G61" s="21" t="str">
        <x:v>按本课程AS考核安排；校内教学块不代替官方试卷组合</x:v>
      </x:c>
      <x:c r="H61" s="21" t="str">
        <x:v>不适用</x:v>
      </x:c>
      <x:c r="I61" s="21" t="str">
        <x:v>C-9706</x:v>
      </x:c>
    </x:row>
    <x:row r="62" ht="52" customHeight="1">
      <x:c r="A62" s="20" t="str">
        <x:v>Q061</x:v>
      </x:c>
      <x:c r="B62" s="21" t="str">
        <x:v>C031</x:v>
      </x:c>
      <x:c r="C62" s="21" t="str">
        <x:v>AL</x:v>
      </x:c>
      <x:c r="D62" s="21" t="str">
        <x:v>9706</x:v>
      </x:c>
      <x:c r="E62" s="21" t="str">
        <x:v>Syllabus code</x:v>
      </x:c>
      <x:c r="F62" s="21" t="str">
        <x:v>完整资格；结转与路径以对应大纲为准</x:v>
      </x:c>
      <x:c r="G62" s="21" t="str">
        <x:v>按本课程完整AL考核安排；不从教学块数量推算考试组合</x:v>
      </x:c>
      <x:c r="H62" s="21" t="str">
        <x:v>不适用</x:v>
      </x:c>
      <x:c r="I62" s="21" t="str">
        <x:v>C-9706</x:v>
      </x:c>
    </x:row>
    <x:row r="63" ht="52" customHeight="1">
      <x:c r="A63" s="20" t="str">
        <x:v>Q062</x:v>
      </x:c>
      <x:c r="B63" s="21" t="str">
        <x:v>C032</x:v>
      </x:c>
      <x:c r="C63" s="21" t="str">
        <x:v>IAS</x:v>
      </x:c>
      <x:c r="D63" s="21" t="str">
        <x:v>9660</x:v>
      </x:c>
      <x:c r="E63" s="21" t="str">
        <x:v>Qualification code</x:v>
      </x:c>
      <x:c r="F63" s="21" t="str">
        <x:v>可计入完整IAL；报名入口另核对</x:v>
      </x:c>
      <x:c r="G63" s="21" t="str">
        <x:v>P1+PSM1</x:v>
      </x:c>
      <x:c r="H63" s="21" t="str">
        <x:v>未设置</x:v>
      </x:c>
      <x:c r="I63" s="21" t="str">
        <x:v>OA-MATH</x:v>
      </x:c>
    </x:row>
    <x:row r="64" ht="52" customHeight="1">
      <x:c r="A64" s="20" t="str">
        <x:v>Q063</x:v>
      </x:c>
      <x:c r="B64" s="21" t="str">
        <x:v>C032</x:v>
      </x:c>
      <x:c r="C64" s="21" t="str">
        <x:v>IAL</x:v>
      </x:c>
      <x:c r="D64" s="21" t="str">
        <x:v>9660</x:v>
      </x:c>
      <x:c r="E64" s="21" t="str">
        <x:v>Qualification code</x:v>
      </x:c>
      <x:c r="F64" s="21" t="str">
        <x:v>完整资格</x:v>
      </x:c>
      <x:c r="G64" s="21" t="str">
        <x:v>P1+PSM1+P2+(M2或S2)</x:v>
      </x:c>
      <x:c r="H64" s="21" t="str">
        <x:v>未设置</x:v>
      </x:c>
      <x:c r="I64" s="21" t="str">
        <x:v>OA-MATH</x:v>
      </x:c>
    </x:row>
    <x:row r="65" ht="52" customHeight="1">
      <x:c r="A65" s="20" t="str">
        <x:v>Q064</x:v>
      </x:c>
      <x:c r="B65" s="21" t="str">
        <x:v>C033</x:v>
      </x:c>
      <x:c r="C65" s="21" t="str">
        <x:v>IAS</x:v>
      </x:c>
      <x:c r="D65" s="21" t="str">
        <x:v>9630</x:v>
      </x:c>
      <x:c r="E65" s="21" t="str">
        <x:v>Qualification code</x:v>
      </x:c>
      <x:c r="F65" s="21" t="str">
        <x:v>可计入完整IAL；报名入口另核对</x:v>
      </x:c>
      <x:c r="G65" s="21" t="str">
        <x:v>U1+U2</x:v>
      </x:c>
      <x:c r="H65" s="21" t="str">
        <x:v>未设置</x:v>
      </x:c>
      <x:c r="I65" s="21" t="str">
        <x:v>OA-PHYSICS</x:v>
      </x:c>
    </x:row>
    <x:row r="66" ht="52" customHeight="1">
      <x:c r="A66" s="20" t="str">
        <x:v>Q065</x:v>
      </x:c>
      <x:c r="B66" s="21" t="str">
        <x:v>C033</x:v>
      </x:c>
      <x:c r="C66" s="21" t="str">
        <x:v>IAL</x:v>
      </x:c>
      <x:c r="D66" s="21" t="str">
        <x:v>9630</x:v>
      </x:c>
      <x:c r="E66" s="21" t="str">
        <x:v>Qualification code</x:v>
      </x:c>
      <x:c r="F66" s="21" t="str">
        <x:v>完整资格</x:v>
      </x:c>
      <x:c r="G66" s="21" t="str">
        <x:v>U1+U2+U3+U4+U5</x:v>
      </x:c>
      <x:c r="H66" s="21" t="str">
        <x:v>未设置</x:v>
      </x:c>
      <x:c r="I66" s="21" t="str">
        <x:v>OA-PHYSICS</x:v>
      </x:c>
    </x:row>
    <x:row r="67" ht="52" customHeight="1">
      <x:c r="A67" s="20" t="str">
        <x:v>Q066</x:v>
      </x:c>
      <x:c r="B67" s="21" t="str">
        <x:v>C034</x:v>
      </x:c>
      <x:c r="C67" s="21" t="str">
        <x:v>IAS</x:v>
      </x:c>
      <x:c r="D67" s="21" t="str">
        <x:v>9610</x:v>
      </x:c>
      <x:c r="E67" s="21" t="str">
        <x:v>Qualification code</x:v>
      </x:c>
      <x:c r="F67" s="21" t="str">
        <x:v>可计入完整IAL；报名入口另核对</x:v>
      </x:c>
      <x:c r="G67" s="21" t="str">
        <x:v>U1+U2</x:v>
      </x:c>
      <x:c r="H67" s="21" t="str">
        <x:v>未设置</x:v>
      </x:c>
      <x:c r="I67" s="21" t="str">
        <x:v>OA-BIOLOGY</x:v>
      </x:c>
    </x:row>
    <x:row r="68" ht="52" customHeight="1">
      <x:c r="A68" s="20" t="str">
        <x:v>Q067</x:v>
      </x:c>
      <x:c r="B68" s="21" t="str">
        <x:v>C034</x:v>
      </x:c>
      <x:c r="C68" s="21" t="str">
        <x:v>IAL</x:v>
      </x:c>
      <x:c r="D68" s="21" t="str">
        <x:v>9610</x:v>
      </x:c>
      <x:c r="E68" s="21" t="str">
        <x:v>Qualification code</x:v>
      </x:c>
      <x:c r="F68" s="21" t="str">
        <x:v>完整资格</x:v>
      </x:c>
      <x:c r="G68" s="21" t="str">
        <x:v>U1+U2+U3+U4+U5；U5为综合范围，不重复累计内容覆盖</x:v>
      </x:c>
      <x:c r="H68" s="21" t="str">
        <x:v>未设置</x:v>
      </x:c>
      <x:c r="I68" s="21" t="str">
        <x:v>OA-BIOLOGY</x:v>
      </x:c>
    </x:row>
    <x:row r="69" ht="52" customHeight="1">
      <x:c r="A69" s="20" t="str">
        <x:v>Q068</x:v>
      </x:c>
      <x:c r="B69" s="21" t="str">
        <x:v>C035</x:v>
      </x:c>
      <x:c r="C69" s="21" t="str">
        <x:v>IAS</x:v>
      </x:c>
      <x:c r="D69" s="21" t="str">
        <x:v>9620</x:v>
      </x:c>
      <x:c r="E69" s="21" t="str">
        <x:v>Qualification code</x:v>
      </x:c>
      <x:c r="F69" s="21" t="str">
        <x:v>可计入完整IAL；报名入口另核对</x:v>
      </x:c>
      <x:c r="G69" s="21" t="str">
        <x:v>U1+U2</x:v>
      </x:c>
      <x:c r="H69" s="21" t="str">
        <x:v>未设置</x:v>
      </x:c>
      <x:c r="I69" s="21" t="str">
        <x:v>OA-CHEMISTRY</x:v>
      </x:c>
    </x:row>
    <x:row r="70" ht="52" customHeight="1">
      <x:c r="A70" s="20" t="str">
        <x:v>Q069</x:v>
      </x:c>
      <x:c r="B70" s="21" t="str">
        <x:v>C035</x:v>
      </x:c>
      <x:c r="C70" s="21" t="str">
        <x:v>IAL</x:v>
      </x:c>
      <x:c r="D70" s="21" t="str">
        <x:v>9620</x:v>
      </x:c>
      <x:c r="E70" s="21" t="str">
        <x:v>Qualification code</x:v>
      </x:c>
      <x:c r="F70" s="21" t="str">
        <x:v>完整资格</x:v>
      </x:c>
      <x:c r="G70" s="21" t="str">
        <x:v>U1+U2+U3+U4+U5</x:v>
      </x:c>
      <x:c r="H70" s="21" t="str">
        <x:v>未设置</x:v>
      </x:c>
      <x:c r="I70" s="21" t="str">
        <x:v>OA-CHEMISTRY</x:v>
      </x:c>
    </x:row>
    <x:row r="71" ht="52" customHeight="1">
      <x:c r="A71" s="20" t="str">
        <x:v>Q070</x:v>
      </x:c>
      <x:c r="B71" s="21" t="str">
        <x:v>C036</x:v>
      </x:c>
      <x:c r="C71" s="21" t="str">
        <x:v>AL</x:v>
      </x:c>
      <x:c r="D71" s="21" t="str">
        <x:v>7357</x:v>
      </x:c>
      <x:c r="E71" s="21" t="str">
        <x:v>Specification code</x:v>
      </x:c>
      <x:c r="F71" s="21" t="str">
        <x:v>独立线性AL资格</x:v>
      </x:c>
      <x:c r="G71" s="21" t="str">
        <x:v>完成对应规范要求的全部考试/非考试评价；不按教学块兑换成绩</x:v>
      </x:c>
      <x:c r="H71" s="21" t="str">
        <x:v>不适用</x:v>
      </x:c>
      <x:c r="I71" s="21" t="str">
        <x:v>AQ-MATH</x:v>
      </x:c>
    </x:row>
    <x:row r="72" ht="52" customHeight="1">
      <x:c r="A72" s="20" t="str">
        <x:v>Q071</x:v>
      </x:c>
      <x:c r="B72" s="21" t="str">
        <x:v>C037</x:v>
      </x:c>
      <x:c r="C72" s="21" t="str">
        <x:v>AL</x:v>
      </x:c>
      <x:c r="D72" s="21" t="str">
        <x:v>7408</x:v>
      </x:c>
      <x:c r="E72" s="21" t="str">
        <x:v>Specification code</x:v>
      </x:c>
      <x:c r="F72" s="21" t="str">
        <x:v>独立线性AL资格</x:v>
      </x:c>
      <x:c r="G72" s="21" t="str">
        <x:v>完成对应规范要求的全部考试/非考试评价；不按教学块兑换成绩</x:v>
      </x:c>
      <x:c r="H72" s="21" t="str">
        <x:v>不适用</x:v>
      </x:c>
      <x:c r="I72" s="21" t="str">
        <x:v>AQ-PHYSICS</x:v>
      </x:c>
    </x:row>
    <x:row r="73" ht="52" customHeight="1">
      <x:c r="A73" s="20" t="str">
        <x:v>Q072</x:v>
      </x:c>
      <x:c r="B73" s="21" t="str">
        <x:v>C038</x:v>
      </x:c>
      <x:c r="C73" s="21" t="str">
        <x:v>AL</x:v>
      </x:c>
      <x:c r="D73" s="21" t="str">
        <x:v>7405</x:v>
      </x:c>
      <x:c r="E73" s="21" t="str">
        <x:v>Specification code</x:v>
      </x:c>
      <x:c r="F73" s="21" t="str">
        <x:v>独立线性AL资格</x:v>
      </x:c>
      <x:c r="G73" s="21" t="str">
        <x:v>完成对应规范要求的全部考试/非考试评价；不按教学块兑换成绩</x:v>
      </x:c>
      <x:c r="H73" s="21" t="str">
        <x:v>不适用</x:v>
      </x:c>
      <x:c r="I73" s="21" t="str">
        <x:v>AQ-CHEMISTRY</x:v>
      </x:c>
    </x:row>
    <x:row r="74" ht="52" customHeight="1">
      <x:c r="A74" s="20" t="str">
        <x:v>Q073</x:v>
      </x:c>
      <x:c r="B74" s="21" t="str">
        <x:v>C039</x:v>
      </x:c>
      <x:c r="C74" s="21" t="str">
        <x:v>AL</x:v>
      </x:c>
      <x:c r="D74" s="21" t="str">
        <x:v>7402</x:v>
      </x:c>
      <x:c r="E74" s="21" t="str">
        <x:v>Specification code</x:v>
      </x:c>
      <x:c r="F74" s="21" t="str">
        <x:v>独立线性AL资格</x:v>
      </x:c>
      <x:c r="G74" s="21" t="str">
        <x:v>完成对应规范要求的全部考试/非考试评价；不按教学块兑换成绩</x:v>
      </x:c>
      <x:c r="H74" s="21" t="str">
        <x:v>不适用</x:v>
      </x:c>
      <x:c r="I74" s="21" t="str">
        <x:v>AQ-BIOLOGY</x:v>
      </x:c>
    </x:row>
    <x:row r="75" ht="52" customHeight="1">
      <x:c r="A75" s="20" t="str">
        <x:v>Q074</x:v>
      </x:c>
      <x:c r="B75" s="21" t="str">
        <x:v>C040</x:v>
      </x:c>
      <x:c r="C75" s="21" t="str">
        <x:v>AL</x:v>
      </x:c>
      <x:c r="D75" s="21" t="str">
        <x:v>9MA0</x:v>
      </x:c>
      <x:c r="E75" s="21" t="str">
        <x:v>Specification code</x:v>
      </x:c>
      <x:c r="F75" s="21" t="str">
        <x:v>独立线性AL资格</x:v>
      </x:c>
      <x:c r="G75" s="21" t="str">
        <x:v>完成对应规范要求的全部考试/非考试评价；不按教学块兑换成绩</x:v>
      </x:c>
      <x:c r="H75" s="21" t="str">
        <x:v>不适用</x:v>
      </x:c>
      <x:c r="I75" s="21" t="str">
        <x:v>P-UK-AL</x:v>
      </x:c>
    </x:row>
    <x:row r="76" ht="52" customHeight="1">
      <x:c r="A76" s="20" t="str">
        <x:v>Q075</x:v>
      </x:c>
      <x:c r="B76" s="21" t="str">
        <x:v>C041</x:v>
      </x:c>
      <x:c r="C76" s="21" t="str">
        <x:v>AS</x:v>
      </x:c>
      <x:c r="D76" s="21" t="str">
        <x:v>8MA0</x:v>
      </x:c>
      <x:c r="E76" s="21" t="str">
        <x:v>Specification code</x:v>
      </x:c>
      <x:c r="F76" s="21" t="str">
        <x:v>独立线性AS；成绩不并入英国本土AL</x:v>
      </x:c>
      <x:c r="G76" s="21" t="str">
        <x:v>完成对应规范要求的全部考试/非考试评价；不按教学块兑换成绩</x:v>
      </x:c>
      <x:c r="H76" s="21" t="str">
        <x:v>不适用</x:v>
      </x:c>
      <x:c r="I76" s="21" t="str">
        <x:v>P-UK-AS</x:v>
      </x:c>
    </x:row>
    <x:row r="77" ht="52" customHeight="1">
      <x:c r="A77" s="20" t="str">
        <x:v>Q076</x:v>
      </x:c>
      <x:c r="B77" s="21" t="str">
        <x:v>C042</x:v>
      </x:c>
      <x:c r="C77" s="21" t="str">
        <x:v>AL</x:v>
      </x:c>
      <x:c r="D77" s="21" t="str">
        <x:v>H240</x:v>
      </x:c>
      <x:c r="E77" s="21" t="str">
        <x:v>Specification code</x:v>
      </x:c>
      <x:c r="F77" s="21" t="str">
        <x:v>独立线性AL资格</x:v>
      </x:c>
      <x:c r="G77" s="21" t="str">
        <x:v>完成对应规范要求的全部考试/非考试评价；不按教学块兑换成绩</x:v>
      </x:c>
      <x:c r="H77" s="21" t="str">
        <x:v>不适用</x:v>
      </x:c>
      <x:c r="I77" s="21" t="str">
        <x:v>OCR-A</x:v>
      </x:c>
    </x:row>
    <x:row r="78" ht="52" customHeight="1">
      <x:c r="A78" s="20" t="str">
        <x:v>Q077</x:v>
      </x:c>
      <x:c r="B78" s="21" t="str">
        <x:v>C043</x:v>
      </x:c>
      <x:c r="C78" s="21" t="str">
        <x:v>AS</x:v>
      </x:c>
      <x:c r="D78" s="21" t="str">
        <x:v>H230</x:v>
      </x:c>
      <x:c r="E78" s="21" t="str">
        <x:v>Specification code</x:v>
      </x:c>
      <x:c r="F78" s="21" t="str">
        <x:v>独立线性AS；成绩不并入英国本土AL</x:v>
      </x:c>
      <x:c r="G78" s="21" t="str">
        <x:v>完成对应规范要求的全部考试/非考试评价；不按教学块兑换成绩</x:v>
      </x:c>
      <x:c r="H78" s="21" t="str">
        <x:v>不适用</x:v>
      </x:c>
      <x:c r="I78" s="21" t="str">
        <x:v>OCR-A</x:v>
      </x:c>
    </x:row>
    <x:row r="79" ht="52" customHeight="1">
      <x:c r="A79" s="20" t="str">
        <x:v>Q078</x:v>
      </x:c>
      <x:c r="B79" s="21" t="str">
        <x:v>C044</x:v>
      </x:c>
      <x:c r="C79" s="21" t="str">
        <x:v>AL</x:v>
      </x:c>
      <x:c r="D79" s="21" t="str">
        <x:v>H640</x:v>
      </x:c>
      <x:c r="E79" s="21" t="str">
        <x:v>Specification code</x:v>
      </x:c>
      <x:c r="F79" s="21" t="str">
        <x:v>独立线性AL资格</x:v>
      </x:c>
      <x:c r="G79" s="21" t="str">
        <x:v>完成对应规范要求的全部考试/非考试评价；不按教学块兑换成绩</x:v>
      </x:c>
      <x:c r="H79" s="21" t="str">
        <x:v>不适用</x:v>
      </x:c>
      <x:c r="I79" s="21" t="str">
        <x:v>OCR-B</x:v>
      </x:c>
    </x:row>
    <x:row r="80" ht="52" customHeight="1">
      <x:c r="A80" s="20" t="str">
        <x:v>Q079</x:v>
      </x:c>
      <x:c r="B80" s="21" t="str">
        <x:v>C045</x:v>
      </x:c>
      <x:c r="C80" s="21" t="str">
        <x:v>AS</x:v>
      </x:c>
      <x:c r="D80" s="21" t="str">
        <x:v>H630</x:v>
      </x:c>
      <x:c r="E80" s="21" t="str">
        <x:v>Specification code</x:v>
      </x:c>
      <x:c r="F80" s="21" t="str">
        <x:v>独立线性AS；成绩不并入英国本土AL</x:v>
      </x:c>
      <x:c r="G80" s="21" t="str">
        <x:v>完成对应规范要求的全部考试/非考试评价；不按教学块兑换成绩</x:v>
      </x:c>
      <x:c r="H80" s="21" t="str">
        <x:v>不适用</x:v>
      </x:c>
      <x:c r="I80" s="21" t="str">
        <x:v>OCR-B</x:v>
      </x:c>
    </x:row>
    <x:row r="81" ht="52" customHeight="1">
      <x:c r="A81" s="20" t="str">
        <x:v>Q080</x:v>
      </x:c>
      <x:c r="B81" s="21" t="str">
        <x:v>C046</x:v>
      </x:c>
      <x:c r="C81" s="21" t="str">
        <x:v>AS</x:v>
      </x:c>
      <x:c r="D81" s="21" t="str">
        <x:v>2300QS</x:v>
      </x:c>
      <x:c r="E81" s="21" t="str">
        <x:v>Cash-in</x:v>
      </x:c>
      <x:c r="F81" s="21" t="str">
        <x:v>AS为AL的40%</x:v>
      </x:c>
      <x:c r="G81" s="21" t="str">
        <x:v>U1+U2；UMS总分240</x:v>
      </x:c>
      <x:c r="H81" s="21" t="n">
        <x:v>240</x:v>
      </x:c>
      <x:c r="I81" s="21" t="str">
        <x:v>WJ-MATH;WJ-PAGE</x:v>
      </x:c>
    </x:row>
    <x:row r="82" ht="52" customHeight="1">
      <x:c r="A82" s="20" t="str">
        <x:v>Q081</x:v>
      </x:c>
      <x:c r="B82" s="21" t="str">
        <x:v>C046</x:v>
      </x:c>
      <x:c r="C82" s="21" t="str">
        <x:v>AL</x:v>
      </x:c>
      <x:c r="D82" s="21" t="str">
        <x:v>1300QS</x:v>
      </x:c>
      <x:c r="E82" s="21" t="str">
        <x:v>Cash-in</x:v>
      </x:c>
      <x:c r="F82" s="21" t="str">
        <x:v>AS与A2共同组成</x:v>
      </x:c>
      <x:c r="G82" s="21" t="str">
        <x:v>U1+U2+U3+U4；UMS总分600</x:v>
      </x:c>
      <x:c r="H82" s="21" t="n">
        <x:v>600</x:v>
      </x:c>
      <x:c r="I82" s="21" t="str">
        <x:v>WJ-MATH;WJ-PAGE</x:v>
      </x:c>
    </x:row>
    <x:row r="83" ht="52" customHeight="1">
      <x:c r="A83" s="20" t="str">
        <x:v>Q082</x:v>
      </x:c>
      <x:c r="B83" s="21" t="str">
        <x:v>C047</x:v>
      </x:c>
      <x:c r="C83" s="21" t="str">
        <x:v>AS</x:v>
      </x:c>
      <x:c r="D83" s="21" t="str">
        <x:v>未设置</x:v>
      </x:c>
      <x:c r="E83" s="21" t="str">
        <x:v>未设置</x:v>
      </x:c>
      <x:c r="F83" s="21" t="str">
        <x:v>AS占完整AL的40%</x:v>
      </x:c>
      <x:c r="G83" s="21" t="str">
        <x:v>AS1+AS2</x:v>
      </x:c>
      <x:c r="H83" s="21" t="str">
        <x:v>未设置</x:v>
      </x:c>
      <x:c r="I83" s="21" t="str">
        <x:v>CCEA-MATH</x:v>
      </x:c>
    </x:row>
    <x:row r="84" ht="52" customHeight="1">
      <x:c r="A84" s="20" t="str">
        <x:v>Q083</x:v>
      </x:c>
      <x:c r="B84" s="21" t="str">
        <x:v>C047</x:v>
      </x:c>
      <x:c r="C84" s="21" t="str">
        <x:v>AL</x:v>
      </x:c>
      <x:c r="D84" s="21" t="str">
        <x:v>未设置</x:v>
      </x:c>
      <x:c r="E84" s="21" t="str">
        <x:v>未设置</x:v>
      </x:c>
      <x:c r="F84" s="21" t="str">
        <x:v>AS+A2组成完整资格</x:v>
      </x:c>
      <x:c r="G84" s="21" t="str">
        <x:v>AS1+AS2+A21+A22</x:v>
      </x:c>
      <x:c r="H84" s="21" t="str">
        <x:v>未设置</x:v>
      </x:c>
      <x:c r="I84" s="21" t="str">
        <x:v>CCEA-MATH</x:v>
      </x:c>
    </x:row>
    <x:row r="85" ht="52" customHeight="1">
      <x:c r="A85" s="20" t="str">
        <x:v>Q084</x:v>
      </x:c>
      <x:c r="B85" s="21" t="str">
        <x:v>C048</x:v>
      </x:c>
      <x:c r="C85" s="21" t="str">
        <x:v>AL</x:v>
      </x:c>
      <x:c r="D85" s="21" t="str">
        <x:v>A510QS</x:v>
      </x:c>
      <x:c r="E85" s="21" t="str">
        <x:v>Qualification entry code</x:v>
      </x:c>
      <x:c r="F85" s="21" t="str">
        <x:v>独立线性AL资格</x:v>
      </x:c>
      <x:c r="G85" s="21" t="str">
        <x:v>按该课程官方考核组合；学校教学块不自动变成注册单元</x:v>
      </x:c>
      <x:c r="H85" s="21" t="str">
        <x:v>不适用</x:v>
      </x:c>
      <x:c r="I85" s="21" t="str">
        <x:v>EDU-BUS</x:v>
      </x:c>
    </x:row>
    <x:row r="86" ht="52" customHeight="1">
      <x:c r="A86" s="20" t="str">
        <x:v>Q085</x:v>
      </x:c>
      <x:c r="B86" s="21" t="str">
        <x:v>C049</x:v>
      </x:c>
      <x:c r="C86" s="21" t="str">
        <x:v>AL</x:v>
      </x:c>
      <x:c r="D86" s="21" t="str">
        <x:v>A500QS</x:v>
      </x:c>
      <x:c r="E86" s="21" t="str">
        <x:v>Qualification entry code</x:v>
      </x:c>
      <x:c r="F86" s="21" t="str">
        <x:v>独立线性AL资格</x:v>
      </x:c>
      <x:c r="G86" s="21" t="str">
        <x:v>按该课程官方考核组合；学校教学块不自动变成注册单元</x:v>
      </x:c>
      <x:c r="H86" s="21" t="str">
        <x:v>不适用</x:v>
      </x:c>
      <x:c r="I86" s="21" t="str">
        <x:v>EDU-CS</x:v>
      </x:c>
    </x:row>
    <x:row r="87" ht="52" customHeight="1">
      <x:c r="A87" s="20" t="str">
        <x:v>Q086</x:v>
      </x:c>
      <x:c r="B87" s="21" t="str">
        <x:v>C051</x:v>
      </x:c>
      <x:c r="C87" s="21" t="str">
        <x:v>AL</x:v>
      </x:c>
      <x:c r="D87" s="21" t="str">
        <x:v>7517</x:v>
      </x:c>
      <x:c r="E87" s="21" t="str">
        <x:v>Specification code</x:v>
      </x:c>
      <x:c r="F87" s="21" t="str">
        <x:v>独立线性AL资格</x:v>
      </x:c>
      <x:c r="G87" s="21" t="str">
        <x:v>Paper 1 40% + Paper 2 40% + NEA 20%</x:v>
      </x:c>
      <x:c r="H87" s="21" t="str">
        <x:v>不适用</x:v>
      </x:c>
      <x:c r="I87" s="21" t="str">
        <x:v>AQ-CS</x:v>
      </x:c>
    </x:row>
  </x:sheetData>
  <x:dataValidations count="1">
    <x:dataValidation type="list" sqref="B2:B3000">
      <x:formula1>INDIRECT("'02_课程'!$A$2:$A$3000")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3bc7240f77456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40" hidden="0" customWidth="1"/>
    <x:col min="3" max="3" width="50" hidden="0" customWidth="1"/>
    <x:col min="4" max="4" width="24" hidden="0" customWidth="1"/>
    <x:col min="5" max="5" width="19" hidden="0" customWidth="1"/>
    <x:col min="6" max="6" width="23" hidden="0" customWidth="1"/>
    <x:col min="7" max="7" width="18" hidden="0" customWidth="1"/>
    <x:col min="8" max="8" width="15" hidden="0" customWidth="1"/>
    <x:col min="9" max="9" width="23" hidden="0" customWidth="1"/>
    <x:col min="10" max="10" width="28" hidden="0" customWidth="1"/>
    <x:col min="11" max="11" width="80" hidden="0" customWidth="1"/>
    <x:col min="12" max="12" width="24" hidden="0" customWidth="1"/>
  </x:cols>
  <x:sheetData>
    <x:row r="1" ht="40" customHeight="1">
      <x:c r="A1" s="13" t="str">
        <x:v>文件内考核标记*</x:v>
      </x:c>
      <x:c r="B1" s="13" t="str">
        <x:v>考核名称*</x:v>
      </x:c>
      <x:c r="C1" s="13" t="str">
        <x:v>英文考核名称</x:v>
      </x:c>
      <x:c r="D1" s="13" t="str">
        <x:v>官方试卷代码／标签</x:v>
      </x:c>
      <x:c r="E1" s="13" t="str">
        <x:v>考核形式*</x:v>
      </x:c>
      <x:c r="F1" s="13" t="str">
        <x:v>考试时长（分钟）</x:v>
      </x:c>
      <x:c r="G1" s="13" t="str">
        <x:v>原始分满分</x:v>
      </x:c>
      <x:c r="H1" s="13" t="str">
        <x:v>UMS满分</x:v>
      </x:c>
      <x:c r="I1" s="13" t="str">
        <x:v>考试局／机构</x:v>
      </x:c>
      <x:c r="J1" s="13" t="str">
        <x:v>课程体系／资格族</x:v>
      </x:c>
      <x:c r="K1" s="13" t="str">
        <x:v>说明</x:v>
      </x:c>
      <x:c r="L1" s="13" t="str">
        <x:v>来源编号</x:v>
      </x:c>
    </x:row>
    <x:row r="2" ht="52" customHeight="1">
      <x:c r="A2" s="20" t="str">
        <x:v>A001</x:v>
      </x:c>
      <x:c r="B2" s="21" t="str">
        <x:v>会计系统与成本核算考试</x:v>
      </x:c>
      <x:c r="C2" s="21" t="str">
        <x:v>The Accounting System and Costing</x:v>
      </x:c>
      <x:c r="D2" s="21" t="str">
        <x:v>WAC11/01</x:v>
      </x:c>
      <x:c r="E2" s="21" t="str">
        <x:v>笔试</x:v>
      </x:c>
      <x:c r="F2" s="21" t="n">
        <x:v>180</x:v>
      </x:c>
      <x:c r="G2" s="21" t="n">
        <x:v>200</x:v>
      </x:c>
      <x:c r="H2" s="21" t="n">
        <x:v>300</x:v>
      </x:c>
      <x:c r="I2" s="21" t="str">
        <x:v>Pearson Edexcel</x:v>
      </x:c>
      <x:c r="J2" s="21" t="str">
        <x:v>International AS / A Level</x:v>
      </x:c>
      <x:c r="K2" s="21" t="str">
        <x:v>Raw与UMS分别储存；参数用于规范示例，考季/形式变体不自动生成新教学单元。</x:v>
      </x:c>
      <x:c r="L2" s="21" t="str">
        <x:v>P-ACCOUNTING;P-UMS</x:v>
      </x:c>
    </x:row>
    <x:row r="3" ht="52" customHeight="1">
      <x:c r="A3" s="20" t="str">
        <x:v>A002</x:v>
      </x:c>
      <x:c r="B3" s="21" t="str">
        <x:v>公司会计与管理会计考试</x:v>
      </x:c>
      <x:c r="C3" s="21" t="str">
        <x:v>Corporate and Management Accounting</x:v>
      </x:c>
      <x:c r="D3" s="21" t="str">
        <x:v>WAC12/01</x:v>
      </x:c>
      <x:c r="E3" s="21" t="str">
        <x:v>笔试</x:v>
      </x:c>
      <x:c r="F3" s="21" t="n">
        <x:v>180</x:v>
      </x:c>
      <x:c r="G3" s="21" t="n">
        <x:v>200</x:v>
      </x:c>
      <x:c r="H3" s="21" t="n">
        <x:v>300</x:v>
      </x:c>
      <x:c r="I3" s="21" t="str">
        <x:v>Pearson Edexcel</x:v>
      </x:c>
      <x:c r="J3" s="21" t="str">
        <x:v>International AS / A Level</x:v>
      </x:c>
      <x:c r="K3" s="21" t="str">
        <x:v>Raw与UMS分别储存；参数用于规范示例，考季/形式变体不自动生成新教学单元。</x:v>
      </x:c>
      <x:c r="L3" s="21" t="str">
        <x:v>P-ACCOUNTING;P-UMS</x:v>
      </x:c>
    </x:row>
    <x:row r="4" ht="52" customHeight="1">
      <x:c r="A4" s="20" t="str">
        <x:v>A003</x:v>
      </x:c>
      <x:c r="B4" s="21" t="str">
        <x:v>理解与书面回应考试</x:v>
      </x:c>
      <x:c r="C4" s="21" t="str">
        <x:v>Understanding and Written Response</x:v>
      </x:c>
      <x:c r="D4" s="21" t="str">
        <x:v>WAA01/01</x:v>
      </x:c>
      <x:c r="E4" s="21" t="str">
        <x:v>笔试</x:v>
      </x:c>
      <x:c r="F4" s="21" t="n">
        <x:v>150</x:v>
      </x:c>
      <x:c r="G4" s="21" t="n">
        <x:v>80</x:v>
      </x:c>
      <x:c r="H4" s="21" t="n">
        <x:v>100</x:v>
      </x:c>
      <x:c r="I4" s="21" t="str">
        <x:v>Pearson Edexcel</x:v>
      </x:c>
      <x:c r="J4" s="21" t="str">
        <x:v>International AS / A Level</x:v>
      </x:c>
      <x:c r="K4" s="21" t="str">
        <x:v>Raw与UMS分别储存；参数用于规范示例，考季/形式变体不自动生成新教学单元。</x:v>
      </x:c>
      <x:c r="L4" s="21" t="str">
        <x:v>P-ARABIC;P-UMS</x:v>
      </x:c>
    </x:row>
    <x:row r="5" ht="52" customHeight="1">
      <x:c r="A5" s="20" t="str">
        <x:v>A004</x:v>
      </x:c>
      <x:c r="B5" s="21" t="str">
        <x:v>写作与研究考试</x:v>
      </x:c>
      <x:c r="C5" s="21" t="str">
        <x:v>Writing and Research</x:v>
      </x:c>
      <x:c r="D5" s="21" t="str">
        <x:v>WAA02/01</x:v>
      </x:c>
      <x:c r="E5" s="21" t="str">
        <x:v>笔试</x:v>
      </x:c>
      <x:c r="F5" s="21" t="n">
        <x:v>180</x:v>
      </x:c>
      <x:c r="G5" s="21" t="n">
        <x:v>80</x:v>
      </x:c>
      <x:c r="H5" s="21" t="n">
        <x:v>100</x:v>
      </x:c>
      <x:c r="I5" s="21" t="str">
        <x:v>Pearson Edexcel</x:v>
      </x:c>
      <x:c r="J5" s="21" t="str">
        <x:v>International AS / A Level</x:v>
      </x:c>
      <x:c r="K5" s="21" t="str">
        <x:v>Raw与UMS分别储存；参数用于规范示例，考季/形式变体不自动生成新教学单元。</x:v>
      </x:c>
      <x:c r="L5" s="21" t="str">
        <x:v>P-ARABIC;P-UMS</x:v>
      </x:c>
    </x:row>
    <x:row r="6" ht="52" customHeight="1">
      <x:c r="A6" s="20" t="str">
        <x:v>A005</x:v>
      </x:c>
      <x:c r="B6" s="21" t="str">
        <x:v>分子、饮食、运输与健康考试</x:v>
      </x:c>
      <x:c r="C6" s="21" t="str">
        <x:v>Molecules, Diet, Transport and Health</x:v>
      </x:c>
      <x:c r="D6" s="21" t="str">
        <x:v>WBI11/01</x:v>
      </x:c>
      <x:c r="E6" s="21" t="str">
        <x:v>笔试</x:v>
      </x:c>
      <x:c r="F6" s="21" t="n">
        <x:v>90</x:v>
      </x:c>
      <x:c r="G6" s="21" t="n">
        <x:v>80</x:v>
      </x:c>
      <x:c r="H6" s="21" t="n">
        <x:v>120</x:v>
      </x:c>
      <x:c r="I6" s="21" t="str">
        <x:v>Pearson Edexcel</x:v>
      </x:c>
      <x:c r="J6" s="21" t="str">
        <x:v>International AS / A Level</x:v>
      </x:c>
      <x:c r="K6" s="21" t="str">
        <x:v>Raw与UMS分别储存；参数用于规范示例，考季/形式变体不自动生成新教学单元。</x:v>
      </x:c>
      <x:c r="L6" s="21" t="str">
        <x:v>P-BIOLOGY;P-UMS</x:v>
      </x:c>
    </x:row>
    <x:row r="7" ht="52" customHeight="1">
      <x:c r="A7" s="20" t="str">
        <x:v>A006</x:v>
      </x:c>
      <x:c r="B7" s="21" t="str">
        <x:v>细胞、发育、生物多样性与保护考试</x:v>
      </x:c>
      <x:c r="C7" s="21" t="str">
        <x:v>Cells, Development, Biodiversity and Conservation</x:v>
      </x:c>
      <x:c r="D7" s="21" t="str">
        <x:v>WBI12/01</x:v>
      </x:c>
      <x:c r="E7" s="21" t="str">
        <x:v>笔试</x:v>
      </x:c>
      <x:c r="F7" s="21" t="n">
        <x:v>90</x:v>
      </x:c>
      <x:c r="G7" s="21" t="n">
        <x:v>80</x:v>
      </x:c>
      <x:c r="H7" s="21" t="n">
        <x:v>120</x:v>
      </x:c>
      <x:c r="I7" s="21" t="str">
        <x:v>Pearson Edexcel</x:v>
      </x:c>
      <x:c r="J7" s="21" t="str">
        <x:v>International AS / A Level</x:v>
      </x:c>
      <x:c r="K7" s="21" t="str">
        <x:v>Raw与UMS分别储存；参数用于规范示例，考季/形式变体不自动生成新教学单元。</x:v>
      </x:c>
      <x:c r="L7" s="21" t="str">
        <x:v>P-BIOLOGY;P-UMS</x:v>
      </x:c>
    </x:row>
    <x:row r="8" ht="52" customHeight="1">
      <x:c r="A8" s="20" t="str">
        <x:v>A007</x:v>
      </x:c>
      <x:c r="B8" s="21" t="str">
        <x:v>生物实验技能 I考试</x:v>
      </x:c>
      <x:c r="C8" s="21" t="str">
        <x:v>Practical Skills in Biology I</x:v>
      </x:c>
      <x:c r="D8" s="21" t="str">
        <x:v>WBI13/01</x:v>
      </x:c>
      <x:c r="E8" s="21" t="str">
        <x:v>笔试</x:v>
      </x:c>
      <x:c r="F8" s="21" t="n">
        <x:v>80</x:v>
      </x:c>
      <x:c r="G8" s="21" t="n">
        <x:v>50</x:v>
      </x:c>
      <x:c r="H8" s="21" t="n">
        <x:v>60</x:v>
      </x:c>
      <x:c r="I8" s="21" t="str">
        <x:v>Pearson Edexcel</x:v>
      </x:c>
      <x:c r="J8" s="21" t="str">
        <x:v>International AS / A Level</x:v>
      </x:c>
      <x:c r="K8" s="21" t="str">
        <x:v>Raw与UMS分别储存；参数用于规范示例，考季/形式变体不自动生成新教学单元。</x:v>
      </x:c>
      <x:c r="L8" s="21" t="str">
        <x:v>P-BIOLOGY;P-UMS</x:v>
      </x:c>
    </x:row>
    <x:row r="9" ht="52" customHeight="1">
      <x:c r="A9" s="20" t="str">
        <x:v>A008</x:v>
      </x:c>
      <x:c r="B9" s="21" t="str">
        <x:v>能量、环境、微生物学与免疫考试</x:v>
      </x:c>
      <x:c r="C9" s="21" t="str">
        <x:v>Energy, Environment, Microbiology and Immunity</x:v>
      </x:c>
      <x:c r="D9" s="21" t="str">
        <x:v>WBI14/01</x:v>
      </x:c>
      <x:c r="E9" s="21" t="str">
        <x:v>笔试</x:v>
      </x:c>
      <x:c r="F9" s="21" t="n">
        <x:v>105</x:v>
      </x:c>
      <x:c r="G9" s="21" t="n">
        <x:v>90</x:v>
      </x:c>
      <x:c r="H9" s="21" t="n">
        <x:v>120</x:v>
      </x:c>
      <x:c r="I9" s="21" t="str">
        <x:v>Pearson Edexcel</x:v>
      </x:c>
      <x:c r="J9" s="21" t="str">
        <x:v>International AS / A Level</x:v>
      </x:c>
      <x:c r="K9" s="21" t="str">
        <x:v>Raw与UMS分别储存；参数用于规范示例，考季/形式变体不自动生成新教学单元。</x:v>
      </x:c>
      <x:c r="L9" s="21" t="str">
        <x:v>P-BIOLOGY;P-UMS</x:v>
      </x:c>
    </x:row>
    <x:row r="10" ht="52" customHeight="1">
      <x:c r="A10" s="20" t="str">
        <x:v>A009</x:v>
      </x:c>
      <x:c r="B10" s="21" t="str">
        <x:v>呼吸、内环境、协调与基因技术考试</x:v>
      </x:c>
      <x:c r="C10" s="21" t="str">
        <x:v>Respiration, Internal Environment, Coordination and Gene Technology</x:v>
      </x:c>
      <x:c r="D10" s="21" t="str">
        <x:v>WBI15/01</x:v>
      </x:c>
      <x:c r="E10" s="21" t="str">
        <x:v>笔试</x:v>
      </x:c>
      <x:c r="F10" s="21" t="n">
        <x:v>105</x:v>
      </x:c>
      <x:c r="G10" s="21" t="n">
        <x:v>90</x:v>
      </x:c>
      <x:c r="H10" s="21" t="n">
        <x:v>120</x:v>
      </x:c>
      <x:c r="I10" s="21" t="str">
        <x:v>Pearson Edexcel</x:v>
      </x:c>
      <x:c r="J10" s="21" t="str">
        <x:v>International AS / A Level</x:v>
      </x:c>
      <x:c r="K10" s="21" t="str">
        <x:v>Raw与UMS分别储存；参数用于规范示例，考季/形式变体不自动生成新教学单元。</x:v>
      </x:c>
      <x:c r="L10" s="21" t="str">
        <x:v>P-BIOLOGY;P-UMS</x:v>
      </x:c>
    </x:row>
    <x:row r="11" ht="52" customHeight="1">
      <x:c r="A11" s="20" t="str">
        <x:v>A010</x:v>
      </x:c>
      <x:c r="B11" s="21" t="str">
        <x:v>生物实验技能 II考试</x:v>
      </x:c>
      <x:c r="C11" s="21" t="str">
        <x:v>Practical Skills in Biology II</x:v>
      </x:c>
      <x:c r="D11" s="21" t="str">
        <x:v>WBI16/01</x:v>
      </x:c>
      <x:c r="E11" s="21" t="str">
        <x:v>笔试</x:v>
      </x:c>
      <x:c r="F11" s="21" t="n">
        <x:v>80</x:v>
      </x:c>
      <x:c r="G11" s="21" t="n">
        <x:v>50</x:v>
      </x:c>
      <x:c r="H11" s="21" t="n">
        <x:v>60</x:v>
      </x:c>
      <x:c r="I11" s="21" t="str">
        <x:v>Pearson Edexcel</x:v>
      </x:c>
      <x:c r="J11" s="21" t="str">
        <x:v>International AS / A Level</x:v>
      </x:c>
      <x:c r="K11" s="21" t="str">
        <x:v>Raw与UMS分别储存；参数用于规范示例，考季/形式变体不自动生成新教学单元。</x:v>
      </x:c>
      <x:c r="L11" s="21" t="str">
        <x:v>P-BIOLOGY;P-UMS</x:v>
      </x:c>
    </x:row>
    <x:row r="12" ht="52" customHeight="1">
      <x:c r="A12" s="20" t="str">
        <x:v>A011</x:v>
      </x:c>
      <x:c r="B12" s="21" t="str">
        <x:v>营销与人员考试</x:v>
      </x:c>
      <x:c r="C12" s="21" t="str">
        <x:v>Marketing and People</x:v>
      </x:c>
      <x:c r="D12" s="21" t="str">
        <x:v>WBS11/01</x:v>
      </x:c>
      <x:c r="E12" s="21" t="str">
        <x:v>笔试</x:v>
      </x:c>
      <x:c r="F12" s="21" t="n">
        <x:v>120</x:v>
      </x:c>
      <x:c r="G12" s="21" t="n">
        <x:v>80</x:v>
      </x:c>
      <x:c r="H12" s="21" t="n">
        <x:v>100</x:v>
      </x:c>
      <x:c r="I12" s="21" t="str">
        <x:v>Pearson Edexcel</x:v>
      </x:c>
      <x:c r="J12" s="21" t="str">
        <x:v>International AS / A Level</x:v>
      </x:c>
      <x:c r="K12" s="21" t="str">
        <x:v>Raw与UMS分别储存；参数用于规范示例，考季/形式变体不自动生成新教学单元。</x:v>
      </x:c>
      <x:c r="L12" s="21" t="str">
        <x:v>P-BUSINESS;P-UMS</x:v>
      </x:c>
    </x:row>
    <x:row r="13" ht="52" customHeight="1">
      <x:c r="A13" s="20" t="str">
        <x:v>A012</x:v>
      </x:c>
      <x:c r="B13" s="21" t="str">
        <x:v>管理商业活动考试</x:v>
      </x:c>
      <x:c r="C13" s="21" t="str">
        <x:v>Managing Business Activities</x:v>
      </x:c>
      <x:c r="D13" s="21" t="str">
        <x:v>WBS12/01</x:v>
      </x:c>
      <x:c r="E13" s="21" t="str">
        <x:v>笔试</x:v>
      </x:c>
      <x:c r="F13" s="21" t="n">
        <x:v>120</x:v>
      </x:c>
      <x:c r="G13" s="21" t="n">
        <x:v>80</x:v>
      </x:c>
      <x:c r="H13" s="21" t="n">
        <x:v>100</x:v>
      </x:c>
      <x:c r="I13" s="21" t="str">
        <x:v>Pearson Edexcel</x:v>
      </x:c>
      <x:c r="J13" s="21" t="str">
        <x:v>International AS / A Level</x:v>
      </x:c>
      <x:c r="K13" s="21" t="str">
        <x:v>Raw与UMS分别储存；参数用于规范示例，考季/形式变体不自动生成新教学单元。</x:v>
      </x:c>
      <x:c r="L13" s="21" t="str">
        <x:v>P-BUSINESS;P-UMS</x:v>
      </x:c>
    </x:row>
    <x:row r="14" ht="52" customHeight="1">
      <x:c r="A14" s="20" t="str">
        <x:v>A013</x:v>
      </x:c>
      <x:c r="B14" s="21" t="str">
        <x:v>商业决策与战略考试</x:v>
      </x:c>
      <x:c r="C14" s="21" t="str">
        <x:v>Business Decisions and Strategy</x:v>
      </x:c>
      <x:c r="D14" s="21" t="str">
        <x:v>WBS13/01</x:v>
      </x:c>
      <x:c r="E14" s="21" t="str">
        <x:v>笔试</x:v>
      </x:c>
      <x:c r="F14" s="21" t="n">
        <x:v>120</x:v>
      </x:c>
      <x:c r="G14" s="21" t="n">
        <x:v>80</x:v>
      </x:c>
      <x:c r="H14" s="21" t="n">
        <x:v>100</x:v>
      </x:c>
      <x:c r="I14" s="21" t="str">
        <x:v>Pearson Edexcel</x:v>
      </x:c>
      <x:c r="J14" s="21" t="str">
        <x:v>International AS / A Level</x:v>
      </x:c>
      <x:c r="K14" s="21" t="str">
        <x:v>Raw与UMS分别储存；参数用于规范示例，考季/形式变体不自动生成新教学单元。</x:v>
      </x:c>
      <x:c r="L14" s="21" t="str">
        <x:v>P-BUSINESS;P-UMS</x:v>
      </x:c>
    </x:row>
    <x:row r="15" ht="52" customHeight="1">
      <x:c r="A15" s="20" t="str">
        <x:v>A014</x:v>
      </x:c>
      <x:c r="B15" s="21" t="str">
        <x:v>全球商业考试</x:v>
      </x:c>
      <x:c r="C15" s="21" t="str">
        <x:v>Global Business</x:v>
      </x:c>
      <x:c r="D15" s="21" t="str">
        <x:v>WBS14/01</x:v>
      </x:c>
      <x:c r="E15" s="21" t="str">
        <x:v>笔试</x:v>
      </x:c>
      <x:c r="F15" s="21" t="n">
        <x:v>120</x:v>
      </x:c>
      <x:c r="G15" s="21" t="n">
        <x:v>80</x:v>
      </x:c>
      <x:c r="H15" s="21" t="n">
        <x:v>100</x:v>
      </x:c>
      <x:c r="I15" s="21" t="str">
        <x:v>Pearson Edexcel</x:v>
      </x:c>
      <x:c r="J15" s="21" t="str">
        <x:v>International AS / A Level</x:v>
      </x:c>
      <x:c r="K15" s="21" t="str">
        <x:v>Raw与UMS分别储存；参数用于规范示例，考季/形式变体不自动生成新教学单元。</x:v>
      </x:c>
      <x:c r="L15" s="21" t="str">
        <x:v>P-BUSINESS;P-UMS</x:v>
      </x:c>
    </x:row>
    <x:row r="16" ht="52" customHeight="1">
      <x:c r="A16" s="20" t="str">
        <x:v>A015</x:v>
      </x:c>
      <x:c r="B16" s="21" t="str">
        <x:v>结构、成键与有机化学导论考试</x:v>
      </x:c>
      <x:c r="C16" s="21" t="str">
        <x:v>Structure, Bonding and Introduction to Organic Chemistry</x:v>
      </x:c>
      <x:c r="D16" s="21" t="str">
        <x:v>WCH11/01</x:v>
      </x:c>
      <x:c r="E16" s="21" t="str">
        <x:v>笔试</x:v>
      </x:c>
      <x:c r="F16" s="21" t="n">
        <x:v>90</x:v>
      </x:c>
      <x:c r="G16" s="21" t="n">
        <x:v>80</x:v>
      </x:c>
      <x:c r="H16" s="21" t="n">
        <x:v>120</x:v>
      </x:c>
      <x:c r="I16" s="21" t="str">
        <x:v>Pearson Edexcel</x:v>
      </x:c>
      <x:c r="J16" s="21" t="str">
        <x:v>International AS / A Level</x:v>
      </x:c>
      <x:c r="K16" s="21" t="str">
        <x:v>Raw与UMS分别储存；参数用于规范示例，考季/形式变体不自动生成新教学单元。</x:v>
      </x:c>
      <x:c r="L16" s="21" t="str">
        <x:v>P-CHEMISTRY;P-UMS</x:v>
      </x:c>
    </x:row>
    <x:row r="17" ht="52" customHeight="1">
      <x:c r="A17" s="20" t="str">
        <x:v>A016</x:v>
      </x:c>
      <x:c r="B17" s="21" t="str">
        <x:v>能量学、族化学、卤代烷与醇考试</x:v>
      </x:c>
      <x:c r="C17" s="21" t="str">
        <x:v>Energetics, Group Chemistry, Halogenoalkanes and Alcohols</x:v>
      </x:c>
      <x:c r="D17" s="21" t="str">
        <x:v>WCH12/01</x:v>
      </x:c>
      <x:c r="E17" s="21" t="str">
        <x:v>笔试</x:v>
      </x:c>
      <x:c r="F17" s="21" t="n">
        <x:v>90</x:v>
      </x:c>
      <x:c r="G17" s="21" t="n">
        <x:v>80</x:v>
      </x:c>
      <x:c r="H17" s="21" t="n">
        <x:v>120</x:v>
      </x:c>
      <x:c r="I17" s="21" t="str">
        <x:v>Pearson Edexcel</x:v>
      </x:c>
      <x:c r="J17" s="21" t="str">
        <x:v>International AS / A Level</x:v>
      </x:c>
      <x:c r="K17" s="21" t="str">
        <x:v>Raw与UMS分别储存；参数用于规范示例，考季/形式变体不自动生成新教学单元。</x:v>
      </x:c>
      <x:c r="L17" s="21" t="str">
        <x:v>P-CHEMISTRY;P-UMS</x:v>
      </x:c>
    </x:row>
    <x:row r="18" ht="52" customHeight="1">
      <x:c r="A18" s="20" t="str">
        <x:v>A017</x:v>
      </x:c>
      <x:c r="B18" s="21" t="str">
        <x:v>化学实验技能 I考试</x:v>
      </x:c>
      <x:c r="C18" s="21" t="str">
        <x:v>Practical Skills in Chemistry I</x:v>
      </x:c>
      <x:c r="D18" s="21" t="str">
        <x:v>WCH13/01</x:v>
      </x:c>
      <x:c r="E18" s="21" t="str">
        <x:v>笔试</x:v>
      </x:c>
      <x:c r="F18" s="21" t="n">
        <x:v>80</x:v>
      </x:c>
      <x:c r="G18" s="21" t="n">
        <x:v>50</x:v>
      </x:c>
      <x:c r="H18" s="21" t="n">
        <x:v>60</x:v>
      </x:c>
      <x:c r="I18" s="21" t="str">
        <x:v>Pearson Edexcel</x:v>
      </x:c>
      <x:c r="J18" s="21" t="str">
        <x:v>International AS / A Level</x:v>
      </x:c>
      <x:c r="K18" s="21" t="str">
        <x:v>Raw与UMS分别储存；参数用于规范示例，考季/形式变体不自动生成新教学单元。</x:v>
      </x:c>
      <x:c r="L18" s="21" t="str">
        <x:v>P-CHEMISTRY;P-UMS</x:v>
      </x:c>
    </x:row>
    <x:row r="19" ht="52" customHeight="1">
      <x:c r="A19" s="20" t="str">
        <x:v>A018</x:v>
      </x:c>
      <x:c r="B19" s="21" t="str">
        <x:v>速率、平衡与进阶有机化学考试</x:v>
      </x:c>
      <x:c r="C19" s="21" t="str">
        <x:v>Rates, Equilibria and Further Organic Chemistry</x:v>
      </x:c>
      <x:c r="D19" s="21" t="str">
        <x:v>WCH14/01</x:v>
      </x:c>
      <x:c r="E19" s="21" t="str">
        <x:v>笔试</x:v>
      </x:c>
      <x:c r="F19" s="21" t="n">
        <x:v>105</x:v>
      </x:c>
      <x:c r="G19" s="21" t="n">
        <x:v>90</x:v>
      </x:c>
      <x:c r="H19" s="21" t="n">
        <x:v>120</x:v>
      </x:c>
      <x:c r="I19" s="21" t="str">
        <x:v>Pearson Edexcel</x:v>
      </x:c>
      <x:c r="J19" s="21" t="str">
        <x:v>International AS / A Level</x:v>
      </x:c>
      <x:c r="K19" s="21" t="str">
        <x:v>Raw与UMS分别储存；参数用于规范示例，考季/形式变体不自动生成新教学单元。</x:v>
      </x:c>
      <x:c r="L19" s="21" t="str">
        <x:v>P-CHEMISTRY;P-UMS</x:v>
      </x:c>
    </x:row>
    <x:row r="20" ht="52" customHeight="1">
      <x:c r="A20" s="20" t="str">
        <x:v>A019</x:v>
      </x:c>
      <x:c r="B20" s="21" t="str">
        <x:v>过渡金属与含氮有机化学考试</x:v>
      </x:c>
      <x:c r="C20" s="21" t="str">
        <x:v>Transition Metals and Organic Nitrogen Chemistry</x:v>
      </x:c>
      <x:c r="D20" s="21" t="str">
        <x:v>WCH15/01</x:v>
      </x:c>
      <x:c r="E20" s="21" t="str">
        <x:v>笔试</x:v>
      </x:c>
      <x:c r="F20" s="21" t="n">
        <x:v>105</x:v>
      </x:c>
      <x:c r="G20" s="21" t="n">
        <x:v>90</x:v>
      </x:c>
      <x:c r="H20" s="21" t="n">
        <x:v>120</x:v>
      </x:c>
      <x:c r="I20" s="21" t="str">
        <x:v>Pearson Edexcel</x:v>
      </x:c>
      <x:c r="J20" s="21" t="str">
        <x:v>International AS / A Level</x:v>
      </x:c>
      <x:c r="K20" s="21" t="str">
        <x:v>Raw与UMS分别储存；参数用于规范示例，考季/形式变体不自动生成新教学单元。</x:v>
      </x:c>
      <x:c r="L20" s="21" t="str">
        <x:v>P-CHEMISTRY;P-UMS</x:v>
      </x:c>
    </x:row>
    <x:row r="21" ht="52" customHeight="1">
      <x:c r="A21" s="20" t="str">
        <x:v>A020</x:v>
      </x:c>
      <x:c r="B21" s="21" t="str">
        <x:v>化学实验技能 II考试</x:v>
      </x:c>
      <x:c r="C21" s="21" t="str">
        <x:v>Practical Skills in Chemistry II</x:v>
      </x:c>
      <x:c r="D21" s="21" t="str">
        <x:v>WCH16/01</x:v>
      </x:c>
      <x:c r="E21" s="21" t="str">
        <x:v>笔试</x:v>
      </x:c>
      <x:c r="F21" s="21" t="n">
        <x:v>80</x:v>
      </x:c>
      <x:c r="G21" s="21" t="n">
        <x:v>50</x:v>
      </x:c>
      <x:c r="H21" s="21" t="n">
        <x:v>60</x:v>
      </x:c>
      <x:c r="I21" s="21" t="str">
        <x:v>Pearson Edexcel</x:v>
      </x:c>
      <x:c r="J21" s="21" t="str">
        <x:v>International AS / A Level</x:v>
      </x:c>
      <x:c r="K21" s="21" t="str">
        <x:v>Raw与UMS分别储存；参数用于规范示例，考季/形式变体不自动生成新教学单元。</x:v>
      </x:c>
      <x:c r="L21" s="21" t="str">
        <x:v>P-CHEMISTRY;P-UMS</x:v>
      </x:c>
    </x:row>
    <x:row r="22" ht="52" customHeight="1">
      <x:c r="A22" s="20" t="str">
        <x:v>A021</x:v>
      </x:c>
      <x:c r="B22" s="21" t="str">
        <x:v>市场运行考试</x:v>
      </x:c>
      <x:c r="C22" s="21" t="str">
        <x:v>Markets in Action</x:v>
      </x:c>
      <x:c r="D22" s="21" t="str">
        <x:v>WEC11/01</x:v>
      </x:c>
      <x:c r="E22" s="21" t="str">
        <x:v>笔试</x:v>
      </x:c>
      <x:c r="F22" s="21" t="n">
        <x:v>105</x:v>
      </x:c>
      <x:c r="G22" s="21" t="n">
        <x:v>80</x:v>
      </x:c>
      <x:c r="H22" s="21" t="n">
        <x:v>100</x:v>
      </x:c>
      <x:c r="I22" s="21" t="str">
        <x:v>Pearson Edexcel</x:v>
      </x:c>
      <x:c r="J22" s="21" t="str">
        <x:v>International AS / A Level</x:v>
      </x:c>
      <x:c r="K22" s="21" t="str">
        <x:v>Raw与UMS分别储存；参数用于规范示例，考季/形式变体不自动生成新教学单元。</x:v>
      </x:c>
      <x:c r="L22" s="21" t="str">
        <x:v>P-ECONOMICS;P-UMS</x:v>
      </x:c>
    </x:row>
    <x:row r="23" ht="52" customHeight="1">
      <x:c r="A23" s="20" t="str">
        <x:v>A022</x:v>
      </x:c>
      <x:c r="B23" s="21" t="str">
        <x:v>宏观经济表现与政策考试</x:v>
      </x:c>
      <x:c r="C23" s="21" t="str">
        <x:v>Macroeconomic Performance and Policy</x:v>
      </x:c>
      <x:c r="D23" s="21" t="str">
        <x:v>WEC12/01</x:v>
      </x:c>
      <x:c r="E23" s="21" t="str">
        <x:v>笔试</x:v>
      </x:c>
      <x:c r="F23" s="21" t="n">
        <x:v>105</x:v>
      </x:c>
      <x:c r="G23" s="21" t="n">
        <x:v>80</x:v>
      </x:c>
      <x:c r="H23" s="21" t="n">
        <x:v>100</x:v>
      </x:c>
      <x:c r="I23" s="21" t="str">
        <x:v>Pearson Edexcel</x:v>
      </x:c>
      <x:c r="J23" s="21" t="str">
        <x:v>International AS / A Level</x:v>
      </x:c>
      <x:c r="K23" s="21" t="str">
        <x:v>Raw与UMS分别储存；参数用于规范示例，考季/形式变体不自动生成新教学单元。</x:v>
      </x:c>
      <x:c r="L23" s="21" t="str">
        <x:v>P-ECONOMICS;P-UMS</x:v>
      </x:c>
    </x:row>
    <x:row r="24" ht="52" customHeight="1">
      <x:c r="A24" s="20" t="str">
        <x:v>A023</x:v>
      </x:c>
      <x:c r="B24" s="21" t="str">
        <x:v>企业行为考试</x:v>
      </x:c>
      <x:c r="C24" s="21" t="str">
        <x:v>Business Behaviour</x:v>
      </x:c>
      <x:c r="D24" s="21" t="str">
        <x:v>WEC13/01</x:v>
      </x:c>
      <x:c r="E24" s="21" t="str">
        <x:v>笔试</x:v>
      </x:c>
      <x:c r="F24" s="21" t="n">
        <x:v>120</x:v>
      </x:c>
      <x:c r="G24" s="21" t="n">
        <x:v>80</x:v>
      </x:c>
      <x:c r="H24" s="21" t="n">
        <x:v>100</x:v>
      </x:c>
      <x:c r="I24" s="21" t="str">
        <x:v>Pearson Edexcel</x:v>
      </x:c>
      <x:c r="J24" s="21" t="str">
        <x:v>International AS / A Level</x:v>
      </x:c>
      <x:c r="K24" s="21" t="str">
        <x:v>Raw与UMS分别储存；参数用于规范示例，考季/形式变体不自动生成新教学单元。</x:v>
      </x:c>
      <x:c r="L24" s="21" t="str">
        <x:v>P-ECONOMICS;P-UMS</x:v>
      </x:c>
    </x:row>
    <x:row r="25" ht="52" customHeight="1">
      <x:c r="A25" s="20" t="str">
        <x:v>A024</x:v>
      </x:c>
      <x:c r="B25" s="21" t="str">
        <x:v>全球经济发展考试</x:v>
      </x:c>
      <x:c r="C25" s="21" t="str">
        <x:v>Developments in the Global Economy</x:v>
      </x:c>
      <x:c r="D25" s="21" t="str">
        <x:v>WEC14/01</x:v>
      </x:c>
      <x:c r="E25" s="21" t="str">
        <x:v>笔试</x:v>
      </x:c>
      <x:c r="F25" s="21" t="n">
        <x:v>120</x:v>
      </x:c>
      <x:c r="G25" s="21" t="n">
        <x:v>80</x:v>
      </x:c>
      <x:c r="H25" s="21" t="n">
        <x:v>100</x:v>
      </x:c>
      <x:c r="I25" s="21" t="str">
        <x:v>Pearson Edexcel</x:v>
      </x:c>
      <x:c r="J25" s="21" t="str">
        <x:v>International AS / A Level</x:v>
      </x:c>
      <x:c r="K25" s="21" t="str">
        <x:v>Raw与UMS分别储存；参数用于规范示例，考季/形式变体不自动生成新教学单元。</x:v>
      </x:c>
      <x:c r="L25" s="21" t="str">
        <x:v>P-ECONOMICS;P-UMS</x:v>
      </x:c>
    </x:row>
    <x:row r="26" ht="52" customHeight="1">
      <x:c r="A26" s="20" t="str">
        <x:v>A025</x:v>
      </x:c>
      <x:c r="B26" s="21" t="str">
        <x:v>语言：语境与身份考试</x:v>
      </x:c>
      <x:c r="C26" s="21" t="str">
        <x:v>Language: Context and Identity</x:v>
      </x:c>
      <x:c r="D26" s="21" t="str">
        <x:v>WEN01/01</x:v>
      </x:c>
      <x:c r="E26" s="21" t="str">
        <x:v>笔试</x:v>
      </x:c>
      <x:c r="F26" s="21" t="n">
        <x:v>105</x:v>
      </x:c>
      <x:c r="G26" s="21" t="n">
        <x:v>50</x:v>
      </x:c>
      <x:c r="H26" s="21" t="n">
        <x:v>100</x:v>
      </x:c>
      <x:c r="I26" s="21" t="str">
        <x:v>Pearson Edexcel</x:v>
      </x:c>
      <x:c r="J26" s="21" t="str">
        <x:v>International AS / A Level</x:v>
      </x:c>
      <x:c r="K26" s="21" t="str">
        <x:v>Raw与UMS分别储存；参数用于规范示例，考季/形式变体不自动生成新教学单元。</x:v>
      </x:c>
      <x:c r="L26" s="21" t="str">
        <x:v>P-ENGLISHLANGUAGE;P-UMS</x:v>
      </x:c>
    </x:row>
    <x:row r="27" ht="52" customHeight="1">
      <x:c r="A27" s="20" t="str">
        <x:v>A026</x:v>
      </x:c>
      <x:c r="B27" s="21" t="str">
        <x:v>变迁中的语言考试</x:v>
      </x:c>
      <x:c r="C27" s="21" t="str">
        <x:v>Language in Transition</x:v>
      </x:c>
      <x:c r="D27" s="21" t="str">
        <x:v>WEN02/01</x:v>
      </x:c>
      <x:c r="E27" s="21" t="str">
        <x:v>笔试</x:v>
      </x:c>
      <x:c r="F27" s="21" t="n">
        <x:v>105</x:v>
      </x:c>
      <x:c r="G27" s="21" t="n">
        <x:v>50</x:v>
      </x:c>
      <x:c r="H27" s="21" t="n">
        <x:v>100</x:v>
      </x:c>
      <x:c r="I27" s="21" t="str">
        <x:v>Pearson Edexcel</x:v>
      </x:c>
      <x:c r="J27" s="21" t="str">
        <x:v>International AS / A Level</x:v>
      </x:c>
      <x:c r="K27" s="21" t="str">
        <x:v>Raw与UMS分别储存；参数用于规范示例，考季/形式变体不自动生成新教学单元。</x:v>
      </x:c>
      <x:c r="L27" s="21" t="str">
        <x:v>P-ENGLISHLANGUAGE;P-UMS</x:v>
      </x:c>
    </x:row>
    <x:row r="28" ht="52" customHeight="1">
      <x:c r="A28" s="20" t="str">
        <x:v>A027</x:v>
      </x:c>
      <x:c r="B28" s="21" t="str">
        <x:v>语言创作（写作）考试</x:v>
      </x:c>
      <x:c r="C28" s="21" t="str">
        <x:v>Crafting Language (Writing)</x:v>
      </x:c>
      <x:c r="D28" s="21" t="str">
        <x:v>WEN03/01</x:v>
      </x:c>
      <x:c r="E28" s="21" t="str">
        <x:v>笔试</x:v>
      </x:c>
      <x:c r="F28" s="21" t="n">
        <x:v>120</x:v>
      </x:c>
      <x:c r="G28" s="21" t="n">
        <x:v>50</x:v>
      </x:c>
      <x:c r="H28" s="21" t="n">
        <x:v>100</x:v>
      </x:c>
      <x:c r="I28" s="21" t="str">
        <x:v>Pearson Edexcel</x:v>
      </x:c>
      <x:c r="J28" s="21" t="str">
        <x:v>International AS / A Level</x:v>
      </x:c>
      <x:c r="K28" s="21" t="str">
        <x:v>Raw与UMS分别储存；参数用于规范示例，考季/形式变体不自动生成新教学单元。</x:v>
      </x:c>
      <x:c r="L28" s="21" t="str">
        <x:v>P-ENGLISHLANGUAGE;P-UMS</x:v>
      </x:c>
    </x:row>
    <x:row r="29" ht="52" customHeight="1">
      <x:c r="A29" s="20" t="str">
        <x:v>A028</x:v>
      </x:c>
      <x:c r="B29" s="21" t="str">
        <x:v>语言研究考试</x:v>
      </x:c>
      <x:c r="C29" s="21" t="str">
        <x:v>Investigating Language</x:v>
      </x:c>
      <x:c r="D29" s="21" t="str">
        <x:v>WEN04/01</x:v>
      </x:c>
      <x:c r="E29" s="21" t="str">
        <x:v>笔试</x:v>
      </x:c>
      <x:c r="F29" s="21" t="n">
        <x:v>120</x:v>
      </x:c>
      <x:c r="G29" s="21" t="n">
        <x:v>50</x:v>
      </x:c>
      <x:c r="H29" s="21" t="n">
        <x:v>100</x:v>
      </x:c>
      <x:c r="I29" s="21" t="str">
        <x:v>Pearson Edexcel</x:v>
      </x:c>
      <x:c r="J29" s="21" t="str">
        <x:v>International AS / A Level</x:v>
      </x:c>
      <x:c r="K29" s="21" t="str">
        <x:v>Raw与UMS分别储存；参数用于规范示例，考季/形式变体不自动生成新教学单元。</x:v>
      </x:c>
      <x:c r="L29" s="21" t="str">
        <x:v>P-ENGLISHLANGUAGE;P-UMS</x:v>
      </x:c>
    </x:row>
    <x:row r="30" ht="52" customHeight="1">
      <x:c r="A30" s="20" t="str">
        <x:v>A029</x:v>
      </x:c>
      <x:c r="B30" s="21" t="str">
        <x:v>2000年后的诗歌与散文考试</x:v>
      </x:c>
      <x:c r="C30" s="21" t="str">
        <x:v>Post-2000 Poetry and Prose</x:v>
      </x:c>
      <x:c r="D30" s="21" t="str">
        <x:v>WET01/01</x:v>
      </x:c>
      <x:c r="E30" s="21" t="str">
        <x:v>笔试</x:v>
      </x:c>
      <x:c r="F30" s="21" t="n">
        <x:v>120</x:v>
      </x:c>
      <x:c r="G30" s="21" t="n">
        <x:v>50</x:v>
      </x:c>
      <x:c r="H30" s="21" t="n">
        <x:v>100</x:v>
      </x:c>
      <x:c r="I30" s="21" t="str">
        <x:v>Pearson Edexcel</x:v>
      </x:c>
      <x:c r="J30" s="21" t="str">
        <x:v>International AS / A Level</x:v>
      </x:c>
      <x:c r="K30" s="21" t="str">
        <x:v>Raw与UMS分别储存；参数用于规范示例，考季/形式变体不自动生成新教学单元。</x:v>
      </x:c>
      <x:c r="L30" s="21" t="str">
        <x:v>P-ENGLISHLITERATURE;P-UMS</x:v>
      </x:c>
    </x:row>
    <x:row r="31" ht="52" customHeight="1">
      <x:c r="A31" s="20" t="str">
        <x:v>A030</x:v>
      </x:c>
      <x:c r="B31" s="21" t="str">
        <x:v>戏剧考试</x:v>
      </x:c>
      <x:c r="C31" s="21" t="str">
        <x:v>Drama</x:v>
      </x:c>
      <x:c r="D31" s="21" t="str">
        <x:v>WET02/01</x:v>
      </x:c>
      <x:c r="E31" s="21" t="str">
        <x:v>笔试</x:v>
      </x:c>
      <x:c r="F31" s="21" t="n">
        <x:v>120</x:v>
      </x:c>
      <x:c r="G31" s="21" t="n">
        <x:v>50</x:v>
      </x:c>
      <x:c r="H31" s="21" t="n">
        <x:v>100</x:v>
      </x:c>
      <x:c r="I31" s="21" t="str">
        <x:v>Pearson Edexcel</x:v>
      </x:c>
      <x:c r="J31" s="21" t="str">
        <x:v>International AS / A Level</x:v>
      </x:c>
      <x:c r="K31" s="21" t="str">
        <x:v>Raw与UMS分别储存；参数用于规范示例，考季/形式变体不自动生成新教学单元。</x:v>
      </x:c>
      <x:c r="L31" s="21" t="str">
        <x:v>P-ENGLISHLITERATURE;P-UMS</x:v>
      </x:c>
    </x:row>
    <x:row r="32" ht="52" customHeight="1">
      <x:c r="A32" s="20" t="str">
        <x:v>A031</x:v>
      </x:c>
      <x:c r="B32" s="21" t="str">
        <x:v>诗歌与散文考试</x:v>
      </x:c>
      <x:c r="C32" s="21" t="str">
        <x:v>Poetry and Prose</x:v>
      </x:c>
      <x:c r="D32" s="21" t="str">
        <x:v>WET03/01</x:v>
      </x:c>
      <x:c r="E32" s="21" t="str">
        <x:v>笔试</x:v>
      </x:c>
      <x:c r="F32" s="21" t="n">
        <x:v>120</x:v>
      </x:c>
      <x:c r="G32" s="21" t="n">
        <x:v>50</x:v>
      </x:c>
      <x:c r="H32" s="21" t="n">
        <x:v>100</x:v>
      </x:c>
      <x:c r="I32" s="21" t="str">
        <x:v>Pearson Edexcel</x:v>
      </x:c>
      <x:c r="J32" s="21" t="str">
        <x:v>International AS / A Level</x:v>
      </x:c>
      <x:c r="K32" s="21" t="str">
        <x:v>Raw与UMS分别储存；参数用于规范示例，考季/形式变体不自动生成新教学单元。</x:v>
      </x:c>
      <x:c r="L32" s="21" t="str">
        <x:v>P-ENGLISHLITERATURE;P-UMS</x:v>
      </x:c>
    </x:row>
    <x:row r="33" ht="52" customHeight="1">
      <x:c r="A33" s="20" t="str">
        <x:v>A032</x:v>
      </x:c>
      <x:c r="B33" s="21" t="str">
        <x:v>莎士比亚与1900年前诗歌考试</x:v>
      </x:c>
      <x:c r="C33" s="21" t="str">
        <x:v>Shakespeare and Pre-1900 Poetry</x:v>
      </x:c>
      <x:c r="D33" s="21" t="str">
        <x:v>WET04/01</x:v>
      </x:c>
      <x:c r="E33" s="21" t="str">
        <x:v>笔试</x:v>
      </x:c>
      <x:c r="F33" s="21" t="n">
        <x:v>120</x:v>
      </x:c>
      <x:c r="G33" s="21" t="n">
        <x:v>50</x:v>
      </x:c>
      <x:c r="H33" s="21" t="n">
        <x:v>100</x:v>
      </x:c>
      <x:c r="I33" s="21" t="str">
        <x:v>Pearson Edexcel</x:v>
      </x:c>
      <x:c r="J33" s="21" t="str">
        <x:v>International AS / A Level</x:v>
      </x:c>
      <x:c r="K33" s="21" t="str">
        <x:v>Raw与UMS分别储存；参数用于规范示例，考季/形式变体不自动生成新教学单元。</x:v>
      </x:c>
      <x:c r="L33" s="21" t="str">
        <x:v>P-ENGLISHLITERATURE;P-UMS</x:v>
      </x:c>
    </x:row>
    <x:row r="34" ht="52" customHeight="1">
      <x:c r="A34" s="20" t="str">
        <x:v>A033</x:v>
      </x:c>
      <x:c r="B34" s="21" t="str">
        <x:v>信息技术单元 1考试</x:v>
      </x:c>
      <x:c r="C34" s="21" t="str">
        <x:v>Unit 1</x:v>
      </x:c>
      <x:c r="D34" s="21" t="str">
        <x:v>WIT11/01</x:v>
      </x:c>
      <x:c r="E34" s="21" t="str">
        <x:v>笔试</x:v>
      </x:c>
      <x:c r="F34" s="21" t="n">
        <x:v>120</x:v>
      </x:c>
      <x:c r="G34" s="21" t="n">
        <x:v>80</x:v>
      </x:c>
      <x:c r="H34" s="21" t="n">
        <x:v>100</x:v>
      </x:c>
      <x:c r="I34" s="21" t="str">
        <x:v>Pearson Edexcel</x:v>
      </x:c>
      <x:c r="J34" s="21" t="str">
        <x:v>International AS / A Level</x:v>
      </x:c>
      <x:c r="K34" s="21" t="str">
        <x:v>Raw与UMS分别储存；参数用于规范示例，考季/形式变体不自动生成新教学单元。</x:v>
      </x:c>
      <x:c r="L34" s="21" t="str">
        <x:v>P-INFORMATIONTECHNOLOGY;P-UMS</x:v>
      </x:c>
    </x:row>
    <x:row r="35" ht="52" customHeight="1">
      <x:c r="A35" s="20" t="str">
        <x:v>A034</x:v>
      </x:c>
      <x:c r="B35" s="21" t="str">
        <x:v>信息技术单元 2考试</x:v>
      </x:c>
      <x:c r="C35" s="21" t="str">
        <x:v>Unit 2</x:v>
      </x:c>
      <x:c r="D35" s="21" t="str">
        <x:v>WIT12/01</x:v>
      </x:c>
      <x:c r="E35" s="21" t="str">
        <x:v>机考/实操考试</x:v>
      </x:c>
      <x:c r="F35" s="21" t="n">
        <x:v>180</x:v>
      </x:c>
      <x:c r="G35" s="21" t="n">
        <x:v>80</x:v>
      </x:c>
      <x:c r="H35" s="21" t="n">
        <x:v>100</x:v>
      </x:c>
      <x:c r="I35" s="21" t="str">
        <x:v>Pearson Edexcel</x:v>
      </x:c>
      <x:c r="J35" s="21" t="str">
        <x:v>International AS / A Level</x:v>
      </x:c>
      <x:c r="K35" s="21" t="str">
        <x:v>Raw与UMS分别储存；参数用于规范示例，考季/形式变体不自动生成新教学单元。</x:v>
      </x:c>
      <x:c r="L35" s="21" t="str">
        <x:v>P-INFORMATIONTECHNOLOGY;P-UMS</x:v>
      </x:c>
    </x:row>
    <x:row r="36" ht="52" customHeight="1">
      <x:c r="A36" s="20" t="str">
        <x:v>A035</x:v>
      </x:c>
      <x:c r="B36" s="21" t="str">
        <x:v>信息技术单元 3考试</x:v>
      </x:c>
      <x:c r="C36" s="21" t="str">
        <x:v>Unit 3</x:v>
      </x:c>
      <x:c r="D36" s="21" t="str">
        <x:v>WIT13/01</x:v>
      </x:c>
      <x:c r="E36" s="21" t="str">
        <x:v>笔试</x:v>
      </x:c>
      <x:c r="F36" s="21" t="n">
        <x:v>120</x:v>
      </x:c>
      <x:c r="G36" s="21" t="n">
        <x:v>80</x:v>
      </x:c>
      <x:c r="H36" s="21" t="n">
        <x:v>100</x:v>
      </x:c>
      <x:c r="I36" s="21" t="str">
        <x:v>Pearson Edexcel</x:v>
      </x:c>
      <x:c r="J36" s="21" t="str">
        <x:v>International AS / A Level</x:v>
      </x:c>
      <x:c r="K36" s="21" t="str">
        <x:v>Raw与UMS分别储存；参数用于规范示例，考季/形式变体不自动生成新教学单元。</x:v>
      </x:c>
      <x:c r="L36" s="21" t="str">
        <x:v>P-INFORMATIONTECHNOLOGY;P-UMS</x:v>
      </x:c>
    </x:row>
    <x:row r="37" ht="52" customHeight="1">
      <x:c r="A37" s="20" t="str">
        <x:v>A036</x:v>
      </x:c>
      <x:c r="B37" s="21" t="str">
        <x:v>信息技术单元 4考试</x:v>
      </x:c>
      <x:c r="C37" s="21" t="str">
        <x:v>Unit 4</x:v>
      </x:c>
      <x:c r="D37" s="21" t="str">
        <x:v>WIT14/01</x:v>
      </x:c>
      <x:c r="E37" s="21" t="str">
        <x:v>机考/实操考试</x:v>
      </x:c>
      <x:c r="F37" s="21" t="n">
        <x:v>180</x:v>
      </x:c>
      <x:c r="G37" s="21" t="n">
        <x:v>80</x:v>
      </x:c>
      <x:c r="H37" s="21" t="n">
        <x:v>100</x:v>
      </x:c>
      <x:c r="I37" s="21" t="str">
        <x:v>Pearson Edexcel</x:v>
      </x:c>
      <x:c r="J37" s="21" t="str">
        <x:v>International AS / A Level</x:v>
      </x:c>
      <x:c r="K37" s="21" t="str">
        <x:v>Raw与UMS分别储存；参数用于规范示例，考季/形式变体不自动生成新教学单元。</x:v>
      </x:c>
      <x:c r="L37" s="21" t="str">
        <x:v>P-INFORMATIONTECHNOLOGY;P-UMS</x:v>
      </x:c>
    </x:row>
    <x:row r="38" ht="52" customHeight="1">
      <x:c r="A38" s="20" t="str">
        <x:v>A037</x:v>
      </x:c>
      <x:c r="B38" s="21" t="str">
        <x:v>纯数 1考试</x:v>
      </x:c>
      <x:c r="C38" s="21" t="str">
        <x:v>Pure Mathematics 1</x:v>
      </x:c>
      <x:c r="D38" s="21" t="str">
        <x:v>WMA11/01</x:v>
      </x:c>
      <x:c r="E38" s="21" t="str">
        <x:v>笔试</x:v>
      </x:c>
      <x:c r="F38" s="21" t="n">
        <x:v>90</x:v>
      </x:c>
      <x:c r="G38" s="21" t="n">
        <x:v>75</x:v>
      </x:c>
      <x:c r="H38" s="21" t="n">
        <x:v>100</x:v>
      </x:c>
      <x:c r="I38" s="21" t="str">
        <x:v>Pearson Edexcel</x:v>
      </x:c>
      <x:c r="J38" s="21" t="str">
        <x:v>International AS / A Level</x:v>
      </x:c>
      <x:c r="K38" s="21" t="str">
        <x:v>同一试卷可关联多个课程出口；不能在多个资格中重复使用同一成绩。</x:v>
      </x:c>
      <x:c r="L38" s="21" t="str">
        <x:v>P-MATH;P-UMS</x:v>
      </x:c>
    </x:row>
    <x:row r="39" ht="52" customHeight="1">
      <x:c r="A39" s="20" t="str">
        <x:v>A038</x:v>
      </x:c>
      <x:c r="B39" s="21" t="str">
        <x:v>纯数 2考试</x:v>
      </x:c>
      <x:c r="C39" s="21" t="str">
        <x:v>Pure Mathematics 2</x:v>
      </x:c>
      <x:c r="D39" s="21" t="str">
        <x:v>WMA12/01</x:v>
      </x:c>
      <x:c r="E39" s="21" t="str">
        <x:v>笔试</x:v>
      </x:c>
      <x:c r="F39" s="21" t="n">
        <x:v>90</x:v>
      </x:c>
      <x:c r="G39" s="21" t="n">
        <x:v>75</x:v>
      </x:c>
      <x:c r="H39" s="21" t="n">
        <x:v>100</x:v>
      </x:c>
      <x:c r="I39" s="21" t="str">
        <x:v>Pearson Edexcel</x:v>
      </x:c>
      <x:c r="J39" s="21" t="str">
        <x:v>International AS / A Level</x:v>
      </x:c>
      <x:c r="K39" s="21" t="str">
        <x:v>同一试卷可关联多个课程出口；不能在多个资格中重复使用同一成绩。</x:v>
      </x:c>
      <x:c r="L39" s="21" t="str">
        <x:v>P-MATH;P-UMS</x:v>
      </x:c>
    </x:row>
    <x:row r="40" ht="52" customHeight="1">
      <x:c r="A40" s="20" t="str">
        <x:v>A039</x:v>
      </x:c>
      <x:c r="B40" s="21" t="str">
        <x:v>纯数 3考试</x:v>
      </x:c>
      <x:c r="C40" s="21" t="str">
        <x:v>Pure Mathematics 3</x:v>
      </x:c>
      <x:c r="D40" s="21" t="str">
        <x:v>WMA13/01</x:v>
      </x:c>
      <x:c r="E40" s="21" t="str">
        <x:v>笔试</x:v>
      </x:c>
      <x:c r="F40" s="21" t="n">
        <x:v>90</x:v>
      </x:c>
      <x:c r="G40" s="21" t="n">
        <x:v>75</x:v>
      </x:c>
      <x:c r="H40" s="21" t="n">
        <x:v>100</x:v>
      </x:c>
      <x:c r="I40" s="21" t="str">
        <x:v>Pearson Edexcel</x:v>
      </x:c>
      <x:c r="J40" s="21" t="str">
        <x:v>International AS / A Level</x:v>
      </x:c>
      <x:c r="K40" s="21" t="str">
        <x:v>同一试卷可关联多个课程出口；不能在多个资格中重复使用同一成绩。</x:v>
      </x:c>
      <x:c r="L40" s="21" t="str">
        <x:v>P-MATH;P-UMS</x:v>
      </x:c>
    </x:row>
    <x:row r="41" ht="52" customHeight="1">
      <x:c r="A41" s="20" t="str">
        <x:v>A040</x:v>
      </x:c>
      <x:c r="B41" s="21" t="str">
        <x:v>纯数 4考试</x:v>
      </x:c>
      <x:c r="C41" s="21" t="str">
        <x:v>Pure Mathematics 4</x:v>
      </x:c>
      <x:c r="D41" s="21" t="str">
        <x:v>WMA14/01</x:v>
      </x:c>
      <x:c r="E41" s="21" t="str">
        <x:v>笔试</x:v>
      </x:c>
      <x:c r="F41" s="21" t="n">
        <x:v>90</x:v>
      </x:c>
      <x:c r="G41" s="21" t="n">
        <x:v>75</x:v>
      </x:c>
      <x:c r="H41" s="21" t="n">
        <x:v>100</x:v>
      </x:c>
      <x:c r="I41" s="21" t="str">
        <x:v>Pearson Edexcel</x:v>
      </x:c>
      <x:c r="J41" s="21" t="str">
        <x:v>International AS / A Level</x:v>
      </x:c>
      <x:c r="K41" s="21" t="str">
        <x:v>同一试卷可关联多个课程出口；不能在多个资格中重复使用同一成绩。</x:v>
      </x:c>
      <x:c r="L41" s="21" t="str">
        <x:v>P-MATH;P-UMS</x:v>
      </x:c>
    </x:row>
    <x:row r="42" ht="52" customHeight="1">
      <x:c r="A42" s="20" t="str">
        <x:v>A041</x:v>
      </x:c>
      <x:c r="B42" s="21" t="str">
        <x:v>进阶纯数 1考试</x:v>
      </x:c>
      <x:c r="C42" s="21" t="str">
        <x:v>Further Pure Mathematics 1</x:v>
      </x:c>
      <x:c r="D42" s="21" t="str">
        <x:v>WFM01/01</x:v>
      </x:c>
      <x:c r="E42" s="21" t="str">
        <x:v>笔试</x:v>
      </x:c>
      <x:c r="F42" s="21" t="n">
        <x:v>90</x:v>
      </x:c>
      <x:c r="G42" s="21" t="n">
        <x:v>75</x:v>
      </x:c>
      <x:c r="H42" s="21" t="n">
        <x:v>100</x:v>
      </x:c>
      <x:c r="I42" s="21" t="str">
        <x:v>Pearson Edexcel</x:v>
      </x:c>
      <x:c r="J42" s="21" t="str">
        <x:v>International AS / A Level</x:v>
      </x:c>
      <x:c r="K42" s="21" t="str">
        <x:v>同一试卷可关联多个课程出口；不能在多个资格中重复使用同一成绩。</x:v>
      </x:c>
      <x:c r="L42" s="21" t="str">
        <x:v>P-MATH;P-UMS</x:v>
      </x:c>
    </x:row>
    <x:row r="43" ht="52" customHeight="1">
      <x:c r="A43" s="20" t="str">
        <x:v>A042</x:v>
      </x:c>
      <x:c r="B43" s="21" t="str">
        <x:v>进阶纯数 2考试</x:v>
      </x:c>
      <x:c r="C43" s="21" t="str">
        <x:v>Further Pure Mathematics 2</x:v>
      </x:c>
      <x:c r="D43" s="21" t="str">
        <x:v>WFM02/01</x:v>
      </x:c>
      <x:c r="E43" s="21" t="str">
        <x:v>笔试</x:v>
      </x:c>
      <x:c r="F43" s="21" t="n">
        <x:v>90</x:v>
      </x:c>
      <x:c r="G43" s="21" t="n">
        <x:v>75</x:v>
      </x:c>
      <x:c r="H43" s="21" t="n">
        <x:v>100</x:v>
      </x:c>
      <x:c r="I43" s="21" t="str">
        <x:v>Pearson Edexcel</x:v>
      </x:c>
      <x:c r="J43" s="21" t="str">
        <x:v>International AS / A Level</x:v>
      </x:c>
      <x:c r="K43" s="21" t="str">
        <x:v>同一试卷可关联多个课程出口；不能在多个资格中重复使用同一成绩。</x:v>
      </x:c>
      <x:c r="L43" s="21" t="str">
        <x:v>P-MATH;P-UMS</x:v>
      </x:c>
    </x:row>
    <x:row r="44" ht="52" customHeight="1">
      <x:c r="A44" s="20" t="str">
        <x:v>A043</x:v>
      </x:c>
      <x:c r="B44" s="21" t="str">
        <x:v>进阶纯数 3考试</x:v>
      </x:c>
      <x:c r="C44" s="21" t="str">
        <x:v>Further Pure Mathematics 3</x:v>
      </x:c>
      <x:c r="D44" s="21" t="str">
        <x:v>WFM03/01</x:v>
      </x:c>
      <x:c r="E44" s="21" t="str">
        <x:v>笔试</x:v>
      </x:c>
      <x:c r="F44" s="21" t="n">
        <x:v>90</x:v>
      </x:c>
      <x:c r="G44" s="21" t="n">
        <x:v>75</x:v>
      </x:c>
      <x:c r="H44" s="21" t="n">
        <x:v>100</x:v>
      </x:c>
      <x:c r="I44" s="21" t="str">
        <x:v>Pearson Edexcel</x:v>
      </x:c>
      <x:c r="J44" s="21" t="str">
        <x:v>International AS / A Level</x:v>
      </x:c>
      <x:c r="K44" s="21" t="str">
        <x:v>同一试卷可关联多个课程出口；不能在多个资格中重复使用同一成绩。</x:v>
      </x:c>
      <x:c r="L44" s="21" t="str">
        <x:v>P-MATH;P-UMS</x:v>
      </x:c>
    </x:row>
    <x:row r="45" ht="52" customHeight="1">
      <x:c r="A45" s="20" t="str">
        <x:v>A044</x:v>
      </x:c>
      <x:c r="B45" s="21" t="str">
        <x:v>力学 1考试</x:v>
      </x:c>
      <x:c r="C45" s="21" t="str">
        <x:v>Mechanics 1</x:v>
      </x:c>
      <x:c r="D45" s="21" t="str">
        <x:v>WME01/01</x:v>
      </x:c>
      <x:c r="E45" s="21" t="str">
        <x:v>笔试</x:v>
      </x:c>
      <x:c r="F45" s="21" t="n">
        <x:v>90</x:v>
      </x:c>
      <x:c r="G45" s="21" t="n">
        <x:v>75</x:v>
      </x:c>
      <x:c r="H45" s="21" t="n">
        <x:v>100</x:v>
      </x:c>
      <x:c r="I45" s="21" t="str">
        <x:v>Pearson Edexcel</x:v>
      </x:c>
      <x:c r="J45" s="21" t="str">
        <x:v>International AS / A Level</x:v>
      </x:c>
      <x:c r="K45" s="21" t="str">
        <x:v>同一试卷可关联多个课程出口；不能在多个资格中重复使用同一成绩。</x:v>
      </x:c>
      <x:c r="L45" s="21" t="str">
        <x:v>P-MATH;P-UMS</x:v>
      </x:c>
    </x:row>
    <x:row r="46" ht="52" customHeight="1">
      <x:c r="A46" s="20" t="str">
        <x:v>A045</x:v>
      </x:c>
      <x:c r="B46" s="21" t="str">
        <x:v>力学 2考试</x:v>
      </x:c>
      <x:c r="C46" s="21" t="str">
        <x:v>Mechanics 2</x:v>
      </x:c>
      <x:c r="D46" s="21" t="str">
        <x:v>WME02/01</x:v>
      </x:c>
      <x:c r="E46" s="21" t="str">
        <x:v>笔试</x:v>
      </x:c>
      <x:c r="F46" s="21" t="n">
        <x:v>90</x:v>
      </x:c>
      <x:c r="G46" s="21" t="n">
        <x:v>75</x:v>
      </x:c>
      <x:c r="H46" s="21" t="n">
        <x:v>100</x:v>
      </x:c>
      <x:c r="I46" s="21" t="str">
        <x:v>Pearson Edexcel</x:v>
      </x:c>
      <x:c r="J46" s="21" t="str">
        <x:v>International AS / A Level</x:v>
      </x:c>
      <x:c r="K46" s="21" t="str">
        <x:v>同一试卷可关联多个课程出口；不能在多个资格中重复使用同一成绩。</x:v>
      </x:c>
      <x:c r="L46" s="21" t="str">
        <x:v>P-MATH;P-UMS</x:v>
      </x:c>
    </x:row>
    <x:row r="47" ht="52" customHeight="1">
      <x:c r="A47" s="20" t="str">
        <x:v>A046</x:v>
      </x:c>
      <x:c r="B47" s="21" t="str">
        <x:v>力学 3考试</x:v>
      </x:c>
      <x:c r="C47" s="21" t="str">
        <x:v>Mechanics 3</x:v>
      </x:c>
      <x:c r="D47" s="21" t="str">
        <x:v>WME03/01</x:v>
      </x:c>
      <x:c r="E47" s="21" t="str">
        <x:v>笔试</x:v>
      </x:c>
      <x:c r="F47" s="21" t="n">
        <x:v>90</x:v>
      </x:c>
      <x:c r="G47" s="21" t="n">
        <x:v>75</x:v>
      </x:c>
      <x:c r="H47" s="21" t="n">
        <x:v>100</x:v>
      </x:c>
      <x:c r="I47" s="21" t="str">
        <x:v>Pearson Edexcel</x:v>
      </x:c>
      <x:c r="J47" s="21" t="str">
        <x:v>International AS / A Level</x:v>
      </x:c>
      <x:c r="K47" s="21" t="str">
        <x:v>同一试卷可关联多个课程出口；不能在多个资格中重复使用同一成绩。</x:v>
      </x:c>
      <x:c r="L47" s="21" t="str">
        <x:v>P-MATH;P-UMS</x:v>
      </x:c>
    </x:row>
    <x:row r="48" ht="52" customHeight="1">
      <x:c r="A48" s="20" t="str">
        <x:v>A047</x:v>
      </x:c>
      <x:c r="B48" s="21" t="str">
        <x:v>统计 1考试</x:v>
      </x:c>
      <x:c r="C48" s="21" t="str">
        <x:v>Statistics 1</x:v>
      </x:c>
      <x:c r="D48" s="21" t="str">
        <x:v>WST01/01</x:v>
      </x:c>
      <x:c r="E48" s="21" t="str">
        <x:v>笔试</x:v>
      </x:c>
      <x:c r="F48" s="21" t="n">
        <x:v>90</x:v>
      </x:c>
      <x:c r="G48" s="21" t="n">
        <x:v>75</x:v>
      </x:c>
      <x:c r="H48" s="21" t="n">
        <x:v>100</x:v>
      </x:c>
      <x:c r="I48" s="21" t="str">
        <x:v>Pearson Edexcel</x:v>
      </x:c>
      <x:c r="J48" s="21" t="str">
        <x:v>International AS / A Level</x:v>
      </x:c>
      <x:c r="K48" s="21" t="str">
        <x:v>同一试卷可关联多个课程出口；不能在多个资格中重复使用同一成绩。</x:v>
      </x:c>
      <x:c r="L48" s="21" t="str">
        <x:v>P-MATH;P-UMS</x:v>
      </x:c>
    </x:row>
    <x:row r="49" ht="52" customHeight="1">
      <x:c r="A49" s="20" t="str">
        <x:v>A048</x:v>
      </x:c>
      <x:c r="B49" s="21" t="str">
        <x:v>统计 2考试</x:v>
      </x:c>
      <x:c r="C49" s="21" t="str">
        <x:v>Statistics 2</x:v>
      </x:c>
      <x:c r="D49" s="21" t="str">
        <x:v>WST02/01</x:v>
      </x:c>
      <x:c r="E49" s="21" t="str">
        <x:v>笔试</x:v>
      </x:c>
      <x:c r="F49" s="21" t="n">
        <x:v>90</x:v>
      </x:c>
      <x:c r="G49" s="21" t="n">
        <x:v>75</x:v>
      </x:c>
      <x:c r="H49" s="21" t="n">
        <x:v>100</x:v>
      </x:c>
      <x:c r="I49" s="21" t="str">
        <x:v>Pearson Edexcel</x:v>
      </x:c>
      <x:c r="J49" s="21" t="str">
        <x:v>International AS / A Level</x:v>
      </x:c>
      <x:c r="K49" s="21" t="str">
        <x:v>同一试卷可关联多个课程出口；不能在多个资格中重复使用同一成绩。</x:v>
      </x:c>
      <x:c r="L49" s="21" t="str">
        <x:v>P-MATH;P-UMS</x:v>
      </x:c>
    </x:row>
    <x:row r="50" ht="52" customHeight="1">
      <x:c r="A50" s="20" t="str">
        <x:v>A049</x:v>
      </x:c>
      <x:c r="B50" s="21" t="str">
        <x:v>统计 3考试</x:v>
      </x:c>
      <x:c r="C50" s="21" t="str">
        <x:v>Statistics 3</x:v>
      </x:c>
      <x:c r="D50" s="21" t="str">
        <x:v>WST03/01</x:v>
      </x:c>
      <x:c r="E50" s="21" t="str">
        <x:v>笔试</x:v>
      </x:c>
      <x:c r="F50" s="21" t="n">
        <x:v>90</x:v>
      </x:c>
      <x:c r="G50" s="21" t="n">
        <x:v>75</x:v>
      </x:c>
      <x:c r="H50" s="21" t="n">
        <x:v>100</x:v>
      </x:c>
      <x:c r="I50" s="21" t="str">
        <x:v>Pearson Edexcel</x:v>
      </x:c>
      <x:c r="J50" s="21" t="str">
        <x:v>International AS / A Level</x:v>
      </x:c>
      <x:c r="K50" s="21" t="str">
        <x:v>同一试卷可关联多个课程出口；不能在多个资格中重复使用同一成绩。</x:v>
      </x:c>
      <x:c r="L50" s="21" t="str">
        <x:v>P-MATH;P-UMS</x:v>
      </x:c>
    </x:row>
    <x:row r="51" ht="52" customHeight="1">
      <x:c r="A51" s="20" t="str">
        <x:v>A050</x:v>
      </x:c>
      <x:c r="B51" s="21" t="str">
        <x:v>决策数学 1考试</x:v>
      </x:c>
      <x:c r="C51" s="21" t="str">
        <x:v>Decision Mathematics 1</x:v>
      </x:c>
      <x:c r="D51" s="21" t="str">
        <x:v>WDM11/01</x:v>
      </x:c>
      <x:c r="E51" s="21" t="str">
        <x:v>笔试</x:v>
      </x:c>
      <x:c r="F51" s="21" t="n">
        <x:v>90</x:v>
      </x:c>
      <x:c r="G51" s="21" t="n">
        <x:v>75</x:v>
      </x:c>
      <x:c r="H51" s="21" t="n">
        <x:v>100</x:v>
      </x:c>
      <x:c r="I51" s="21" t="str">
        <x:v>Pearson Edexcel</x:v>
      </x:c>
      <x:c r="J51" s="21" t="str">
        <x:v>International AS / A Level</x:v>
      </x:c>
      <x:c r="K51" s="21" t="str">
        <x:v>同一试卷可关联多个课程出口；不能在多个资格中重复使用同一成绩。</x:v>
      </x:c>
      <x:c r="L51" s="21" t="str">
        <x:v>P-MATH;P-UMS</x:v>
      </x:c>
    </x:row>
    <x:row r="52" ht="52" customHeight="1">
      <x:c r="A52" s="20" t="str">
        <x:v>A051</x:v>
      </x:c>
      <x:c r="B52" s="21" t="str">
        <x:v>Paper 1 纯数学1</x:v>
      </x:c>
      <x:c r="C52" s="21" t="str">
        <x:v>Paper 1: Pure Mathematics 1</x:v>
      </x:c>
      <x:c r="D52" s="21" t="str">
        <x:v>Paper 1</x:v>
      </x:c>
      <x:c r="E52" s="21" t="str">
        <x:v>笔试</x:v>
      </x:c>
      <x:c r="F52" s="21" t="n">
        <x:v>110</x:v>
      </x:c>
      <x:c r="G52" s="21" t="n">
        <x:v>75</x:v>
      </x:c>
      <x:c r="H52" s="21" t="str">
        <x:v>不适用</x:v>
      </x:c>
      <x:c r="I52" s="21" t="str">
        <x:v>Cambridge International</x:v>
      </x:c>
      <x:c r="J52" s="21" t="str">
        <x:v>International AS / A Level</x:v>
      </x:c>
      <x:c r="K52" s="21" t="str">
        <x:v>Paper号不是具体时区变体报名代码；原PDF第14页P2卡片标题冲突已另记。</x:v>
      </x:c>
      <x:c r="L52" s="21" t="str">
        <x:v>C-9709-PDF</x:v>
      </x:c>
    </x:row>
    <x:row r="53" ht="52" customHeight="1">
      <x:c r="A53" s="20" t="str">
        <x:v>A052</x:v>
      </x:c>
      <x:c r="B53" s="21" t="str">
        <x:v>Paper 2 纯数学2</x:v>
      </x:c>
      <x:c r="C53" s="21" t="str">
        <x:v>Paper 2: Pure Mathematics 2</x:v>
      </x:c>
      <x:c r="D53" s="21" t="str">
        <x:v>Paper 2</x:v>
      </x:c>
      <x:c r="E53" s="21" t="str">
        <x:v>笔试</x:v>
      </x:c>
      <x:c r="F53" s="21" t="n">
        <x:v>75</x:v>
      </x:c>
      <x:c r="G53" s="21" t="n">
        <x:v>50</x:v>
      </x:c>
      <x:c r="H53" s="21" t="str">
        <x:v>不适用</x:v>
      </x:c>
      <x:c r="I53" s="21" t="str">
        <x:v>Cambridge International</x:v>
      </x:c>
      <x:c r="J53" s="21" t="str">
        <x:v>International AS / A Level</x:v>
      </x:c>
      <x:c r="K53" s="21" t="str">
        <x:v>Paper号不是具体时区变体报名代码；原PDF第14页P2卡片标题冲突已另记。</x:v>
      </x:c>
      <x:c r="L53" s="21" t="str">
        <x:v>C-9709-PDF</x:v>
      </x:c>
    </x:row>
    <x:row r="54" ht="52" customHeight="1">
      <x:c r="A54" s="20" t="str">
        <x:v>A053</x:v>
      </x:c>
      <x:c r="B54" s="21" t="str">
        <x:v>Paper 3 纯数学3</x:v>
      </x:c>
      <x:c r="C54" s="21" t="str">
        <x:v>Paper 3: Pure Mathematics 3</x:v>
      </x:c>
      <x:c r="D54" s="21" t="str">
        <x:v>Paper 3</x:v>
      </x:c>
      <x:c r="E54" s="21" t="str">
        <x:v>笔试</x:v>
      </x:c>
      <x:c r="F54" s="21" t="n">
        <x:v>110</x:v>
      </x:c>
      <x:c r="G54" s="21" t="n">
        <x:v>75</x:v>
      </x:c>
      <x:c r="H54" s="21" t="str">
        <x:v>不适用</x:v>
      </x:c>
      <x:c r="I54" s="21" t="str">
        <x:v>Cambridge International</x:v>
      </x:c>
      <x:c r="J54" s="21" t="str">
        <x:v>International AS / A Level</x:v>
      </x:c>
      <x:c r="K54" s="21" t="str">
        <x:v>Paper号不是具体时区变体报名代码；原PDF第14页P2卡片标题冲突已另记。</x:v>
      </x:c>
      <x:c r="L54" s="21" t="str">
        <x:v>C-9709-PDF</x:v>
      </x:c>
    </x:row>
    <x:row r="55" ht="52" customHeight="1">
      <x:c r="A55" s="20" t="str">
        <x:v>A054</x:v>
      </x:c>
      <x:c r="B55" s="21" t="str">
        <x:v>Paper 4 力学</x:v>
      </x:c>
      <x:c r="C55" s="21" t="str">
        <x:v>Paper 4: Mechanics</x:v>
      </x:c>
      <x:c r="D55" s="21" t="str">
        <x:v>Paper 4</x:v>
      </x:c>
      <x:c r="E55" s="21" t="str">
        <x:v>笔试</x:v>
      </x:c>
      <x:c r="F55" s="21" t="n">
        <x:v>75</x:v>
      </x:c>
      <x:c r="G55" s="21" t="n">
        <x:v>50</x:v>
      </x:c>
      <x:c r="H55" s="21" t="str">
        <x:v>不适用</x:v>
      </x:c>
      <x:c r="I55" s="21" t="str">
        <x:v>Cambridge International</x:v>
      </x:c>
      <x:c r="J55" s="21" t="str">
        <x:v>International AS / A Level</x:v>
      </x:c>
      <x:c r="K55" s="21" t="str">
        <x:v>Paper号不是具体时区变体报名代码；原PDF第14页P2卡片标题冲突已另记。</x:v>
      </x:c>
      <x:c r="L55" s="21" t="str">
        <x:v>C-9709-PDF</x:v>
      </x:c>
    </x:row>
    <x:row r="56" ht="52" customHeight="1">
      <x:c r="A56" s="20" t="str">
        <x:v>A055</x:v>
      </x:c>
      <x:c r="B56" s="21" t="str">
        <x:v>Paper 5 概率与统计1</x:v>
      </x:c>
      <x:c r="C56" s="21" t="str">
        <x:v>Paper 5: Probability &amp; Statistics 1</x:v>
      </x:c>
      <x:c r="D56" s="21" t="str">
        <x:v>Paper 5</x:v>
      </x:c>
      <x:c r="E56" s="21" t="str">
        <x:v>笔试</x:v>
      </x:c>
      <x:c r="F56" s="21" t="n">
        <x:v>75</x:v>
      </x:c>
      <x:c r="G56" s="21" t="n">
        <x:v>50</x:v>
      </x:c>
      <x:c r="H56" s="21" t="str">
        <x:v>不适用</x:v>
      </x:c>
      <x:c r="I56" s="21" t="str">
        <x:v>Cambridge International</x:v>
      </x:c>
      <x:c r="J56" s="21" t="str">
        <x:v>International AS / A Level</x:v>
      </x:c>
      <x:c r="K56" s="21" t="str">
        <x:v>Paper号不是具体时区变体报名代码；原PDF第14页P2卡片标题冲突已另记。</x:v>
      </x:c>
      <x:c r="L56" s="21" t="str">
        <x:v>C-9709-PDF</x:v>
      </x:c>
    </x:row>
    <x:row r="57" ht="52" customHeight="1">
      <x:c r="A57" s="20" t="str">
        <x:v>A056</x:v>
      </x:c>
      <x:c r="B57" s="21" t="str">
        <x:v>Paper 6 概率与统计2</x:v>
      </x:c>
      <x:c r="C57" s="21" t="str">
        <x:v>Paper 6: Probability &amp; Statistics 2</x:v>
      </x:c>
      <x:c r="D57" s="21" t="str">
        <x:v>Paper 6</x:v>
      </x:c>
      <x:c r="E57" s="21" t="str">
        <x:v>笔试</x:v>
      </x:c>
      <x:c r="F57" s="21" t="n">
        <x:v>75</x:v>
      </x:c>
      <x:c r="G57" s="21" t="n">
        <x:v>50</x:v>
      </x:c>
      <x:c r="H57" s="21" t="str">
        <x:v>不适用</x:v>
      </x:c>
      <x:c r="I57" s="21" t="str">
        <x:v>Cambridge International</x:v>
      </x:c>
      <x:c r="J57" s="21" t="str">
        <x:v>International AS / A Level</x:v>
      </x:c>
      <x:c r="K57" s="21" t="str">
        <x:v>Paper号不是具体时区变体报名代码；原PDF第14页P2卡片标题冲突已另记。</x:v>
      </x:c>
      <x:c r="L57" s="21" t="str">
        <x:v>C-9709-PDF</x:v>
      </x:c>
    </x:row>
    <x:row r="58" ht="52" customHeight="1">
      <x:c r="A58" s="20" t="str">
        <x:v>A057</x:v>
      </x:c>
      <x:c r="B58" s="21" t="str">
        <x:v>Paper 1</x:v>
      </x:c>
      <x:c r="C58" s="21" t="str">
        <x:v>Paper 1</x:v>
      </x:c>
      <x:c r="D58" s="21" t="str">
        <x:v>Paper 1</x:v>
      </x:c>
      <x:c r="E58" s="21" t="str">
        <x:v>笔试</x:v>
      </x:c>
      <x:c r="F58" s="21" t="n">
        <x:v>120</x:v>
      </x:c>
      <x:c r="G58" s="21" t="n">
        <x:v>100</x:v>
      </x:c>
      <x:c r="H58" s="21" t="str">
        <x:v>不适用</x:v>
      </x:c>
      <x:c r="I58" s="21" t="str">
        <x:v>AQA</x:v>
      </x:c>
      <x:c r="J58" s="21" t="str">
        <x:v>GCE A Level</x:v>
      </x:c>
      <x:c r="K58" s="21" t="str">
        <x:v>线性资格不采用模块UMS；一张试卷可覆盖多个教学板块。百分比以规范为准。</x:v>
      </x:c>
      <x:c r="L58" s="21" t="str">
        <x:v>AQ-MATH</x:v>
      </x:c>
    </x:row>
    <x:row r="59" ht="52" customHeight="1">
      <x:c r="A59" s="20" t="str">
        <x:v>A058</x:v>
      </x:c>
      <x:c r="B59" s="21" t="str">
        <x:v>Paper 2</x:v>
      </x:c>
      <x:c r="C59" s="21" t="str">
        <x:v>Paper 2</x:v>
      </x:c>
      <x:c r="D59" s="21" t="str">
        <x:v>Paper 2</x:v>
      </x:c>
      <x:c r="E59" s="21" t="str">
        <x:v>笔试</x:v>
      </x:c>
      <x:c r="F59" s="21" t="n">
        <x:v>120</x:v>
      </x:c>
      <x:c r="G59" s="21" t="n">
        <x:v>100</x:v>
      </x:c>
      <x:c r="H59" s="21" t="str">
        <x:v>不适用</x:v>
      </x:c>
      <x:c r="I59" s="21" t="str">
        <x:v>AQA</x:v>
      </x:c>
      <x:c r="J59" s="21" t="str">
        <x:v>GCE A Level</x:v>
      </x:c>
      <x:c r="K59" s="21" t="str">
        <x:v>线性资格不采用模块UMS；一张试卷可覆盖多个教学板块。百分比以规范为准。</x:v>
      </x:c>
      <x:c r="L59" s="21" t="str">
        <x:v>AQ-MATH</x:v>
      </x:c>
    </x:row>
    <x:row r="60" ht="52" customHeight="1">
      <x:c r="A60" s="20" t="str">
        <x:v>A059</x:v>
      </x:c>
      <x:c r="B60" s="21" t="str">
        <x:v>Paper 3</x:v>
      </x:c>
      <x:c r="C60" s="21" t="str">
        <x:v>Paper 3</x:v>
      </x:c>
      <x:c r="D60" s="21" t="str">
        <x:v>Paper 3</x:v>
      </x:c>
      <x:c r="E60" s="21" t="str">
        <x:v>笔试</x:v>
      </x:c>
      <x:c r="F60" s="21" t="n">
        <x:v>120</x:v>
      </x:c>
      <x:c r="G60" s="21" t="n">
        <x:v>100</x:v>
      </x:c>
      <x:c r="H60" s="21" t="str">
        <x:v>不适用</x:v>
      </x:c>
      <x:c r="I60" s="21" t="str">
        <x:v>AQA</x:v>
      </x:c>
      <x:c r="J60" s="21" t="str">
        <x:v>GCE A Level</x:v>
      </x:c>
      <x:c r="K60" s="21" t="str">
        <x:v>线性资格不采用模块UMS；一张试卷可覆盖多个教学板块。百分比以规范为准。</x:v>
      </x:c>
      <x:c r="L60" s="21" t="str">
        <x:v>AQ-MATH</x:v>
      </x:c>
    </x:row>
    <x:row r="61" ht="52" customHeight="1">
      <x:c r="A61" s="20" t="str">
        <x:v>A060</x:v>
      </x:c>
      <x:c r="B61" s="21" t="str">
        <x:v>Pure Mathematics 1</x:v>
      </x:c>
      <x:c r="C61" s="21" t="str">
        <x:v>Pure Mathematics 1</x:v>
      </x:c>
      <x:c r="D61" s="21" t="str">
        <x:v>9MA0/01</x:v>
      </x:c>
      <x:c r="E61" s="21" t="str">
        <x:v>笔试</x:v>
      </x:c>
      <x:c r="F61" s="21" t="n">
        <x:v>120</x:v>
      </x:c>
      <x:c r="G61" s="21" t="n">
        <x:v>100</x:v>
      </x:c>
      <x:c r="H61" s="21" t="str">
        <x:v>不适用</x:v>
      </x:c>
      <x:c r="I61" s="21" t="str">
        <x:v>Pearson Edexcel</x:v>
      </x:c>
      <x:c r="J61" s="21" t="str">
        <x:v>GCE A Level</x:v>
      </x:c>
      <x:c r="K61" s="21" t="str">
        <x:v>线性资格不采用模块UMS；一张试卷可覆盖多个教学板块。百分比以规范为准。</x:v>
      </x:c>
      <x:c r="L61" s="21" t="str">
        <x:v>P-UK-AL</x:v>
      </x:c>
    </x:row>
    <x:row r="62" ht="52" customHeight="1">
      <x:c r="A62" s="20" t="str">
        <x:v>A061</x:v>
      </x:c>
      <x:c r="B62" s="21" t="str">
        <x:v>Pure Mathematics 2</x:v>
      </x:c>
      <x:c r="C62" s="21" t="str">
        <x:v>Pure Mathematics 2</x:v>
      </x:c>
      <x:c r="D62" s="21" t="str">
        <x:v>9MA0/02</x:v>
      </x:c>
      <x:c r="E62" s="21" t="str">
        <x:v>笔试</x:v>
      </x:c>
      <x:c r="F62" s="21" t="n">
        <x:v>120</x:v>
      </x:c>
      <x:c r="G62" s="21" t="n">
        <x:v>100</x:v>
      </x:c>
      <x:c r="H62" s="21" t="str">
        <x:v>不适用</x:v>
      </x:c>
      <x:c r="I62" s="21" t="str">
        <x:v>Pearson Edexcel</x:v>
      </x:c>
      <x:c r="J62" s="21" t="str">
        <x:v>GCE A Level</x:v>
      </x:c>
      <x:c r="K62" s="21" t="str">
        <x:v>线性资格不采用模块UMS；一张试卷可覆盖多个教学板块。百分比以规范为准。</x:v>
      </x:c>
      <x:c r="L62" s="21" t="str">
        <x:v>P-UK-AL</x:v>
      </x:c>
    </x:row>
    <x:row r="63" ht="52" customHeight="1">
      <x:c r="A63" s="20" t="str">
        <x:v>A062</x:v>
      </x:c>
      <x:c r="B63" s="21" t="str">
        <x:v>Statistics and Mechanics</x:v>
      </x:c>
      <x:c r="C63" s="21" t="str">
        <x:v>Statistics and Mechanics</x:v>
      </x:c>
      <x:c r="D63" s="21" t="str">
        <x:v>9MA0/03</x:v>
      </x:c>
      <x:c r="E63" s="21" t="str">
        <x:v>笔试</x:v>
      </x:c>
      <x:c r="F63" s="21" t="n">
        <x:v>120</x:v>
      </x:c>
      <x:c r="G63" s="21" t="n">
        <x:v>100</x:v>
      </x:c>
      <x:c r="H63" s="21" t="str">
        <x:v>不适用</x:v>
      </x:c>
      <x:c r="I63" s="21" t="str">
        <x:v>Pearson Edexcel</x:v>
      </x:c>
      <x:c r="J63" s="21" t="str">
        <x:v>GCE A Level</x:v>
      </x:c>
      <x:c r="K63" s="21" t="str">
        <x:v>线性资格不采用模块UMS；一张试卷可覆盖多个教学板块。百分比以规范为准。</x:v>
      </x:c>
      <x:c r="L63" s="21" t="str">
        <x:v>P-UK-AL</x:v>
      </x:c>
    </x:row>
    <x:row r="64" ht="52" customHeight="1">
      <x:c r="A64" s="20" t="str">
        <x:v>A063</x:v>
      </x:c>
      <x:c r="B64" s="21" t="str">
        <x:v>Pure Mathematics</x:v>
      </x:c>
      <x:c r="C64" s="21" t="str">
        <x:v>Pure Mathematics</x:v>
      </x:c>
      <x:c r="D64" s="21" t="str">
        <x:v>H240/01</x:v>
      </x:c>
      <x:c r="E64" s="21" t="str">
        <x:v>笔试</x:v>
      </x:c>
      <x:c r="F64" s="21" t="n">
        <x:v>120</x:v>
      </x:c>
      <x:c r="G64" s="21" t="n">
        <x:v>100</x:v>
      </x:c>
      <x:c r="H64" s="21" t="str">
        <x:v>不适用</x:v>
      </x:c>
      <x:c r="I64" s="21" t="str">
        <x:v>OCR</x:v>
      </x:c>
      <x:c r="J64" s="21" t="str">
        <x:v>GCE A Level</x:v>
      </x:c>
      <x:c r="K64" s="21" t="str">
        <x:v>线性资格不采用模块UMS；一张试卷可覆盖多个教学板块。百分比以规范为准。</x:v>
      </x:c>
      <x:c r="L64" s="21" t="str">
        <x:v>OCR-A</x:v>
      </x:c>
    </x:row>
    <x:row r="65" ht="52" customHeight="1">
      <x:c r="A65" s="20" t="str">
        <x:v>A064</x:v>
      </x:c>
      <x:c r="B65" s="21" t="str">
        <x:v>Pure Mathematics and Statistics</x:v>
      </x:c>
      <x:c r="C65" s="21" t="str">
        <x:v>Pure Mathematics and Statistics</x:v>
      </x:c>
      <x:c r="D65" s="21" t="str">
        <x:v>H240/02</x:v>
      </x:c>
      <x:c r="E65" s="21" t="str">
        <x:v>笔试</x:v>
      </x:c>
      <x:c r="F65" s="21" t="n">
        <x:v>120</x:v>
      </x:c>
      <x:c r="G65" s="21" t="n">
        <x:v>100</x:v>
      </x:c>
      <x:c r="H65" s="21" t="str">
        <x:v>不适用</x:v>
      </x:c>
      <x:c r="I65" s="21" t="str">
        <x:v>OCR</x:v>
      </x:c>
      <x:c r="J65" s="21" t="str">
        <x:v>GCE A Level</x:v>
      </x:c>
      <x:c r="K65" s="21" t="str">
        <x:v>线性资格不采用模块UMS；一张试卷可覆盖多个教学板块。百分比以规范为准。</x:v>
      </x:c>
      <x:c r="L65" s="21" t="str">
        <x:v>OCR-A</x:v>
      </x:c>
    </x:row>
    <x:row r="66" ht="52" customHeight="1">
      <x:c r="A66" s="20" t="str">
        <x:v>A065</x:v>
      </x:c>
      <x:c r="B66" s="21" t="str">
        <x:v>Pure Mathematics and Mechanics</x:v>
      </x:c>
      <x:c r="C66" s="21" t="str">
        <x:v>Pure Mathematics and Mechanics</x:v>
      </x:c>
      <x:c r="D66" s="21" t="str">
        <x:v>H240/03</x:v>
      </x:c>
      <x:c r="E66" s="21" t="str">
        <x:v>笔试</x:v>
      </x:c>
      <x:c r="F66" s="21" t="n">
        <x:v>120</x:v>
      </x:c>
      <x:c r="G66" s="21" t="n">
        <x:v>100</x:v>
      </x:c>
      <x:c r="H66" s="21" t="str">
        <x:v>不适用</x:v>
      </x:c>
      <x:c r="I66" s="21" t="str">
        <x:v>OCR</x:v>
      </x:c>
      <x:c r="J66" s="21" t="str">
        <x:v>GCE A Level</x:v>
      </x:c>
      <x:c r="K66" s="21" t="str">
        <x:v>线性资格不采用模块UMS；一张试卷可覆盖多个教学板块。百分比以规范为准。</x:v>
      </x:c>
      <x:c r="L66" s="21" t="str">
        <x:v>OCR-A</x:v>
      </x:c>
    </x:row>
    <x:row r="67" ht="52" customHeight="1">
      <x:c r="A67" s="20" t="str">
        <x:v>A066</x:v>
      </x:c>
      <x:c r="B67" s="21" t="str">
        <x:v>Pure Mathematics and Mechanics</x:v>
      </x:c>
      <x:c r="C67" s="21" t="str">
        <x:v>Pure Mathematics and Mechanics</x:v>
      </x:c>
      <x:c r="D67" s="21" t="str">
        <x:v>H640/01</x:v>
      </x:c>
      <x:c r="E67" s="21" t="str">
        <x:v>笔试</x:v>
      </x:c>
      <x:c r="F67" s="21" t="n">
        <x:v>120</x:v>
      </x:c>
      <x:c r="G67" s="21" t="n">
        <x:v>100</x:v>
      </x:c>
      <x:c r="H67" s="21" t="str">
        <x:v>不适用</x:v>
      </x:c>
      <x:c r="I67" s="21" t="str">
        <x:v>OCR</x:v>
      </x:c>
      <x:c r="J67" s="21" t="str">
        <x:v>GCE A Level</x:v>
      </x:c>
      <x:c r="K67" s="21" t="str">
        <x:v>线性资格不采用模块UMS；一张试卷可覆盖多个教学板块。百分比以规范为准。</x:v>
      </x:c>
      <x:c r="L67" s="21" t="str">
        <x:v>OCR-B</x:v>
      </x:c>
    </x:row>
    <x:row r="68" ht="52" customHeight="1">
      <x:c r="A68" s="20" t="str">
        <x:v>A067</x:v>
      </x:c>
      <x:c r="B68" s="21" t="str">
        <x:v>Pure Mathematics and Statistics</x:v>
      </x:c>
      <x:c r="C68" s="21" t="str">
        <x:v>Pure Mathematics and Statistics</x:v>
      </x:c>
      <x:c r="D68" s="21" t="str">
        <x:v>H640/02</x:v>
      </x:c>
      <x:c r="E68" s="21" t="str">
        <x:v>笔试</x:v>
      </x:c>
      <x:c r="F68" s="21" t="n">
        <x:v>120</x:v>
      </x:c>
      <x:c r="G68" s="21" t="n">
        <x:v>100</x:v>
      </x:c>
      <x:c r="H68" s="21" t="str">
        <x:v>不适用</x:v>
      </x:c>
      <x:c r="I68" s="21" t="str">
        <x:v>OCR</x:v>
      </x:c>
      <x:c r="J68" s="21" t="str">
        <x:v>GCE A Level</x:v>
      </x:c>
      <x:c r="K68" s="21" t="str">
        <x:v>线性资格不采用模块UMS；一张试卷可覆盖多个教学板块。百分比以规范为准。</x:v>
      </x:c>
      <x:c r="L68" s="21" t="str">
        <x:v>OCR-B</x:v>
      </x:c>
    </x:row>
    <x:row r="69" ht="52" customHeight="1">
      <x:c r="A69" s="20" t="str">
        <x:v>A068</x:v>
      </x:c>
      <x:c r="B69" s="21" t="str">
        <x:v>Pure Mathematics and Comprehension</x:v>
      </x:c>
      <x:c r="C69" s="21" t="str">
        <x:v>Pure Mathematics and Comprehension</x:v>
      </x:c>
      <x:c r="D69" s="21" t="str">
        <x:v>H640/03</x:v>
      </x:c>
      <x:c r="E69" s="21" t="str">
        <x:v>笔试</x:v>
      </x:c>
      <x:c r="F69" s="21" t="n">
        <x:v>120</x:v>
      </x:c>
      <x:c r="G69" s="21" t="n">
        <x:v>75</x:v>
      </x:c>
      <x:c r="H69" s="21" t="str">
        <x:v>不适用</x:v>
      </x:c>
      <x:c r="I69" s="21" t="str">
        <x:v>OCR</x:v>
      </x:c>
      <x:c r="J69" s="21" t="str">
        <x:v>GCE A Level</x:v>
      </x:c>
      <x:c r="K69" s="21" t="str">
        <x:v>线性资格不采用模块UMS；一张试卷可覆盖多个教学板块。百分比以规范为准。</x:v>
      </x:c>
      <x:c r="L69" s="21" t="str">
        <x:v>OCR-B</x:v>
      </x:c>
    </x:row>
    <x:row r="70" ht="52" customHeight="1">
      <x:c r="A70" s="20" t="str">
        <x:v>A069</x:v>
      </x:c>
      <x:c r="B70" s="21" t="str">
        <x:v>Unit 1 纯数学A</x:v>
      </x:c>
      <x:c r="C70" s="21" t="str">
        <x:v>Pure Mathematics A</x:v>
      </x:c>
      <x:c r="D70" s="21" t="str">
        <x:v>未设置</x:v>
      </x:c>
      <x:c r="E70" s="21" t="str">
        <x:v>笔试</x:v>
      </x:c>
      <x:c r="F70" s="21" t="n">
        <x:v>150</x:v>
      </x:c>
      <x:c r="G70" s="21" t="n">
        <x:v>120</x:v>
      </x:c>
      <x:c r="H70" s="21" t="n">
        <x:v>150</x:v>
      </x:c>
      <x:c r="I70" s="21" t="str">
        <x:v>WJEC</x:v>
      </x:c>
      <x:c r="J70" s="21" t="str">
        <x:v>GCE AS / A Level</x:v>
      </x:c>
      <x:c r="K70" s="21" t="str">
        <x:v>Unit标签与报名代码分开；本例未设置语言/形式entrycode，规范时间与分值已填写。</x:v>
      </x:c>
      <x:c r="L70" s="21" t="str">
        <x:v>WJ-MATH</x:v>
      </x:c>
    </x:row>
    <x:row r="71" ht="52" customHeight="1">
      <x:c r="A71" s="20" t="str">
        <x:v>A070</x:v>
      </x:c>
      <x:c r="B71" s="21" t="str">
        <x:v>Unit 2 应用数学A</x:v>
      </x:c>
      <x:c r="C71" s="21" t="str">
        <x:v>Applied Mathematics A</x:v>
      </x:c>
      <x:c r="D71" s="21" t="str">
        <x:v>未设置</x:v>
      </x:c>
      <x:c r="E71" s="21" t="str">
        <x:v>笔试</x:v>
      </x:c>
      <x:c r="F71" s="21" t="n">
        <x:v>105</x:v>
      </x:c>
      <x:c r="G71" s="21" t="n">
        <x:v>75</x:v>
      </x:c>
      <x:c r="H71" s="21" t="n">
        <x:v>90</x:v>
      </x:c>
      <x:c r="I71" s="21" t="str">
        <x:v>WJEC</x:v>
      </x:c>
      <x:c r="J71" s="21" t="str">
        <x:v>GCE AS / A Level</x:v>
      </x:c>
      <x:c r="K71" s="21" t="str">
        <x:v>Unit标签与报名代码分开；本例未设置语言/形式entrycode，规范时间与分值已填写。</x:v>
      </x:c>
      <x:c r="L71" s="21" t="str">
        <x:v>WJ-MATH</x:v>
      </x:c>
    </x:row>
    <x:row r="72" ht="52" customHeight="1">
      <x:c r="A72" s="20" t="str">
        <x:v>A071</x:v>
      </x:c>
      <x:c r="B72" s="21" t="str">
        <x:v>Unit 3 纯数学B</x:v>
      </x:c>
      <x:c r="C72" s="21" t="str">
        <x:v>Pure Mathematics B</x:v>
      </x:c>
      <x:c r="D72" s="21" t="str">
        <x:v>未设置</x:v>
      </x:c>
      <x:c r="E72" s="21" t="str">
        <x:v>笔试</x:v>
      </x:c>
      <x:c r="F72" s="21" t="n">
        <x:v>150</x:v>
      </x:c>
      <x:c r="G72" s="21" t="n">
        <x:v>120</x:v>
      </x:c>
      <x:c r="H72" s="21" t="n">
        <x:v>210</x:v>
      </x:c>
      <x:c r="I72" s="21" t="str">
        <x:v>WJEC</x:v>
      </x:c>
      <x:c r="J72" s="21" t="str">
        <x:v>GCE AS / A Level</x:v>
      </x:c>
      <x:c r="K72" s="21" t="str">
        <x:v>Unit标签与报名代码分开；本例未设置语言/形式entrycode，规范时间与分值已填写。</x:v>
      </x:c>
      <x:c r="L72" s="21" t="str">
        <x:v>WJ-MATH</x:v>
      </x:c>
    </x:row>
    <x:row r="73" ht="52" customHeight="1">
      <x:c r="A73" s="20" t="str">
        <x:v>A072</x:v>
      </x:c>
      <x:c r="B73" s="21" t="str">
        <x:v>Unit 4 应用数学B</x:v>
      </x:c>
      <x:c r="C73" s="21" t="str">
        <x:v>Applied Mathematics B</x:v>
      </x:c>
      <x:c r="D73" s="21" t="str">
        <x:v>未设置</x:v>
      </x:c>
      <x:c r="E73" s="21" t="str">
        <x:v>笔试</x:v>
      </x:c>
      <x:c r="F73" s="21" t="n">
        <x:v>105</x:v>
      </x:c>
      <x:c r="G73" s="21" t="n">
        <x:v>80</x:v>
      </x:c>
      <x:c r="H73" s="21" t="n">
        <x:v>150</x:v>
      </x:c>
      <x:c r="I73" s="21" t="str">
        <x:v>WJEC</x:v>
      </x:c>
      <x:c r="J73" s="21" t="str">
        <x:v>GCE AS / A Level</x:v>
      </x:c>
      <x:c r="K73" s="21" t="str">
        <x:v>Unit标签与报名代码分开；本例未设置语言/形式entrycode，规范时间与分值已填写。</x:v>
      </x:c>
      <x:c r="L73" s="21" t="str">
        <x:v>WJ-MATH</x:v>
      </x:c>
    </x:row>
    <x:row r="74" ht="52" customHeight="1">
      <x:c r="A74" s="20" t="str">
        <x:v>A073</x:v>
      </x:c>
      <x:c r="B74" s="21" t="str">
        <x:v>计算机实践项目</x:v>
      </x:c>
      <x:c r="C74" s="21" t="str">
        <x:v>Non-exam assessment: the computing practical project</x:v>
      </x:c>
      <x:c r="D74" s="21" t="str">
        <x:v>NEA</x:v>
      </x:c>
      <x:c r="E74" s="21" t="str">
        <x:v>非考试评价</x:v>
      </x:c>
      <x:c r="F74" s="21" t="str">
        <x:v>不适用</x:v>
      </x:c>
      <x:c r="G74" s="21" t="n">
        <x:v>75</x:v>
      </x:c>
      <x:c r="H74" s="21" t="str">
        <x:v>不适用</x:v>
      </x:c>
      <x:c r="I74" s="21" t="str">
        <x:v>AQA</x:v>
      </x:c>
      <x:c r="J74" s="21" t="str">
        <x:v>GCE A Level</x:v>
      </x:c>
      <x:c r="K74" s="21" t="str">
        <x:v>20%为完整AL考核权重；非统一限时试卷，不填0分钟，不给UMS。</x:v>
      </x:c>
      <x:c r="L74" s="21" t="str">
        <x:v>AQ-CS</x:v>
      </x:c>
    </x:row>
  </x:sheetData>
  <x:pageMargins left="0.7" right="0.7" top="0.75" bottom="0.75" header="0.3" footer="0.3"/>
  <x:tableParts count="1">
    <x:tablePart xmlns:r="http://schemas.openxmlformats.org/officeDocument/2006/relationships" r:id="R7a26d18be0294d3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90" hidden="0" customWidth="1"/>
    <x:col min="7" max="7" width="24" hidden="0" customWidth="1"/>
  </x:cols>
  <x:sheetData>
    <x:row r="1" ht="40" customHeight="1">
      <x:c r="A1" s="13" t="str">
        <x:v>文件内映射标记*</x:v>
      </x:c>
      <x:c r="B1" s="13" t="str">
        <x:v>课程标记*</x:v>
      </x:c>
      <x:c r="C1" s="13" t="str">
        <x:v>单元标记*</x:v>
      </x:c>
      <x:c r="D1" s="13" t="str">
        <x:v>考核标记*</x:v>
      </x:c>
      <x:c r="E1" s="13" t="str">
        <x:v>覆盖关系</x:v>
      </x:c>
      <x:c r="F1" s="13" t="str">
        <x:v>说明</x:v>
      </x:c>
      <x:c r="G1" s="13" t="str">
        <x:v>来源编号</x:v>
      </x:c>
    </x:row>
    <x:row r="2" ht="52" customHeight="1">
      <x:c r="A2" s="20" t="str">
        <x:v>M0001</x:v>
      </x:c>
      <x:c r="B2" s="21" t="str">
        <x:v>C001</x:v>
      </x:c>
      <x:c r="C2" s="21" t="str">
        <x:v>U001</x:v>
      </x:c>
      <x:c r="D2" s="21" t="str">
        <x:v>A001</x:v>
      </x:c>
      <x:c r="E2" s="21" t="str">
        <x:v>主要对应</x:v>
      </x:c>
      <x:c r="F2" s="21" t="str">
        <x:v>同一模块的主考试对应；所列/01为该来源的纸面或规定实践入口，不含全部变体。</x:v>
      </x:c>
      <x:c r="G2" s="21" t="str">
        <x:v>P-ACCOUNTING</x:v>
      </x:c>
    </x:row>
    <x:row r="3" ht="52" customHeight="1">
      <x:c r="A3" s="20" t="str">
        <x:v>M0002</x:v>
      </x:c>
      <x:c r="B3" s="21" t="str">
        <x:v>C001</x:v>
      </x:c>
      <x:c r="C3" s="21" t="str">
        <x:v>U002</x:v>
      </x:c>
      <x:c r="D3" s="21" t="str">
        <x:v>A002</x:v>
      </x:c>
      <x:c r="E3" s="21" t="str">
        <x:v>主要对应</x:v>
      </x:c>
      <x:c r="F3" s="21" t="str">
        <x:v>同一模块的主考试对应；所列/01为该来源的纸面或规定实践入口，不含全部变体。</x:v>
      </x:c>
      <x:c r="G3" s="21" t="str">
        <x:v>P-ACCOUNTING</x:v>
      </x:c>
    </x:row>
    <x:row r="4" ht="52" customHeight="1">
      <x:c r="A4" s="20" t="str">
        <x:v>M0003</x:v>
      </x:c>
      <x:c r="B4" s="21" t="str">
        <x:v>C002</x:v>
      </x:c>
      <x:c r="C4" s="21" t="str">
        <x:v>U003</x:v>
      </x:c>
      <x:c r="D4" s="21" t="str">
        <x:v>A003</x:v>
      </x:c>
      <x:c r="E4" s="21" t="str">
        <x:v>主要对应</x:v>
      </x:c>
      <x:c r="F4" s="21" t="str">
        <x:v>同一模块的主考试对应；所列/01为该来源的纸面或规定实践入口，不含全部变体。</x:v>
      </x:c>
      <x:c r="G4" s="21" t="str">
        <x:v>P-ARABIC</x:v>
      </x:c>
    </x:row>
    <x:row r="5" ht="52" customHeight="1">
      <x:c r="A5" s="20" t="str">
        <x:v>M0004</x:v>
      </x:c>
      <x:c r="B5" s="21" t="str">
        <x:v>C002</x:v>
      </x:c>
      <x:c r="C5" s="21" t="str">
        <x:v>U004</x:v>
      </x:c>
      <x:c r="D5" s="21" t="str">
        <x:v>A004</x:v>
      </x:c>
      <x:c r="E5" s="21" t="str">
        <x:v>主要对应</x:v>
      </x:c>
      <x:c r="F5" s="21" t="str">
        <x:v>同一模块的主考试对应；所列/01为该来源的纸面或规定实践入口，不含全部变体。</x:v>
      </x:c>
      <x:c r="G5" s="21" t="str">
        <x:v>P-ARABIC</x:v>
      </x:c>
    </x:row>
    <x:row r="6" ht="52" customHeight="1">
      <x:c r="A6" s="20" t="str">
        <x:v>M0005</x:v>
      </x:c>
      <x:c r="B6" s="21" t="str">
        <x:v>C003</x:v>
      </x:c>
      <x:c r="C6" s="21" t="str">
        <x:v>U005</x:v>
      </x:c>
      <x:c r="D6" s="21" t="str">
        <x:v>A005</x:v>
      </x:c>
      <x:c r="E6" s="21" t="str">
        <x:v>主要对应</x:v>
      </x:c>
      <x:c r="F6" s="21" t="str">
        <x:v>同一模块的主考试对应；所列/01为该来源的纸面或规定实践入口，不含全部变体。</x:v>
      </x:c>
      <x:c r="G6" s="21" t="str">
        <x:v>P-BIOLOGY</x:v>
      </x:c>
    </x:row>
    <x:row r="7" ht="52" customHeight="1">
      <x:c r="A7" s="20" t="str">
        <x:v>M0006</x:v>
      </x:c>
      <x:c r="B7" s="21" t="str">
        <x:v>C003</x:v>
      </x:c>
      <x:c r="C7" s="21" t="str">
        <x:v>U006</x:v>
      </x:c>
      <x:c r="D7" s="21" t="str">
        <x:v>A006</x:v>
      </x:c>
      <x:c r="E7" s="21" t="str">
        <x:v>主要对应</x:v>
      </x:c>
      <x:c r="F7" s="21" t="str">
        <x:v>同一模块的主考试对应；所列/01为该来源的纸面或规定实践入口，不含全部变体。</x:v>
      </x:c>
      <x:c r="G7" s="21" t="str">
        <x:v>P-BIOLOGY</x:v>
      </x:c>
    </x:row>
    <x:row r="8" ht="52" customHeight="1">
      <x:c r="A8" s="20" t="str">
        <x:v>M0007</x:v>
      </x:c>
      <x:c r="B8" s="21" t="str">
        <x:v>C003</x:v>
      </x:c>
      <x:c r="C8" s="21" t="str">
        <x:v>U007</x:v>
      </x:c>
      <x:c r="D8" s="21" t="str">
        <x:v>A007</x:v>
      </x:c>
      <x:c r="E8" s="21" t="str">
        <x:v>主要对应</x:v>
      </x:c>
      <x:c r="F8" s="21" t="str">
        <x:v>同一模块的主考试对应；所列/01为该来源的纸面或规定实践入口，不含全部变体。</x:v>
      </x:c>
      <x:c r="G8" s="21" t="str">
        <x:v>P-BIOLOGY</x:v>
      </x:c>
    </x:row>
    <x:row r="9" ht="52" customHeight="1">
      <x:c r="A9" s="20" t="str">
        <x:v>M0008</x:v>
      </x:c>
      <x:c r="B9" s="21" t="str">
        <x:v>C003</x:v>
      </x:c>
      <x:c r="C9" s="21" t="str">
        <x:v>U008</x:v>
      </x:c>
      <x:c r="D9" s="21" t="str">
        <x:v>A008</x:v>
      </x:c>
      <x:c r="E9" s="21" t="str">
        <x:v>主要对应</x:v>
      </x:c>
      <x:c r="F9" s="21" t="str">
        <x:v>同一模块的主考试对应；所列/01为该来源的纸面或规定实践入口，不含全部变体。</x:v>
      </x:c>
      <x:c r="G9" s="21" t="str">
        <x:v>P-BIOLOGY</x:v>
      </x:c>
    </x:row>
    <x:row r="10" ht="52" customHeight="1">
      <x:c r="A10" s="20" t="str">
        <x:v>M0009</x:v>
      </x:c>
      <x:c r="B10" s="21" t="str">
        <x:v>C003</x:v>
      </x:c>
      <x:c r="C10" s="21" t="str">
        <x:v>U009</x:v>
      </x:c>
      <x:c r="D10" s="21" t="str">
        <x:v>A009</x:v>
      </x:c>
      <x:c r="E10" s="21" t="str">
        <x:v>主要对应</x:v>
      </x:c>
      <x:c r="F10" s="21" t="str">
        <x:v>同一模块的主考试对应；所列/01为该来源的纸面或规定实践入口，不含全部变体。</x:v>
      </x:c>
      <x:c r="G10" s="21" t="str">
        <x:v>P-BIOLOGY</x:v>
      </x:c>
    </x:row>
    <x:row r="11" ht="52" customHeight="1">
      <x:c r="A11" s="20" t="str">
        <x:v>M0010</x:v>
      </x:c>
      <x:c r="B11" s="21" t="str">
        <x:v>C003</x:v>
      </x:c>
      <x:c r="C11" s="21" t="str">
        <x:v>U010</x:v>
      </x:c>
      <x:c r="D11" s="21" t="str">
        <x:v>A010</x:v>
      </x:c>
      <x:c r="E11" s="21" t="str">
        <x:v>主要对应</x:v>
      </x:c>
      <x:c r="F11" s="21" t="str">
        <x:v>同一模块的主考试对应；所列/01为该来源的纸面或规定实践入口，不含全部变体。</x:v>
      </x:c>
      <x:c r="G11" s="21" t="str">
        <x:v>P-BIOLOGY</x:v>
      </x:c>
    </x:row>
    <x:row r="12" ht="52" customHeight="1">
      <x:c r="A12" s="20" t="str">
        <x:v>M0011</x:v>
      </x:c>
      <x:c r="B12" s="21" t="str">
        <x:v>C004</x:v>
      </x:c>
      <x:c r="C12" s="21" t="str">
        <x:v>U011</x:v>
      </x:c>
      <x:c r="D12" s="21" t="str">
        <x:v>A011</x:v>
      </x:c>
      <x:c r="E12" s="21" t="str">
        <x:v>主要对应</x:v>
      </x:c>
      <x:c r="F12" s="21" t="str">
        <x:v>同一模块的主考试对应；所列/01为该来源的纸面或规定实践入口，不含全部变体。</x:v>
      </x:c>
      <x:c r="G12" s="21" t="str">
        <x:v>P-BUSINESS</x:v>
      </x:c>
    </x:row>
    <x:row r="13" ht="52" customHeight="1">
      <x:c r="A13" s="20" t="str">
        <x:v>M0012</x:v>
      </x:c>
      <x:c r="B13" s="21" t="str">
        <x:v>C004</x:v>
      </x:c>
      <x:c r="C13" s="21" t="str">
        <x:v>U012</x:v>
      </x:c>
      <x:c r="D13" s="21" t="str">
        <x:v>A012</x:v>
      </x:c>
      <x:c r="E13" s="21" t="str">
        <x:v>主要对应</x:v>
      </x:c>
      <x:c r="F13" s="21" t="str">
        <x:v>同一模块的主考试对应；所列/01为该来源的纸面或规定实践入口，不含全部变体。</x:v>
      </x:c>
      <x:c r="G13" s="21" t="str">
        <x:v>P-BUSINESS</x:v>
      </x:c>
    </x:row>
    <x:row r="14" ht="52" customHeight="1">
      <x:c r="A14" s="20" t="str">
        <x:v>M0013</x:v>
      </x:c>
      <x:c r="B14" s="21" t="str">
        <x:v>C004</x:v>
      </x:c>
      <x:c r="C14" s="21" t="str">
        <x:v>U013</x:v>
      </x:c>
      <x:c r="D14" s="21" t="str">
        <x:v>A013</x:v>
      </x:c>
      <x:c r="E14" s="21" t="str">
        <x:v>主要对应</x:v>
      </x:c>
      <x:c r="F14" s="21" t="str">
        <x:v>同一模块的主考试对应；所列/01为该来源的纸面或规定实践入口，不含全部变体。</x:v>
      </x:c>
      <x:c r="G14" s="21" t="str">
        <x:v>P-BUSINESS</x:v>
      </x:c>
    </x:row>
    <x:row r="15" ht="52" customHeight="1">
      <x:c r="A15" s="20" t="str">
        <x:v>M0014</x:v>
      </x:c>
      <x:c r="B15" s="21" t="str">
        <x:v>C004</x:v>
      </x:c>
      <x:c r="C15" s="21" t="str">
        <x:v>U014</x:v>
      </x:c>
      <x:c r="D15" s="21" t="str">
        <x:v>A014</x:v>
      </x:c>
      <x:c r="E15" s="21" t="str">
        <x:v>主要对应</x:v>
      </x:c>
      <x:c r="F15" s="21" t="str">
        <x:v>同一模块的主考试对应；所列/01为该来源的纸面或规定实践入口，不含全部变体。</x:v>
      </x:c>
      <x:c r="G15" s="21" t="str">
        <x:v>P-BUSINESS</x:v>
      </x:c>
    </x:row>
    <x:row r="16" ht="52" customHeight="1">
      <x:c r="A16" s="20" t="str">
        <x:v>M0015</x:v>
      </x:c>
      <x:c r="B16" s="21" t="str">
        <x:v>C005</x:v>
      </x:c>
      <x:c r="C16" s="21" t="str">
        <x:v>U015</x:v>
      </x:c>
      <x:c r="D16" s="21" t="str">
        <x:v>A015</x:v>
      </x:c>
      <x:c r="E16" s="21" t="str">
        <x:v>主要对应</x:v>
      </x:c>
      <x:c r="F16" s="21" t="str">
        <x:v>同一模块的主考试对应；所列/01为该来源的纸面或规定实践入口，不含全部变体。</x:v>
      </x:c>
      <x:c r="G16" s="21" t="str">
        <x:v>P-CHEMISTRY</x:v>
      </x:c>
    </x:row>
    <x:row r="17" ht="52" customHeight="1">
      <x:c r="A17" s="20" t="str">
        <x:v>M0016</x:v>
      </x:c>
      <x:c r="B17" s="21" t="str">
        <x:v>C005</x:v>
      </x:c>
      <x:c r="C17" s="21" t="str">
        <x:v>U016</x:v>
      </x:c>
      <x:c r="D17" s="21" t="str">
        <x:v>A016</x:v>
      </x:c>
      <x:c r="E17" s="21" t="str">
        <x:v>主要对应</x:v>
      </x:c>
      <x:c r="F17" s="21" t="str">
        <x:v>同一模块的主考试对应；所列/01为该来源的纸面或规定实践入口，不含全部变体。</x:v>
      </x:c>
      <x:c r="G17" s="21" t="str">
        <x:v>P-CHEMISTRY</x:v>
      </x:c>
    </x:row>
    <x:row r="18" ht="52" customHeight="1">
      <x:c r="A18" s="20" t="str">
        <x:v>M0017</x:v>
      </x:c>
      <x:c r="B18" s="21" t="str">
        <x:v>C005</x:v>
      </x:c>
      <x:c r="C18" s="21" t="str">
        <x:v>U017</x:v>
      </x:c>
      <x:c r="D18" s="21" t="str">
        <x:v>A017</x:v>
      </x:c>
      <x:c r="E18" s="21" t="str">
        <x:v>主要对应</x:v>
      </x:c>
      <x:c r="F18" s="21" t="str">
        <x:v>同一模块的主考试对应；所列/01为该来源的纸面或规定实践入口，不含全部变体。</x:v>
      </x:c>
      <x:c r="G18" s="21" t="str">
        <x:v>P-CHEMISTRY</x:v>
      </x:c>
    </x:row>
    <x:row r="19" ht="52" customHeight="1">
      <x:c r="A19" s="20" t="str">
        <x:v>M0018</x:v>
      </x:c>
      <x:c r="B19" s="21" t="str">
        <x:v>C005</x:v>
      </x:c>
      <x:c r="C19" s="21" t="str">
        <x:v>U018</x:v>
      </x:c>
      <x:c r="D19" s="21" t="str">
        <x:v>A018</x:v>
      </x:c>
      <x:c r="E19" s="21" t="str">
        <x:v>主要对应</x:v>
      </x:c>
      <x:c r="F19" s="21" t="str">
        <x:v>同一模块的主考试对应；所列/01为该来源的纸面或规定实践入口，不含全部变体。</x:v>
      </x:c>
      <x:c r="G19" s="21" t="str">
        <x:v>P-CHEMISTRY</x:v>
      </x:c>
    </x:row>
    <x:row r="20" ht="52" customHeight="1">
      <x:c r="A20" s="20" t="str">
        <x:v>M0019</x:v>
      </x:c>
      <x:c r="B20" s="21" t="str">
        <x:v>C005</x:v>
      </x:c>
      <x:c r="C20" s="21" t="str">
        <x:v>U019</x:v>
      </x:c>
      <x:c r="D20" s="21" t="str">
        <x:v>A019</x:v>
      </x:c>
      <x:c r="E20" s="21" t="str">
        <x:v>主要对应</x:v>
      </x:c>
      <x:c r="F20" s="21" t="str">
        <x:v>同一模块的主考试对应；所列/01为该来源的纸面或规定实践入口，不含全部变体。</x:v>
      </x:c>
      <x:c r="G20" s="21" t="str">
        <x:v>P-CHEMISTRY</x:v>
      </x:c>
    </x:row>
    <x:row r="21" ht="52" customHeight="1">
      <x:c r="A21" s="20" t="str">
        <x:v>M0020</x:v>
      </x:c>
      <x:c r="B21" s="21" t="str">
        <x:v>C005</x:v>
      </x:c>
      <x:c r="C21" s="21" t="str">
        <x:v>U020</x:v>
      </x:c>
      <x:c r="D21" s="21" t="str">
        <x:v>A020</x:v>
      </x:c>
      <x:c r="E21" s="21" t="str">
        <x:v>主要对应</x:v>
      </x:c>
      <x:c r="F21" s="21" t="str">
        <x:v>同一模块的主考试对应；所列/01为该来源的纸面或规定实践入口，不含全部变体。</x:v>
      </x:c>
      <x:c r="G21" s="21" t="str">
        <x:v>P-CHEMISTRY</x:v>
      </x:c>
    </x:row>
    <x:row r="22" ht="52" customHeight="1">
      <x:c r="A22" s="20" t="str">
        <x:v>M0021</x:v>
      </x:c>
      <x:c r="B22" s="21" t="str">
        <x:v>C006</x:v>
      </x:c>
      <x:c r="C22" s="21" t="str">
        <x:v>U021</x:v>
      </x:c>
      <x:c r="D22" s="21" t="str">
        <x:v>A021</x:v>
      </x:c>
      <x:c r="E22" s="21" t="str">
        <x:v>主要对应</x:v>
      </x:c>
      <x:c r="F22" s="21" t="str">
        <x:v>同一模块的主考试对应；所列/01为该来源的纸面或规定实践入口，不含全部变体。</x:v>
      </x:c>
      <x:c r="G22" s="21" t="str">
        <x:v>P-ECONOMICS</x:v>
      </x:c>
    </x:row>
    <x:row r="23" ht="52" customHeight="1">
      <x:c r="A23" s="20" t="str">
        <x:v>M0022</x:v>
      </x:c>
      <x:c r="B23" s="21" t="str">
        <x:v>C006</x:v>
      </x:c>
      <x:c r="C23" s="21" t="str">
        <x:v>U022</x:v>
      </x:c>
      <x:c r="D23" s="21" t="str">
        <x:v>A022</x:v>
      </x:c>
      <x:c r="E23" s="21" t="str">
        <x:v>主要对应</x:v>
      </x:c>
      <x:c r="F23" s="21" t="str">
        <x:v>同一模块的主考试对应；所列/01为该来源的纸面或规定实践入口，不含全部变体。</x:v>
      </x:c>
      <x:c r="G23" s="21" t="str">
        <x:v>P-ECONOMICS</x:v>
      </x:c>
    </x:row>
    <x:row r="24" ht="52" customHeight="1">
      <x:c r="A24" s="20" t="str">
        <x:v>M0023</x:v>
      </x:c>
      <x:c r="B24" s="21" t="str">
        <x:v>C006</x:v>
      </x:c>
      <x:c r="C24" s="21" t="str">
        <x:v>U023</x:v>
      </x:c>
      <x:c r="D24" s="21" t="str">
        <x:v>A023</x:v>
      </x:c>
      <x:c r="E24" s="21" t="str">
        <x:v>主要对应</x:v>
      </x:c>
      <x:c r="F24" s="21" t="str">
        <x:v>同一模块的主考试对应；所列/01为该来源的纸面或规定实践入口，不含全部变体。</x:v>
      </x:c>
      <x:c r="G24" s="21" t="str">
        <x:v>P-ECONOMICS</x:v>
      </x:c>
    </x:row>
    <x:row r="25" ht="52" customHeight="1">
      <x:c r="A25" s="20" t="str">
        <x:v>M0024</x:v>
      </x:c>
      <x:c r="B25" s="21" t="str">
        <x:v>C006</x:v>
      </x:c>
      <x:c r="C25" s="21" t="str">
        <x:v>U024</x:v>
      </x:c>
      <x:c r="D25" s="21" t="str">
        <x:v>A024</x:v>
      </x:c>
      <x:c r="E25" s="21" t="str">
        <x:v>主要对应</x:v>
      </x:c>
      <x:c r="F25" s="21" t="str">
        <x:v>同一模块的主考试对应；所列/01为该来源的纸面或规定实践入口，不含全部变体。</x:v>
      </x:c>
      <x:c r="G25" s="21" t="str">
        <x:v>P-ECONOMICS</x:v>
      </x:c>
    </x:row>
    <x:row r="26" ht="52" customHeight="1">
      <x:c r="A26" s="20" t="str">
        <x:v>M0025</x:v>
      </x:c>
      <x:c r="B26" s="21" t="str">
        <x:v>C007</x:v>
      </x:c>
      <x:c r="C26" s="21" t="str">
        <x:v>U025</x:v>
      </x:c>
      <x:c r="D26" s="21" t="str">
        <x:v>A025</x:v>
      </x:c>
      <x:c r="E26" s="21" t="str">
        <x:v>主要对应</x:v>
      </x:c>
      <x:c r="F26" s="21" t="str">
        <x:v>同一模块的主考试对应；所列/01为该来源的纸面或规定实践入口，不含全部变体。</x:v>
      </x:c>
      <x:c r="G26" s="21" t="str">
        <x:v>P-ENGLISHLANGUAGE</x:v>
      </x:c>
    </x:row>
    <x:row r="27" ht="52" customHeight="1">
      <x:c r="A27" s="20" t="str">
        <x:v>M0026</x:v>
      </x:c>
      <x:c r="B27" s="21" t="str">
        <x:v>C007</x:v>
      </x:c>
      <x:c r="C27" s="21" t="str">
        <x:v>U026</x:v>
      </x:c>
      <x:c r="D27" s="21" t="str">
        <x:v>A026</x:v>
      </x:c>
      <x:c r="E27" s="21" t="str">
        <x:v>主要对应</x:v>
      </x:c>
      <x:c r="F27" s="21" t="str">
        <x:v>同一模块的主考试对应；所列/01为该来源的纸面或规定实践入口，不含全部变体。</x:v>
      </x:c>
      <x:c r="G27" s="21" t="str">
        <x:v>P-ENGLISHLANGUAGE</x:v>
      </x:c>
    </x:row>
    <x:row r="28" ht="52" customHeight="1">
      <x:c r="A28" s="20" t="str">
        <x:v>M0027</x:v>
      </x:c>
      <x:c r="B28" s="21" t="str">
        <x:v>C007</x:v>
      </x:c>
      <x:c r="C28" s="21" t="str">
        <x:v>U027</x:v>
      </x:c>
      <x:c r="D28" s="21" t="str">
        <x:v>A027</x:v>
      </x:c>
      <x:c r="E28" s="21" t="str">
        <x:v>主要对应</x:v>
      </x:c>
      <x:c r="F28" s="21" t="str">
        <x:v>同一模块的主考试对应；所列/01为该来源的纸面或规定实践入口，不含全部变体。</x:v>
      </x:c>
      <x:c r="G28" s="21" t="str">
        <x:v>P-ENGLISHLANGUAGE</x:v>
      </x:c>
    </x:row>
    <x:row r="29" ht="52" customHeight="1">
      <x:c r="A29" s="20" t="str">
        <x:v>M0028</x:v>
      </x:c>
      <x:c r="B29" s="21" t="str">
        <x:v>C007</x:v>
      </x:c>
      <x:c r="C29" s="21" t="str">
        <x:v>U028</x:v>
      </x:c>
      <x:c r="D29" s="21" t="str">
        <x:v>A028</x:v>
      </x:c>
      <x:c r="E29" s="21" t="str">
        <x:v>主要对应</x:v>
      </x:c>
      <x:c r="F29" s="21" t="str">
        <x:v>同一模块的主考试对应；所列/01为该来源的纸面或规定实践入口，不含全部变体。</x:v>
      </x:c>
      <x:c r="G29" s="21" t="str">
        <x:v>P-ENGLISHLANGUAGE</x:v>
      </x:c>
    </x:row>
    <x:row r="30" ht="52" customHeight="1">
      <x:c r="A30" s="20" t="str">
        <x:v>M0029</x:v>
      </x:c>
      <x:c r="B30" s="21" t="str">
        <x:v>C008</x:v>
      </x:c>
      <x:c r="C30" s="21" t="str">
        <x:v>U029</x:v>
      </x:c>
      <x:c r="D30" s="21" t="str">
        <x:v>A029</x:v>
      </x:c>
      <x:c r="E30" s="21" t="str">
        <x:v>主要对应</x:v>
      </x:c>
      <x:c r="F30" s="21" t="str">
        <x:v>同一模块的主考试对应；所列/01为该来源的纸面或规定实践入口，不含全部变体。</x:v>
      </x:c>
      <x:c r="G30" s="21" t="str">
        <x:v>P-ENGLISHLITERATURE</x:v>
      </x:c>
    </x:row>
    <x:row r="31" ht="52" customHeight="1">
      <x:c r="A31" s="20" t="str">
        <x:v>M0030</x:v>
      </x:c>
      <x:c r="B31" s="21" t="str">
        <x:v>C008</x:v>
      </x:c>
      <x:c r="C31" s="21" t="str">
        <x:v>U030</x:v>
      </x:c>
      <x:c r="D31" s="21" t="str">
        <x:v>A030</x:v>
      </x:c>
      <x:c r="E31" s="21" t="str">
        <x:v>主要对应</x:v>
      </x:c>
      <x:c r="F31" s="21" t="str">
        <x:v>同一模块的主考试对应；所列/01为该来源的纸面或规定实践入口，不含全部变体。</x:v>
      </x:c>
      <x:c r="G31" s="21" t="str">
        <x:v>P-ENGLISHLITERATURE</x:v>
      </x:c>
    </x:row>
    <x:row r="32" ht="52" customHeight="1">
      <x:c r="A32" s="20" t="str">
        <x:v>M0031</x:v>
      </x:c>
      <x:c r="B32" s="21" t="str">
        <x:v>C008</x:v>
      </x:c>
      <x:c r="C32" s="21" t="str">
        <x:v>U031</x:v>
      </x:c>
      <x:c r="D32" s="21" t="str">
        <x:v>A031</x:v>
      </x:c>
      <x:c r="E32" s="21" t="str">
        <x:v>主要对应</x:v>
      </x:c>
      <x:c r="F32" s="21" t="str">
        <x:v>同一模块的主考试对应；所列/01为该来源的纸面或规定实践入口，不含全部变体。</x:v>
      </x:c>
      <x:c r="G32" s="21" t="str">
        <x:v>P-ENGLISHLITERATURE</x:v>
      </x:c>
    </x:row>
    <x:row r="33" ht="52" customHeight="1">
      <x:c r="A33" s="20" t="str">
        <x:v>M0032</x:v>
      </x:c>
      <x:c r="B33" s="21" t="str">
        <x:v>C008</x:v>
      </x:c>
      <x:c r="C33" s="21" t="str">
        <x:v>U032</x:v>
      </x:c>
      <x:c r="D33" s="21" t="str">
        <x:v>A032</x:v>
      </x:c>
      <x:c r="E33" s="21" t="str">
        <x:v>主要对应</x:v>
      </x:c>
      <x:c r="F33" s="21" t="str">
        <x:v>同一模块的主考试对应；所列/01为该来源的纸面或规定实践入口，不含全部变体。</x:v>
      </x:c>
      <x:c r="G33" s="21" t="str">
        <x:v>P-ENGLISHLITERATURE</x:v>
      </x:c>
    </x:row>
    <x:row r="34" ht="52" customHeight="1">
      <x:c r="A34" s="20" t="str">
        <x:v>M0033</x:v>
      </x:c>
      <x:c r="B34" s="21" t="str">
        <x:v>C013</x:v>
      </x:c>
      <x:c r="C34" s="21" t="str">
        <x:v>U049</x:v>
      </x:c>
      <x:c r="D34" s="21" t="str">
        <x:v>A033</x:v>
      </x:c>
      <x:c r="E34" s="21" t="str">
        <x:v>主要对应</x:v>
      </x:c>
      <x:c r="F34" s="21" t="str">
        <x:v>同一模块的主考试对应；所列/01为该来源的纸面或规定实践入口，不含全部变体。</x:v>
      </x:c>
      <x:c r="G34" s="21" t="str">
        <x:v>P-INFORMATIONTECHNOLOGY</x:v>
      </x:c>
    </x:row>
    <x:row r="35" ht="52" customHeight="1">
      <x:c r="A35" s="20" t="str">
        <x:v>M0034</x:v>
      </x:c>
      <x:c r="B35" s="21" t="str">
        <x:v>C013</x:v>
      </x:c>
      <x:c r="C35" s="21" t="str">
        <x:v>U050</x:v>
      </x:c>
      <x:c r="D35" s="21" t="str">
        <x:v>A034</x:v>
      </x:c>
      <x:c r="E35" s="21" t="str">
        <x:v>主要对应</x:v>
      </x:c>
      <x:c r="F35" s="21" t="str">
        <x:v>同一模块的主考试对应；所列/01为该来源的纸面或规定实践入口，不含全部变体。</x:v>
      </x:c>
      <x:c r="G35" s="21" t="str">
        <x:v>P-INFORMATIONTECHNOLOGY</x:v>
      </x:c>
    </x:row>
    <x:row r="36" ht="52" customHeight="1">
      <x:c r="A36" s="20" t="str">
        <x:v>M0035</x:v>
      </x:c>
      <x:c r="B36" s="21" t="str">
        <x:v>C013</x:v>
      </x:c>
      <x:c r="C36" s="21" t="str">
        <x:v>U051</x:v>
      </x:c>
      <x:c r="D36" s="21" t="str">
        <x:v>A035</x:v>
      </x:c>
      <x:c r="E36" s="21" t="str">
        <x:v>主要对应</x:v>
      </x:c>
      <x:c r="F36" s="21" t="str">
        <x:v>同一模块的主考试对应；所列/01为该来源的纸面或规定实践入口，不含全部变体。</x:v>
      </x:c>
      <x:c r="G36" s="21" t="str">
        <x:v>P-INFORMATIONTECHNOLOGY</x:v>
      </x:c>
    </x:row>
    <x:row r="37" ht="52" customHeight="1">
      <x:c r="A37" s="20" t="str">
        <x:v>M0036</x:v>
      </x:c>
      <x:c r="B37" s="21" t="str">
        <x:v>C013</x:v>
      </x:c>
      <x:c r="C37" s="21" t="str">
        <x:v>U052</x:v>
      </x:c>
      <x:c r="D37" s="21" t="str">
        <x:v>A036</x:v>
      </x:c>
      <x:c r="E37" s="21" t="str">
        <x:v>主要对应</x:v>
      </x:c>
      <x:c r="F37" s="21" t="str">
        <x:v>同一模块的主考试对应；所列/01为该来源的纸面或规定实践入口，不含全部变体。</x:v>
      </x:c>
      <x:c r="G37" s="21" t="str">
        <x:v>P-INFORMATIONTECHNOLOGY</x:v>
      </x:c>
    </x:row>
    <x:row r="38" ht="52" customHeight="1">
      <x:c r="A38" s="20" t="str">
        <x:v>M0037</x:v>
      </x:c>
      <x:c r="B38" s="21" t="str">
        <x:v>C018</x:v>
      </x:c>
      <x:c r="C38" s="21" t="str">
        <x:v>U069</x:v>
      </x:c>
      <x:c r="D38" s="21" t="str">
        <x:v>A037</x:v>
      </x:c>
      <x:c r="E38" s="21" t="str">
        <x:v>主要对应</x:v>
      </x:c>
      <x:c r="F38" s="21" t="str">
        <x:v>共享单元保留同一身份，课程关系另行记录。</x:v>
      </x:c>
      <x:c r="G38" s="21" t="str">
        <x:v>P-MATH;P-MAN</x:v>
      </x:c>
    </x:row>
    <x:row r="39" ht="52" customHeight="1">
      <x:c r="A39" s="20" t="str">
        <x:v>M0038</x:v>
      </x:c>
      <x:c r="B39" s="21" t="str">
        <x:v>C020</x:v>
      </x:c>
      <x:c r="C39" s="21" t="str">
        <x:v>U069</x:v>
      </x:c>
      <x:c r="D39" s="21" t="str">
        <x:v>A037</x:v>
      </x:c>
      <x:c r="E39" s="21" t="str">
        <x:v>主要对应</x:v>
      </x:c>
      <x:c r="F39" s="21" t="str">
        <x:v>共享单元保留同一身份，课程关系另行记录。</x:v>
      </x:c>
      <x:c r="G39" s="21" t="str">
        <x:v>P-MATH;P-MAN</x:v>
      </x:c>
    </x:row>
    <x:row r="40" ht="52" customHeight="1">
      <x:c r="A40" s="20" t="str">
        <x:v>M0039</x:v>
      </x:c>
      <x:c r="B40" s="21" t="str">
        <x:v>C018</x:v>
      </x:c>
      <x:c r="C40" s="21" t="str">
        <x:v>U070</x:v>
      </x:c>
      <x:c r="D40" s="21" t="str">
        <x:v>A038</x:v>
      </x:c>
      <x:c r="E40" s="21" t="str">
        <x:v>主要对应</x:v>
      </x:c>
      <x:c r="F40" s="21" t="str">
        <x:v>共享单元保留同一身份，课程关系另行记录。</x:v>
      </x:c>
      <x:c r="G40" s="21" t="str">
        <x:v>P-MATH;P-MAN</x:v>
      </x:c>
    </x:row>
    <x:row r="41" ht="52" customHeight="1">
      <x:c r="A41" s="20" t="str">
        <x:v>M0040</x:v>
      </x:c>
      <x:c r="B41" s="21" t="str">
        <x:v>C020</x:v>
      </x:c>
      <x:c r="C41" s="21" t="str">
        <x:v>U070</x:v>
      </x:c>
      <x:c r="D41" s="21" t="str">
        <x:v>A038</x:v>
      </x:c>
      <x:c r="E41" s="21" t="str">
        <x:v>主要对应</x:v>
      </x:c>
      <x:c r="F41" s="21" t="str">
        <x:v>共享单元保留同一身份，课程关系另行记录。</x:v>
      </x:c>
      <x:c r="G41" s="21" t="str">
        <x:v>P-MATH;P-MAN</x:v>
      </x:c>
    </x:row>
    <x:row r="42" ht="52" customHeight="1">
      <x:c r="A42" s="20" t="str">
        <x:v>M0041</x:v>
      </x:c>
      <x:c r="B42" s="21" t="str">
        <x:v>C018</x:v>
      </x:c>
      <x:c r="C42" s="21" t="str">
        <x:v>U071</x:v>
      </x:c>
      <x:c r="D42" s="21" t="str">
        <x:v>A039</x:v>
      </x:c>
      <x:c r="E42" s="21" t="str">
        <x:v>主要对应</x:v>
      </x:c>
      <x:c r="F42" s="21" t="str">
        <x:v>共享单元保留同一身份，课程关系另行记录。</x:v>
      </x:c>
      <x:c r="G42" s="21" t="str">
        <x:v>P-MATH;P-MAN</x:v>
      </x:c>
    </x:row>
    <x:row r="43" ht="52" customHeight="1">
      <x:c r="A43" s="20" t="str">
        <x:v>M0042</x:v>
      </x:c>
      <x:c r="B43" s="21" t="str">
        <x:v>C020</x:v>
      </x:c>
      <x:c r="C43" s="21" t="str">
        <x:v>U071</x:v>
      </x:c>
      <x:c r="D43" s="21" t="str">
        <x:v>A039</x:v>
      </x:c>
      <x:c r="E43" s="21" t="str">
        <x:v>主要对应</x:v>
      </x:c>
      <x:c r="F43" s="21" t="str">
        <x:v>共享单元保留同一身份，课程关系另行记录。</x:v>
      </x:c>
      <x:c r="G43" s="21" t="str">
        <x:v>P-MATH;P-MAN</x:v>
      </x:c>
    </x:row>
    <x:row r="44" ht="52" customHeight="1">
      <x:c r="A44" s="20" t="str">
        <x:v>M0043</x:v>
      </x:c>
      <x:c r="B44" s="21" t="str">
        <x:v>C018</x:v>
      </x:c>
      <x:c r="C44" s="21" t="str">
        <x:v>U072</x:v>
      </x:c>
      <x:c r="D44" s="21" t="str">
        <x:v>A040</x:v>
      </x:c>
      <x:c r="E44" s="21" t="str">
        <x:v>主要对应</x:v>
      </x:c>
      <x:c r="F44" s="21" t="str">
        <x:v>共享单元保留同一身份，课程关系另行记录。</x:v>
      </x:c>
      <x:c r="G44" s="21" t="str">
        <x:v>P-MATH;P-MAN</x:v>
      </x:c>
    </x:row>
    <x:row r="45" ht="52" customHeight="1">
      <x:c r="A45" s="20" t="str">
        <x:v>M0044</x:v>
      </x:c>
      <x:c r="B45" s="21" t="str">
        <x:v>C020</x:v>
      </x:c>
      <x:c r="C45" s="21" t="str">
        <x:v>U072</x:v>
      </x:c>
      <x:c r="D45" s="21" t="str">
        <x:v>A040</x:v>
      </x:c>
      <x:c r="E45" s="21" t="str">
        <x:v>主要对应</x:v>
      </x:c>
      <x:c r="F45" s="21" t="str">
        <x:v>共享单元保留同一身份，课程关系另行记录。</x:v>
      </x:c>
      <x:c r="G45" s="21" t="str">
        <x:v>P-MATH;P-MAN</x:v>
      </x:c>
    </x:row>
    <x:row r="46" ht="52" customHeight="1">
      <x:c r="A46" s="20" t="str">
        <x:v>M0045</x:v>
      </x:c>
      <x:c r="B46" s="21" t="str">
        <x:v>C019</x:v>
      </x:c>
      <x:c r="C46" s="21" t="str">
        <x:v>U073</x:v>
      </x:c>
      <x:c r="D46" s="21" t="str">
        <x:v>A041</x:v>
      </x:c>
      <x:c r="E46" s="21" t="str">
        <x:v>主要对应</x:v>
      </x:c>
      <x:c r="F46" s="21" t="str">
        <x:v>共享单元保留同一身份，课程关系另行记录。</x:v>
      </x:c>
      <x:c r="G46" s="21" t="str">
        <x:v>P-MATH;P-MAN</x:v>
      </x:c>
    </x:row>
    <x:row r="47" ht="52" customHeight="1">
      <x:c r="A47" s="20" t="str">
        <x:v>M0046</x:v>
      </x:c>
      <x:c r="B47" s="21" t="str">
        <x:v>C020</x:v>
      </x:c>
      <x:c r="C47" s="21" t="str">
        <x:v>U073</x:v>
      </x:c>
      <x:c r="D47" s="21" t="str">
        <x:v>A041</x:v>
      </x:c>
      <x:c r="E47" s="21" t="str">
        <x:v>主要对应</x:v>
      </x:c>
      <x:c r="F47" s="21" t="str">
        <x:v>共享单元保留同一身份，课程关系另行记录。</x:v>
      </x:c>
      <x:c r="G47" s="21" t="str">
        <x:v>P-MATH;P-MAN</x:v>
      </x:c>
    </x:row>
    <x:row r="48" ht="52" customHeight="1">
      <x:c r="A48" s="20" t="str">
        <x:v>M0047</x:v>
      </x:c>
      <x:c r="B48" s="21" t="str">
        <x:v>C019</x:v>
      </x:c>
      <x:c r="C48" s="21" t="str">
        <x:v>U074</x:v>
      </x:c>
      <x:c r="D48" s="21" t="str">
        <x:v>A042</x:v>
      </x:c>
      <x:c r="E48" s="21" t="str">
        <x:v>主要对应</x:v>
      </x:c>
      <x:c r="F48" s="21" t="str">
        <x:v>共享单元保留同一身份，课程关系另行记录。</x:v>
      </x:c>
      <x:c r="G48" s="21" t="str">
        <x:v>P-MATH;P-MAN</x:v>
      </x:c>
    </x:row>
    <x:row r="49" ht="52" customHeight="1">
      <x:c r="A49" s="20" t="str">
        <x:v>M0048</x:v>
      </x:c>
      <x:c r="B49" s="21" t="str">
        <x:v>C020</x:v>
      </x:c>
      <x:c r="C49" s="21" t="str">
        <x:v>U074</x:v>
      </x:c>
      <x:c r="D49" s="21" t="str">
        <x:v>A042</x:v>
      </x:c>
      <x:c r="E49" s="21" t="str">
        <x:v>主要对应</x:v>
      </x:c>
      <x:c r="F49" s="21" t="str">
        <x:v>共享单元保留同一身份，课程关系另行记录。</x:v>
      </x:c>
      <x:c r="G49" s="21" t="str">
        <x:v>P-MATH;P-MAN</x:v>
      </x:c>
    </x:row>
    <x:row r="50" ht="52" customHeight="1">
      <x:c r="A50" s="20" t="str">
        <x:v>M0049</x:v>
      </x:c>
      <x:c r="B50" s="21" t="str">
        <x:v>C019</x:v>
      </x:c>
      <x:c r="C50" s="21" t="str">
        <x:v>U075</x:v>
      </x:c>
      <x:c r="D50" s="21" t="str">
        <x:v>A043</x:v>
      </x:c>
      <x:c r="E50" s="21" t="str">
        <x:v>主要对应</x:v>
      </x:c>
      <x:c r="F50" s="21" t="str">
        <x:v>共享单元保留同一身份，课程关系另行记录。</x:v>
      </x:c>
      <x:c r="G50" s="21" t="str">
        <x:v>P-MATH;P-MAN</x:v>
      </x:c>
    </x:row>
    <x:row r="51" ht="52" customHeight="1">
      <x:c r="A51" s="20" t="str">
        <x:v>M0050</x:v>
      </x:c>
      <x:c r="B51" s="21" t="str">
        <x:v>C020</x:v>
      </x:c>
      <x:c r="C51" s="21" t="str">
        <x:v>U075</x:v>
      </x:c>
      <x:c r="D51" s="21" t="str">
        <x:v>A043</x:v>
      </x:c>
      <x:c r="E51" s="21" t="str">
        <x:v>主要对应</x:v>
      </x:c>
      <x:c r="F51" s="21" t="str">
        <x:v>共享单元保留同一身份，课程关系另行记录。</x:v>
      </x:c>
      <x:c r="G51" s="21" t="str">
        <x:v>P-MATH;P-MAN</x:v>
      </x:c>
    </x:row>
    <x:row r="52" ht="52" customHeight="1">
      <x:c r="A52" s="20" t="str">
        <x:v>M0051</x:v>
      </x:c>
      <x:c r="B52" s="21" t="str">
        <x:v>C018</x:v>
      </x:c>
      <x:c r="C52" s="21" t="str">
        <x:v>U076</x:v>
      </x:c>
      <x:c r="D52" s="21" t="str">
        <x:v>A044</x:v>
      </x:c>
      <x:c r="E52" s="21" t="str">
        <x:v>主要对应</x:v>
      </x:c>
      <x:c r="F52" s="21" t="str">
        <x:v>共享单元保留同一身份，课程关系另行记录。</x:v>
      </x:c>
      <x:c r="G52" s="21" t="str">
        <x:v>P-MATH;P-MAN</x:v>
      </x:c>
    </x:row>
    <x:row r="53" ht="52" customHeight="1">
      <x:c r="A53" s="20" t="str">
        <x:v>M0052</x:v>
      </x:c>
      <x:c r="B53" s="21" t="str">
        <x:v>C019</x:v>
      </x:c>
      <x:c r="C53" s="21" t="str">
        <x:v>U076</x:v>
      </x:c>
      <x:c r="D53" s="21" t="str">
        <x:v>A044</x:v>
      </x:c>
      <x:c r="E53" s="21" t="str">
        <x:v>主要对应</x:v>
      </x:c>
      <x:c r="F53" s="21" t="str">
        <x:v>共享单元保留同一身份，课程关系另行记录。</x:v>
      </x:c>
      <x:c r="G53" s="21" t="str">
        <x:v>P-MATH;P-MAN</x:v>
      </x:c>
    </x:row>
    <x:row r="54" ht="52" customHeight="1">
      <x:c r="A54" s="20" t="str">
        <x:v>M0053</x:v>
      </x:c>
      <x:c r="B54" s="21" t="str">
        <x:v>C018</x:v>
      </x:c>
      <x:c r="C54" s="21" t="str">
        <x:v>U077</x:v>
      </x:c>
      <x:c r="D54" s="21" t="str">
        <x:v>A045</x:v>
      </x:c>
      <x:c r="E54" s="21" t="str">
        <x:v>主要对应</x:v>
      </x:c>
      <x:c r="F54" s="21" t="str">
        <x:v>共享单元保留同一身份，课程关系另行记录。</x:v>
      </x:c>
      <x:c r="G54" s="21" t="str">
        <x:v>P-MATH;P-MAN</x:v>
      </x:c>
    </x:row>
    <x:row r="55" ht="52" customHeight="1">
      <x:c r="A55" s="20" t="str">
        <x:v>M0054</x:v>
      </x:c>
      <x:c r="B55" s="21" t="str">
        <x:v>C019</x:v>
      </x:c>
      <x:c r="C55" s="21" t="str">
        <x:v>U077</x:v>
      </x:c>
      <x:c r="D55" s="21" t="str">
        <x:v>A045</x:v>
      </x:c>
      <x:c r="E55" s="21" t="str">
        <x:v>主要对应</x:v>
      </x:c>
      <x:c r="F55" s="21" t="str">
        <x:v>共享单元保留同一身份，课程关系另行记录。</x:v>
      </x:c>
      <x:c r="G55" s="21" t="str">
        <x:v>P-MATH;P-MAN</x:v>
      </x:c>
    </x:row>
    <x:row r="56" ht="52" customHeight="1">
      <x:c r="A56" s="20" t="str">
        <x:v>M0055</x:v>
      </x:c>
      <x:c r="B56" s="21" t="str">
        <x:v>C019</x:v>
      </x:c>
      <x:c r="C56" s="21" t="str">
        <x:v>U078</x:v>
      </x:c>
      <x:c r="D56" s="21" t="str">
        <x:v>A046</x:v>
      </x:c>
      <x:c r="E56" s="21" t="str">
        <x:v>主要对应</x:v>
      </x:c>
      <x:c r="F56" s="21" t="str">
        <x:v>共享单元保留同一身份，课程关系另行记录。</x:v>
      </x:c>
      <x:c r="G56" s="21" t="str">
        <x:v>P-MATH;P-MAN</x:v>
      </x:c>
    </x:row>
    <x:row r="57" ht="52" customHeight="1">
      <x:c r="A57" s="20" t="str">
        <x:v>M0056</x:v>
      </x:c>
      <x:c r="B57" s="21" t="str">
        <x:v>C018</x:v>
      </x:c>
      <x:c r="C57" s="21" t="str">
        <x:v>U079</x:v>
      </x:c>
      <x:c r="D57" s="21" t="str">
        <x:v>A047</x:v>
      </x:c>
      <x:c r="E57" s="21" t="str">
        <x:v>主要对应</x:v>
      </x:c>
      <x:c r="F57" s="21" t="str">
        <x:v>共享单元保留同一身份，课程关系另行记录。</x:v>
      </x:c>
      <x:c r="G57" s="21" t="str">
        <x:v>P-MATH;P-MAN</x:v>
      </x:c>
    </x:row>
    <x:row r="58" ht="52" customHeight="1">
      <x:c r="A58" s="20" t="str">
        <x:v>M0057</x:v>
      </x:c>
      <x:c r="B58" s="21" t="str">
        <x:v>C019</x:v>
      </x:c>
      <x:c r="C58" s="21" t="str">
        <x:v>U079</x:v>
      </x:c>
      <x:c r="D58" s="21" t="str">
        <x:v>A047</x:v>
      </x:c>
      <x:c r="E58" s="21" t="str">
        <x:v>主要对应</x:v>
      </x:c>
      <x:c r="F58" s="21" t="str">
        <x:v>共享单元保留同一身份，课程关系另行记录。</x:v>
      </x:c>
      <x:c r="G58" s="21" t="str">
        <x:v>P-MATH;P-MAN</x:v>
      </x:c>
    </x:row>
    <x:row r="59" ht="52" customHeight="1">
      <x:c r="A59" s="20" t="str">
        <x:v>M0058</x:v>
      </x:c>
      <x:c r="B59" s="21" t="str">
        <x:v>C018</x:v>
      </x:c>
      <x:c r="C59" s="21" t="str">
        <x:v>U080</x:v>
      </x:c>
      <x:c r="D59" s="21" t="str">
        <x:v>A048</x:v>
      </x:c>
      <x:c r="E59" s="21" t="str">
        <x:v>主要对应</x:v>
      </x:c>
      <x:c r="F59" s="21" t="str">
        <x:v>共享单元保留同一身份，课程关系另行记录。</x:v>
      </x:c>
      <x:c r="G59" s="21" t="str">
        <x:v>P-MATH;P-MAN</x:v>
      </x:c>
    </x:row>
    <x:row r="60" ht="52" customHeight="1">
      <x:c r="A60" s="20" t="str">
        <x:v>M0059</x:v>
      </x:c>
      <x:c r="B60" s="21" t="str">
        <x:v>C019</x:v>
      </x:c>
      <x:c r="C60" s="21" t="str">
        <x:v>U080</x:v>
      </x:c>
      <x:c r="D60" s="21" t="str">
        <x:v>A048</x:v>
      </x:c>
      <x:c r="E60" s="21" t="str">
        <x:v>主要对应</x:v>
      </x:c>
      <x:c r="F60" s="21" t="str">
        <x:v>共享单元保留同一身份，课程关系另行记录。</x:v>
      </x:c>
      <x:c r="G60" s="21" t="str">
        <x:v>P-MATH;P-MAN</x:v>
      </x:c>
    </x:row>
    <x:row r="61" ht="52" customHeight="1">
      <x:c r="A61" s="20" t="str">
        <x:v>M0060</x:v>
      </x:c>
      <x:c r="B61" s="21" t="str">
        <x:v>C019</x:v>
      </x:c>
      <x:c r="C61" s="21" t="str">
        <x:v>U081</x:v>
      </x:c>
      <x:c r="D61" s="21" t="str">
        <x:v>A049</x:v>
      </x:c>
      <x:c r="E61" s="21" t="str">
        <x:v>主要对应</x:v>
      </x:c>
      <x:c r="F61" s="21" t="str">
        <x:v>共享单元保留同一身份，课程关系另行记录。</x:v>
      </x:c>
      <x:c r="G61" s="21" t="str">
        <x:v>P-MATH;P-MAN</x:v>
      </x:c>
    </x:row>
    <x:row r="62" ht="52" customHeight="1">
      <x:c r="A62" s="20" t="str">
        <x:v>M0061</x:v>
      </x:c>
      <x:c r="B62" s="21" t="str">
        <x:v>C018</x:v>
      </x:c>
      <x:c r="C62" s="21" t="str">
        <x:v>U082</x:v>
      </x:c>
      <x:c r="D62" s="21" t="str">
        <x:v>A050</x:v>
      </x:c>
      <x:c r="E62" s="21" t="str">
        <x:v>主要对应</x:v>
      </x:c>
      <x:c r="F62" s="21" t="str">
        <x:v>共享单元保留同一身份，课程关系另行记录。</x:v>
      </x:c>
      <x:c r="G62" s="21" t="str">
        <x:v>P-MATH;P-MAN</x:v>
      </x:c>
    </x:row>
    <x:row r="63" ht="52" customHeight="1">
      <x:c r="A63" s="20" t="str">
        <x:v>M0062</x:v>
      </x:c>
      <x:c r="B63" s="21" t="str">
        <x:v>C019</x:v>
      </x:c>
      <x:c r="C63" s="21" t="str">
        <x:v>U082</x:v>
      </x:c>
      <x:c r="D63" s="21" t="str">
        <x:v>A050</x:v>
      </x:c>
      <x:c r="E63" s="21" t="str">
        <x:v>主要对应</x:v>
      </x:c>
      <x:c r="F63" s="21" t="str">
        <x:v>共享单元保留同一身份，课程关系另行记录。</x:v>
      </x:c>
      <x:c r="G63" s="21" t="str">
        <x:v>P-MATH;P-MAN</x:v>
      </x:c>
    </x:row>
    <x:row r="64" ht="52" customHeight="1">
      <x:c r="A64" s="20" t="str">
        <x:v>M0063</x:v>
      </x:c>
      <x:c r="B64" s="21" t="str">
        <x:v>C022</x:v>
      </x:c>
      <x:c r="C64" s="21" t="str">
        <x:v>U083</x:v>
      </x:c>
      <x:c r="D64" s="21" t="str">
        <x:v>A051</x:v>
      </x:c>
      <x:c r="E64" s="21" t="str">
        <x:v>主要对应</x:v>
      </x:c>
      <x:c r="F64" s="21" t="str">
        <x:v>内容单元与试卷各自建模；AS/AL权重不能当课时比例。</x:v>
      </x:c>
      <x:c r="G64" s="21" t="str">
        <x:v>C-9709-PDF</x:v>
      </x:c>
    </x:row>
    <x:row r="65" ht="52" customHeight="1">
      <x:c r="A65" s="20" t="str">
        <x:v>M0064</x:v>
      </x:c>
      <x:c r="B65" s="21" t="str">
        <x:v>C022</x:v>
      </x:c>
      <x:c r="C65" s="21" t="str">
        <x:v>U084</x:v>
      </x:c>
      <x:c r="D65" s="21" t="str">
        <x:v>A052</x:v>
      </x:c>
      <x:c r="E65" s="21" t="str">
        <x:v>主要对应</x:v>
      </x:c>
      <x:c r="F65" s="21" t="str">
        <x:v>内容单元与试卷各自建模；AS/AL权重不能当课时比例。</x:v>
      </x:c>
      <x:c r="G65" s="21" t="str">
        <x:v>C-9709-PDF</x:v>
      </x:c>
    </x:row>
    <x:row r="66" ht="52" customHeight="1">
      <x:c r="A66" s="20" t="str">
        <x:v>M0065</x:v>
      </x:c>
      <x:c r="B66" s="21" t="str">
        <x:v>C022</x:v>
      </x:c>
      <x:c r="C66" s="21" t="str">
        <x:v>U085</x:v>
      </x:c>
      <x:c r="D66" s="21" t="str">
        <x:v>A053</x:v>
      </x:c>
      <x:c r="E66" s="21" t="str">
        <x:v>主要对应</x:v>
      </x:c>
      <x:c r="F66" s="21" t="str">
        <x:v>内容单元与试卷各自建模；AS/AL权重不能当课时比例。</x:v>
      </x:c>
      <x:c r="G66" s="21" t="str">
        <x:v>C-9709-PDF</x:v>
      </x:c>
    </x:row>
    <x:row r="67" ht="52" customHeight="1">
      <x:c r="A67" s="20" t="str">
        <x:v>M0066</x:v>
      </x:c>
      <x:c r="B67" s="21" t="str">
        <x:v>C022</x:v>
      </x:c>
      <x:c r="C67" s="21" t="str">
        <x:v>U086</x:v>
      </x:c>
      <x:c r="D67" s="21" t="str">
        <x:v>A054</x:v>
      </x:c>
      <x:c r="E67" s="21" t="str">
        <x:v>主要对应</x:v>
      </x:c>
      <x:c r="F67" s="21" t="str">
        <x:v>内容单元与试卷各自建模；AS/AL权重不能当课时比例。</x:v>
      </x:c>
      <x:c r="G67" s="21" t="str">
        <x:v>C-9709-PDF</x:v>
      </x:c>
    </x:row>
    <x:row r="68" ht="52" customHeight="1">
      <x:c r="A68" s="20" t="str">
        <x:v>M0067</x:v>
      </x:c>
      <x:c r="B68" s="21" t="str">
        <x:v>C022</x:v>
      </x:c>
      <x:c r="C68" s="21" t="str">
        <x:v>U087</x:v>
      </x:c>
      <x:c r="D68" s="21" t="str">
        <x:v>A055</x:v>
      </x:c>
      <x:c r="E68" s="21" t="str">
        <x:v>主要对应</x:v>
      </x:c>
      <x:c r="F68" s="21" t="str">
        <x:v>内容单元与试卷各自建模；AS/AL权重不能当课时比例。</x:v>
      </x:c>
      <x:c r="G68" s="21" t="str">
        <x:v>C-9709-PDF</x:v>
      </x:c>
    </x:row>
    <x:row r="69" ht="52" customHeight="1">
      <x:c r="A69" s="20" t="str">
        <x:v>M0068</x:v>
      </x:c>
      <x:c r="B69" s="21" t="str">
        <x:v>C022</x:v>
      </x:c>
      <x:c r="C69" s="21" t="str">
        <x:v>U088</x:v>
      </x:c>
      <x:c r="D69" s="21" t="str">
        <x:v>A056</x:v>
      </x:c>
      <x:c r="E69" s="21" t="str">
        <x:v>主要对应</x:v>
      </x:c>
      <x:c r="F69" s="21" t="str">
        <x:v>内容单元与试卷各自建模；AS/AL权重不能当课时比例。</x:v>
      </x:c>
      <x:c r="G69" s="21" t="str">
        <x:v>C-9709-PDF</x:v>
      </x:c>
    </x:row>
    <x:row r="70" ht="52" customHeight="1">
      <x:c r="A70" s="20" t="str">
        <x:v>M0069</x:v>
      </x:c>
      <x:c r="B70" s="21" t="str">
        <x:v>C036</x:v>
      </x:c>
      <x:c r="C70" s="21" t="str">
        <x:v>U134</x:v>
      </x:c>
      <x:c r="D70" s="21" t="str">
        <x:v>A057</x:v>
      </x:c>
      <x:c r="E70" s="21" t="str">
        <x:v>部分覆盖</x:v>
      </x:c>
      <x:c r="F70" s="21" t="str">
        <x:v>示范性校内教学板块到官方试卷的范围映射；不等同单独取得模块成绩。</x:v>
      </x:c>
      <x:c r="G70" s="21" t="str">
        <x:v>AQ-MATH</x:v>
      </x:c>
    </x:row>
    <x:row r="71" ht="52" customHeight="1">
      <x:c r="A71" s="20" t="str">
        <x:v>M0070</x:v>
      </x:c>
      <x:c r="B71" s="21" t="str">
        <x:v>C036</x:v>
      </x:c>
      <x:c r="C71" s="21" t="str">
        <x:v>U134</x:v>
      </x:c>
      <x:c r="D71" s="21" t="str">
        <x:v>A058</x:v>
      </x:c>
      <x:c r="E71" s="21" t="str">
        <x:v>部分覆盖</x:v>
      </x:c>
      <x:c r="F71" s="21" t="str">
        <x:v>示范性校内教学板块到官方试卷的范围映射；不等同单独取得模块成绩。</x:v>
      </x:c>
      <x:c r="G71" s="21" t="str">
        <x:v>AQ-MATH</x:v>
      </x:c>
    </x:row>
    <x:row r="72" ht="52" customHeight="1">
      <x:c r="A72" s="20" t="str">
        <x:v>M0071</x:v>
      </x:c>
      <x:c r="B72" s="21" t="str">
        <x:v>C036</x:v>
      </x:c>
      <x:c r="C72" s="21" t="str">
        <x:v>U136</x:v>
      </x:c>
      <x:c r="D72" s="21" t="str">
        <x:v>A058</x:v>
      </x:c>
      <x:c r="E72" s="21" t="str">
        <x:v>部分覆盖</x:v>
      </x:c>
      <x:c r="F72" s="21" t="str">
        <x:v>示范性校内教学板块到官方试卷的范围映射；不等同单独取得模块成绩。</x:v>
      </x:c>
      <x:c r="G72" s="21" t="str">
        <x:v>AQ-MATH</x:v>
      </x:c>
    </x:row>
    <x:row r="73" ht="52" customHeight="1">
      <x:c r="A73" s="20" t="str">
        <x:v>M0072</x:v>
      </x:c>
      <x:c r="B73" s="21" t="str">
        <x:v>C036</x:v>
      </x:c>
      <x:c r="C73" s="21" t="str">
        <x:v>U134</x:v>
      </x:c>
      <x:c r="D73" s="21" t="str">
        <x:v>A059</x:v>
      </x:c>
      <x:c r="E73" s="21" t="str">
        <x:v>部分覆盖</x:v>
      </x:c>
      <x:c r="F73" s="21" t="str">
        <x:v>示范性校内教学板块到官方试卷的范围映射；不等同单独取得模块成绩。</x:v>
      </x:c>
      <x:c r="G73" s="21" t="str">
        <x:v>AQ-MATH</x:v>
      </x:c>
    </x:row>
    <x:row r="74" ht="52" customHeight="1">
      <x:c r="A74" s="20" t="str">
        <x:v>M0073</x:v>
      </x:c>
      <x:c r="B74" s="21" t="str">
        <x:v>C036</x:v>
      </x:c>
      <x:c r="C74" s="21" t="str">
        <x:v>U135</x:v>
      </x:c>
      <x:c r="D74" s="21" t="str">
        <x:v>A059</x:v>
      </x:c>
      <x:c r="E74" s="21" t="str">
        <x:v>部分覆盖</x:v>
      </x:c>
      <x:c r="F74" s="21" t="str">
        <x:v>示范性校内教学板块到官方试卷的范围映射；不等同单独取得模块成绩。</x:v>
      </x:c>
      <x:c r="G74" s="21" t="str">
        <x:v>AQ-MATH</x:v>
      </x:c>
    </x:row>
    <x:row r="75" ht="52" customHeight="1">
      <x:c r="A75" s="20" t="str">
        <x:v>M0074</x:v>
      </x:c>
      <x:c r="B75" s="21" t="str">
        <x:v>C040</x:v>
      </x:c>
      <x:c r="C75" s="21" t="str">
        <x:v>U148</x:v>
      </x:c>
      <x:c r="D75" s="21" t="str">
        <x:v>A060</x:v>
      </x:c>
      <x:c r="E75" s="21" t="str">
        <x:v>部分覆盖</x:v>
      </x:c>
      <x:c r="F75" s="21" t="str">
        <x:v>示范性校内教学板块到官方试卷的范围映射；不等同单独取得模块成绩。</x:v>
      </x:c>
      <x:c r="G75" s="21" t="str">
        <x:v>P-UK-AL</x:v>
      </x:c>
    </x:row>
    <x:row r="76" ht="52" customHeight="1">
      <x:c r="A76" s="20" t="str">
        <x:v>M0075</x:v>
      </x:c>
      <x:c r="B76" s="21" t="str">
        <x:v>C040</x:v>
      </x:c>
      <x:c r="C76" s="21" t="str">
        <x:v>U148</x:v>
      </x:c>
      <x:c r="D76" s="21" t="str">
        <x:v>A061</x:v>
      </x:c>
      <x:c r="E76" s="21" t="str">
        <x:v>部分覆盖</x:v>
      </x:c>
      <x:c r="F76" s="21" t="str">
        <x:v>示范性校内教学板块到官方试卷的范围映射；不等同单独取得模块成绩。</x:v>
      </x:c>
      <x:c r="G76" s="21" t="str">
        <x:v>P-UK-AL</x:v>
      </x:c>
    </x:row>
    <x:row r="77" ht="52" customHeight="1">
      <x:c r="A77" s="20" t="str">
        <x:v>M0076</x:v>
      </x:c>
      <x:c r="B77" s="21" t="str">
        <x:v>C040</x:v>
      </x:c>
      <x:c r="C77" s="21" t="str">
        <x:v>U149</x:v>
      </x:c>
      <x:c r="D77" s="21" t="str">
        <x:v>A062</x:v>
      </x:c>
      <x:c r="E77" s="21" t="str">
        <x:v>部分覆盖</x:v>
      </x:c>
      <x:c r="F77" s="21" t="str">
        <x:v>示范性校内教学板块到官方试卷的范围映射；不等同单独取得模块成绩。</x:v>
      </x:c>
      <x:c r="G77" s="21" t="str">
        <x:v>P-UK-AL</x:v>
      </x:c>
    </x:row>
    <x:row r="78" ht="52" customHeight="1">
      <x:c r="A78" s="20" t="str">
        <x:v>M0077</x:v>
      </x:c>
      <x:c r="B78" s="21" t="str">
        <x:v>C040</x:v>
      </x:c>
      <x:c r="C78" s="21" t="str">
        <x:v>U150</x:v>
      </x:c>
      <x:c r="D78" s="21" t="str">
        <x:v>A062</x:v>
      </x:c>
      <x:c r="E78" s="21" t="str">
        <x:v>部分覆盖</x:v>
      </x:c>
      <x:c r="F78" s="21" t="str">
        <x:v>示范性校内教学板块到官方试卷的范围映射；不等同单独取得模块成绩。</x:v>
      </x:c>
      <x:c r="G78" s="21" t="str">
        <x:v>P-UK-AL</x:v>
      </x:c>
    </x:row>
    <x:row r="79" ht="52" customHeight="1">
      <x:c r="A79" s="20" t="str">
        <x:v>M0078</x:v>
      </x:c>
      <x:c r="B79" s="21" t="str">
        <x:v>C042</x:v>
      </x:c>
      <x:c r="C79" s="21" t="str">
        <x:v>U154</x:v>
      </x:c>
      <x:c r="D79" s="21" t="str">
        <x:v>A063</x:v>
      </x:c>
      <x:c r="E79" s="21" t="str">
        <x:v>部分覆盖</x:v>
      </x:c>
      <x:c r="F79" s="21" t="str">
        <x:v>示范性校内教学板块到官方试卷的范围映射；不等同单独取得模块成绩。</x:v>
      </x:c>
      <x:c r="G79" s="21" t="str">
        <x:v>OCR-A</x:v>
      </x:c>
    </x:row>
    <x:row r="80" ht="52" customHeight="1">
      <x:c r="A80" s="20" t="str">
        <x:v>M0079</x:v>
      </x:c>
      <x:c r="B80" s="21" t="str">
        <x:v>C042</x:v>
      </x:c>
      <x:c r="C80" s="21" t="str">
        <x:v>U154</x:v>
      </x:c>
      <x:c r="D80" s="21" t="str">
        <x:v>A064</x:v>
      </x:c>
      <x:c r="E80" s="21" t="str">
        <x:v>部分覆盖</x:v>
      </x:c>
      <x:c r="F80" s="21" t="str">
        <x:v>示范性校内教学板块到官方试卷的范围映射；不等同单独取得模块成绩。</x:v>
      </x:c>
      <x:c r="G80" s="21" t="str">
        <x:v>OCR-A</x:v>
      </x:c>
    </x:row>
    <x:row r="81" ht="52" customHeight="1">
      <x:c r="A81" s="20" t="str">
        <x:v>M0080</x:v>
      </x:c>
      <x:c r="B81" s="21" t="str">
        <x:v>C042</x:v>
      </x:c>
      <x:c r="C81" s="21" t="str">
        <x:v>U155</x:v>
      </x:c>
      <x:c r="D81" s="21" t="str">
        <x:v>A064</x:v>
      </x:c>
      <x:c r="E81" s="21" t="str">
        <x:v>部分覆盖</x:v>
      </x:c>
      <x:c r="F81" s="21" t="str">
        <x:v>示范性校内教学板块到官方试卷的范围映射；不等同单独取得模块成绩。</x:v>
      </x:c>
      <x:c r="G81" s="21" t="str">
        <x:v>OCR-A</x:v>
      </x:c>
    </x:row>
    <x:row r="82" ht="52" customHeight="1">
      <x:c r="A82" s="20" t="str">
        <x:v>M0081</x:v>
      </x:c>
      <x:c r="B82" s="21" t="str">
        <x:v>C042</x:v>
      </x:c>
      <x:c r="C82" s="21" t="str">
        <x:v>U154</x:v>
      </x:c>
      <x:c r="D82" s="21" t="str">
        <x:v>A065</x:v>
      </x:c>
      <x:c r="E82" s="21" t="str">
        <x:v>部分覆盖</x:v>
      </x:c>
      <x:c r="F82" s="21" t="str">
        <x:v>示范性校内教学板块到官方试卷的范围映射；不等同单独取得模块成绩。</x:v>
      </x:c>
      <x:c r="G82" s="21" t="str">
        <x:v>OCR-A</x:v>
      </x:c>
    </x:row>
    <x:row r="83" ht="52" customHeight="1">
      <x:c r="A83" s="20" t="str">
        <x:v>M0082</x:v>
      </x:c>
      <x:c r="B83" s="21" t="str">
        <x:v>C042</x:v>
      </x:c>
      <x:c r="C83" s="21" t="str">
        <x:v>U156</x:v>
      </x:c>
      <x:c r="D83" s="21" t="str">
        <x:v>A065</x:v>
      </x:c>
      <x:c r="E83" s="21" t="str">
        <x:v>部分覆盖</x:v>
      </x:c>
      <x:c r="F83" s="21" t="str">
        <x:v>示范性校内教学板块到官方试卷的范围映射；不等同单独取得模块成绩。</x:v>
      </x:c>
      <x:c r="G83" s="21" t="str">
        <x:v>OCR-A</x:v>
      </x:c>
    </x:row>
    <x:row r="84" ht="52" customHeight="1">
      <x:c r="A84" s="20" t="str">
        <x:v>M0083</x:v>
      </x:c>
      <x:c r="B84" s="21" t="str">
        <x:v>C044</x:v>
      </x:c>
      <x:c r="C84" s="21" t="str">
        <x:v>U160</x:v>
      </x:c>
      <x:c r="D84" s="21" t="str">
        <x:v>A066</x:v>
      </x:c>
      <x:c r="E84" s="21" t="str">
        <x:v>部分覆盖</x:v>
      </x:c>
      <x:c r="F84" s="21" t="str">
        <x:v>示范性校内教学板块到官方试卷的范围映射；不等同单独取得模块成绩。</x:v>
      </x:c>
      <x:c r="G84" s="21" t="str">
        <x:v>OCR-B</x:v>
      </x:c>
    </x:row>
    <x:row r="85" ht="52" customHeight="1">
      <x:c r="A85" s="20" t="str">
        <x:v>M0084</x:v>
      </x:c>
      <x:c r="B85" s="21" t="str">
        <x:v>C044</x:v>
      </x:c>
      <x:c r="C85" s="21" t="str">
        <x:v>U162</x:v>
      </x:c>
      <x:c r="D85" s="21" t="str">
        <x:v>A066</x:v>
      </x:c>
      <x:c r="E85" s="21" t="str">
        <x:v>部分覆盖</x:v>
      </x:c>
      <x:c r="F85" s="21" t="str">
        <x:v>示范性校内教学板块到官方试卷的范围映射；不等同单独取得模块成绩。</x:v>
      </x:c>
      <x:c r="G85" s="21" t="str">
        <x:v>OCR-B</x:v>
      </x:c>
    </x:row>
    <x:row r="86" ht="52" customHeight="1">
      <x:c r="A86" s="20" t="str">
        <x:v>M0085</x:v>
      </x:c>
      <x:c r="B86" s="21" t="str">
        <x:v>C044</x:v>
      </x:c>
      <x:c r="C86" s="21" t="str">
        <x:v>U160</x:v>
      </x:c>
      <x:c r="D86" s="21" t="str">
        <x:v>A067</x:v>
      </x:c>
      <x:c r="E86" s="21" t="str">
        <x:v>部分覆盖</x:v>
      </x:c>
      <x:c r="F86" s="21" t="str">
        <x:v>示范性校内教学板块到官方试卷的范围映射；不等同单独取得模块成绩。</x:v>
      </x:c>
      <x:c r="G86" s="21" t="str">
        <x:v>OCR-B</x:v>
      </x:c>
    </x:row>
    <x:row r="87" ht="52" customHeight="1">
      <x:c r="A87" s="20" t="str">
        <x:v>M0086</x:v>
      </x:c>
      <x:c r="B87" s="21" t="str">
        <x:v>C044</x:v>
      </x:c>
      <x:c r="C87" s="21" t="str">
        <x:v>U161</x:v>
      </x:c>
      <x:c r="D87" s="21" t="str">
        <x:v>A067</x:v>
      </x:c>
      <x:c r="E87" s="21" t="str">
        <x:v>部分覆盖</x:v>
      </x:c>
      <x:c r="F87" s="21" t="str">
        <x:v>示范性校内教学板块到官方试卷的范围映射；不等同单独取得模块成绩。</x:v>
      </x:c>
      <x:c r="G87" s="21" t="str">
        <x:v>OCR-B</x:v>
      </x:c>
    </x:row>
    <x:row r="88" ht="52" customHeight="1">
      <x:c r="A88" s="20" t="str">
        <x:v>M0087</x:v>
      </x:c>
      <x:c r="B88" s="21" t="str">
        <x:v>C044</x:v>
      </x:c>
      <x:c r="C88" s="21" t="str">
        <x:v>U160</x:v>
      </x:c>
      <x:c r="D88" s="21" t="str">
        <x:v>A068</x:v>
      </x:c>
      <x:c r="E88" s="21" t="str">
        <x:v>部分覆盖</x:v>
      </x:c>
      <x:c r="F88" s="21" t="str">
        <x:v>示范性校内教学板块到官方试卷的范围映射；不等同单独取得模块成绩。</x:v>
      </x:c>
      <x:c r="G88" s="21" t="str">
        <x:v>OCR-B</x:v>
      </x:c>
    </x:row>
    <x:row r="89" ht="52" customHeight="1">
      <x:c r="A89" s="20" t="str">
        <x:v>M0088</x:v>
      </x:c>
      <x:c r="B89" s="21" t="str">
        <x:v>C046</x:v>
      </x:c>
      <x:c r="C89" s="21" t="str">
        <x:v>U166</x:v>
      </x:c>
      <x:c r="D89" s="21" t="str">
        <x:v>A069</x:v>
      </x:c>
      <x:c r="E89" s="21" t="str">
        <x:v>主要对应</x:v>
      </x:c>
      <x:c r="F89" s="21" t="str">
        <x:v>AS U1+U2占完整AL40%；不要把AS认成全部AL的50%。</x:v>
      </x:c>
      <x:c r="G89" s="21" t="str">
        <x:v>WJ-MATH</x:v>
      </x:c>
    </x:row>
    <x:row r="90" ht="52" customHeight="1">
      <x:c r="A90" s="20" t="str">
        <x:v>M0089</x:v>
      </x:c>
      <x:c r="B90" s="21" t="str">
        <x:v>C046</x:v>
      </x:c>
      <x:c r="C90" s="21" t="str">
        <x:v>U167</x:v>
      </x:c>
      <x:c r="D90" s="21" t="str">
        <x:v>A070</x:v>
      </x:c>
      <x:c r="E90" s="21" t="str">
        <x:v>主要对应</x:v>
      </x:c>
      <x:c r="F90" s="21" t="str">
        <x:v>AS U1+U2占完整AL40%；不要把AS认成全部AL的50%。</x:v>
      </x:c>
      <x:c r="G90" s="21" t="str">
        <x:v>WJ-MATH</x:v>
      </x:c>
    </x:row>
    <x:row r="91" ht="52" customHeight="1">
      <x:c r="A91" s="20" t="str">
        <x:v>M0090</x:v>
      </x:c>
      <x:c r="B91" s="21" t="str">
        <x:v>C046</x:v>
      </x:c>
      <x:c r="C91" s="21" t="str">
        <x:v>U168</x:v>
      </x:c>
      <x:c r="D91" s="21" t="str">
        <x:v>A071</x:v>
      </x:c>
      <x:c r="E91" s="21" t="str">
        <x:v>主要对应</x:v>
      </x:c>
      <x:c r="F91" s="21" t="str">
        <x:v>AS U1+U2占完整AL40%；不要把AS认成全部AL的50%。</x:v>
      </x:c>
      <x:c r="G91" s="21" t="str">
        <x:v>WJ-MATH</x:v>
      </x:c>
    </x:row>
    <x:row r="92" ht="52" customHeight="1">
      <x:c r="A92" s="20" t="str">
        <x:v>M0091</x:v>
      </x:c>
      <x:c r="B92" s="21" t="str">
        <x:v>C046</x:v>
      </x:c>
      <x:c r="C92" s="21" t="str">
        <x:v>U169</x:v>
      </x:c>
      <x:c r="D92" s="21" t="str">
        <x:v>A072</x:v>
      </x:c>
      <x:c r="E92" s="21" t="str">
        <x:v>主要对应</x:v>
      </x:c>
      <x:c r="F92" s="21" t="str">
        <x:v>AS U1+U2占完整AL40%；不要把AS认成全部AL的50%。</x:v>
      </x:c>
      <x:c r="G92" s="21" t="str">
        <x:v>WJ-MATH</x:v>
      </x:c>
    </x:row>
    <x:row r="93" ht="52" customHeight="1">
      <x:c r="A93" s="20" t="str">
        <x:v>M0092</x:v>
      </x:c>
      <x:c r="B93" s="21" t="str">
        <x:v>C051</x:v>
      </x:c>
      <x:c r="C93" s="21" t="str">
        <x:v>U186</x:v>
      </x:c>
      <x:c r="D93" s="21" t="str">
        <x:v>A073</x:v>
      </x:c>
      <x:c r="E93" s="21" t="str">
        <x:v>主要对应</x:v>
      </x:c>
      <x:c r="F93" s="21" t="str">
        <x:v>项目教学板块与NEA关联，仍属于整门线性资格。</x:v>
      </x:c>
      <x:c r="G93" s="21" t="str">
        <x:v>AQ-CS</x:v>
      </x:c>
    </x:row>
  </x:sheetData>
  <x:dataValidations count="3">
    <x:dataValidation type="list" sqref="B2:B3000">
      <x:formula1>INDIRECT("'02_课程'!$A$2:$A$3000")</x:formula1>
    </x:dataValidation>
    <x:dataValidation type="list" sqref="C2:C3000">
      <x:formula1>INDIRECT("'03_单元库'!$A$2:$A$3000")</x:formula1>
    </x:dataValidation>
    <x:dataValidation type="list" sqref="D2:D3000">
      <x:formula1>INDIRECT("'06_考核组成'!$A$2:$A$3000")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dd369c7a61416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3" hidden="0" customWidth="1"/>
    <x:col min="3" max="3" width="16" hidden="0" customWidth="1"/>
    <x:col min="4" max="4" width="70" hidden="0" customWidth="1"/>
    <x:col min="5" max="5" width="80" hidden="0" customWidth="1"/>
    <x:col min="6" max="6" width="40" hidden="0" customWidth="1"/>
  </x:cols>
  <x:sheetData>
    <x:row r="1" ht="40" customHeight="1">
      <x:c r="A1" s="13" t="str">
        <x:v>机构</x:v>
      </x:c>
      <x:c r="B1" s="13" t="str">
        <x:v>资格体系</x:v>
      </x:c>
      <x:c r="C1" s="13" t="str">
        <x:v>本工作簿课程数</x:v>
      </x:c>
      <x:c r="D1" s="13" t="str">
        <x:v>示例覆盖</x:v>
      </x:c>
      <x:c r="E1" s="13" t="str">
        <x:v>不可混淆的边界</x:v>
      </x:c>
      <x:c r="F1" s="13" t="str">
        <x:v>来源编号</x:v>
      </x:c>
    </x:row>
    <x:row r="2" ht="52" customHeight="1">
      <x:c r="A2" s="20" t="str">
        <x:v>Cambridge International</x:v>
      </x:c>
      <x:c r="B2" s="21" t="str">
        <x:v>International AS / A Level</x:v>
      </x:c>
      <x:c r="C2" s="24" t="n">
        <x:f>COUNTIF('94_课程分类与版本'!$B$2:$B$520,"CAIE-AL")</x:f>
        <x:v>46</x:v>
      </x:c>
      <x:c r="D2" s="21" t="str">
        <x:v>原10门含详细结构示例；本轮扩至46条课程目录。新增条目多数未展开资格与试卷。</x:v>
      </x:c>
      <x:c r="E2" s="21" t="str">
        <x:v>Syllabus code与Paper号分离；有AS-only路径；题面变体不造单元</x:v>
      </x:c>
      <x:c r="F2" s="21" t="str">
        <x:v>C-9709-PDF;C-9231-PDF</x:v>
      </x:c>
    </x:row>
    <x:row r="3" ht="52" customHeight="1">
      <x:c r="A3" s="20" t="str">
        <x:v>Pearson Edexcel</x:v>
      </x:c>
      <x:c r="B3" s="21" t="str">
        <x:v>International AS / A Level／IAL-only</x:v>
      </x:c>
      <x:c r="C3" s="24" t="n">
        <x:f>COUNTIF('94_课程分类与版本'!$B$2:$B$520,"PEARSON-IAL")</x:f>
        <x:v>21</x:v>
      </x:c>
      <x:c r="D3" s="21" t="str">
        <x:v>完整覆盖上传CSV的19个科目组，并增加Greek与Pure Mathematics；含14单元数学共享池</x:v>
      </x:c>
      <x:c r="E3" s="21" t="str">
        <x:v>Cash-in分IAS/IAL；Unit code与试卷/01分离；Law仅IAL且无伪单元</x:v>
      </x:c>
      <x:c r="F3" s="21" t="str">
        <x:v>P-MAN;P-MATH;P-UMS</x:v>
      </x:c>
    </x:row>
    <x:row r="4" ht="52" customHeight="1">
      <x:c r="A4" s="20" t="str">
        <x:v>Pearson Edexcel</x:v>
      </x:c>
      <x:c r="B4" s="21" t="str">
        <x:v>英国 GCE AS／A Level</x:v>
      </x:c>
      <x:c r="C4" s="24" t="n">
        <x:f>COUNTIF('94_课程分类与版本'!$B$2:$B$520,"PEARSON-UK")</x:f>
        <x:v>2</x:v>
      </x:c>
      <x:c r="D4" s="21" t="str">
        <x:v>8MA0与9MA0两个课程；学校按纯数/统计/力学组织</x:v>
      </x:c>
      <x:c r="E4" s="21" t="str">
        <x:v>线性；与International A Level不混用；AS不兑换进AL</x:v>
      </x:c>
      <x:c r="F4" s="21" t="str">
        <x:v>P-UK-AS;P-UK-AL</x:v>
      </x:c>
    </x:row>
    <x:row r="5" ht="52" customHeight="1">
      <x:c r="A5" s="20" t="str">
        <x:v>OxfordAQA</x:v>
      </x:c>
      <x:c r="B5" s="21" t="str">
        <x:v>International AS / A Level</x:v>
      </x:c>
      <x:c r="C5" s="24" t="n">
        <x:f>COUNTIF('94_课程分类与版本'!$B$2:$B$520,"OXFORD-AL")</x:f>
        <x:v>13</x:v>
      </x:c>
      <x:c r="D5" s="21" t="str">
        <x:v>原4门保留结构示例；本轮13条课程目录。新版与旧码按年份核对，详见94/96。</x:v>
      </x:c>
      <x:c r="E5" s="21" t="str">
        <x:v>独立于AQA UK；数学五个可选单元池不等于五个全部必修</x:v>
      </x:c>
      <x:c r="F5" s="21" t="str">
        <x:v>OA-MATH;OA-PHYSICS;OA-BIOLOGY;OA-CHEMISTRY</x:v>
      </x:c>
    </x:row>
    <x:row r="6" ht="52" customHeight="1">
      <x:c r="A6" s="20" t="str">
        <x:v>AQA</x:v>
      </x:c>
      <x:c r="B6" s="21" t="str">
        <x:v>英国 GCE A Level</x:v>
      </x:c>
      <x:c r="C6" s="24" t="n">
        <x:f>COUNTIF('94_课程分类与版本'!$B$2:$B$520,"AQA-UK")</x:f>
        <x:v>5</x:v>
      </x:c>
      <x:c r="D6" s="21" t="str">
        <x:v>数学、物理、化学、生物、计算机科学</x:v>
      </x:c>
      <x:c r="E6" s="21" t="str">
        <x:v>校内教学板块与交叉试卷分离；计算机包含真实NEA示例</x:v>
      </x:c>
      <x:c r="F6" s="21" t="str">
        <x:v>AQ-MATH;AQ-PHYSICS;AQ-CHEMISTRY;AQ-BIOLOGY;AQ-CS</x:v>
      </x:c>
    </x:row>
    <x:row r="7" ht="52" customHeight="1">
      <x:c r="A7" s="20" t="str">
        <x:v>OCR</x:v>
      </x:c>
      <x:c r="B7" s="21" t="str">
        <x:v>英国 GCE AS／A Level</x:v>
      </x:c>
      <x:c r="C7" s="24" t="n">
        <x:f>COUNTIF('94_课程分类与版本'!$B$2:$B$520,"OCR-UK")</x:f>
        <x:v>4</x:v>
      </x:c>
      <x:c r="D7" s="21" t="str">
        <x:v>Maths A：H230/H240；Maths B MEI：H630/H640</x:v>
      </x:c>
      <x:c r="E7" s="21" t="str">
        <x:v>A与B规范独立；AS与AL独立；纯数可映射到多张试卷</x:v>
      </x:c>
      <x:c r="F7" s="21" t="str">
        <x:v>OCR-A;OCR-B</x:v>
      </x:c>
    </x:row>
    <x:row r="8" ht="52" customHeight="1">
      <x:c r="A8" s="20" t="str">
        <x:v>WJEC</x:v>
      </x:c>
      <x:c r="B8" s="21" t="str">
        <x:v>威尔士 GCE AS / A Level</x:v>
      </x:c>
      <x:c r="C8" s="24" t="n">
        <x:f>COUNTIF('94_课程分类与版本'!$B$2:$B$520,"WJEC-WALES")</x:f>
        <x:v>1</x:v>
      </x:c>
      <x:c r="D8" s="21" t="str">
        <x:v>数学四单元：AS U1/U2，A2 U3/U4</x:v>
      </x:c>
      <x:c r="E8" s="21" t="str">
        <x:v>AS占AL40%；Raw与UMS区分；不与Eduqas英格兰线性体系混用</x:v>
      </x:c>
      <x:c r="F8" s="21" t="str">
        <x:v>WJ-MATH;WJ-PAGE</x:v>
      </x:c>
    </x:row>
    <x:row r="9" ht="52" customHeight="1">
      <x:c r="A9" s="20" t="str">
        <x:v>WJEC Eduqas</x:v>
      </x:c>
      <x:c r="B9" s="21" t="str">
        <x:v>英格兰 GCE A Level</x:v>
      </x:c>
      <x:c r="C9" s="24" t="n">
        <x:f>COUNTIF('94_课程分类与版本'!$B$2:$B$520,"EDUQAS-UK")</x:f>
        <x:v>2</x:v>
      </x:c>
      <x:c r="D9" s="21" t="str">
        <x:v>Business、Computer Science；仅纳入AL示例</x:v>
      </x:c>
      <x:c r="E9" s="21" t="str">
        <x:v>AS退场信息单独看官网；不创建可新开AS；校内分块不是官方模块</x:v>
      </x:c>
      <x:c r="F9" s="21" t="str">
        <x:v>EDU-BUS;EDU-CS</x:v>
      </x:c>
    </x:row>
    <x:row r="10" ht="52" customHeight="1">
      <x:c r="A10" s="20" t="str">
        <x:v>CCEA</x:v>
      </x:c>
      <x:c r="B10" s="21" t="str">
        <x:v>北爱尔兰 GCE AS / A Level</x:v>
      </x:c>
      <x:c r="C10" s="24" t="n">
        <x:f>COUNTIF('94_课程分类与版本'!$B$2:$B$520,"CCEA-NI")</x:f>
        <x:v>1</x:v>
      </x:c>
      <x:c r="D10" s="21" t="str">
        <x:v>数学AS1/AS2/A21/A22</x:v>
      </x:c>
      <x:c r="E10" s="21" t="str">
        <x:v>AS占AL40%；2210分类码不是唯一报名代码；官方文本镜像的限制明确</x:v>
      </x:c>
      <x:c r="F10" s="21" t="str">
        <x:v>CCEA-MATH;CCEA-SCHOOL</x:v>
      </x:c>
    </x:row>
    <x:row r="11" ht="52" customHeight="1">
      <x:c r="A11" s="20" t="str">
        <x:v>校内示例</x:v>
      </x:c>
      <x:c r="B11" s="21" t="str">
        <x:v>非考试局资格</x:v>
      </x:c>
      <x:c r="C11" s="24" t="n">
        <x:f>COUNTIF('94_课程分类与版本'!$B$2:$B$520,"SCHOOL")</x:f>
        <x:v>1</x:v>
      </x:c>
      <x:c r="D11" s="21" t="str">
        <x:v>数学衔接与拓展</x:v>
      </x:c>
      <x:c r="E11" s="21" t="str">
        <x:v>代码未设置仍可创建；无官方资格出口；校内板块显式标记</x:v>
      </x:c>
      <x:c r="F11" s="21" t="str">
        <x:v>SCHOOL</x:v>
      </x:c>
    </x:row>
  </x:sheetData>
  <x:pageMargins left="0.7" right="0.7" top="0.75" bottom="0.75" header="0.3" footer="0.3"/>
  <x:tableParts count="1">
    <x:tablePart xmlns:r="http://schemas.openxmlformats.org/officeDocument/2006/relationships" r:id="Rd53ec822e9d24a4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3" hidden="0" customWidth="1"/>
    <x:col min="3" max="3" width="34" hidden="0" customWidth="1"/>
    <x:col min="4" max="4" width="55" hidden="0" customWidth="1"/>
    <x:col min="5" max="5" width="16" hidden="0" customWidth="1"/>
    <x:col min="6" max="6" width="80" hidden="0" customWidth="1"/>
    <x:col min="7" max="7" width="95" hidden="0" customWidth="1"/>
  </x:cols>
  <x:sheetData>
    <x:row r="1" ht="40" customHeight="1">
      <x:c r="A1" s="13" t="str">
        <x:v>来源编号</x:v>
      </x:c>
      <x:c r="B1" s="13" t="str">
        <x:v>资料名称</x:v>
      </x:c>
      <x:c r="C1" s="13" t="str">
        <x:v>来源类型</x:v>
      </x:c>
      <x:c r="D1" s="13" t="str">
        <x:v>版本／适用快照</x:v>
      </x:c>
      <x:c r="E1" s="13" t="str">
        <x:v>核对日期</x:v>
      </x:c>
      <x:c r="F1" s="13" t="str">
        <x:v>支持范围／限制</x:v>
      </x:c>
      <x:c r="G1" s="13" t="str">
        <x:v>URL／文件位置</x:v>
      </x:c>
    </x:row>
    <x:row r="2" ht="52" customHeight="1">
      <x:c r="A2" s="20" t="str">
        <x:v>P-MAN</x:v>
      </x:c>
      <x:c r="B2" s="21" t="str">
        <x:v>Pearson Information Manual 2025/26 — IAL</x:v>
      </x:c>
      <x:c r="C2" s="21" t="str">
        <x:v>官方来源</x:v>
      </x:c>
      <x:c r="D2" s="21" t="str">
        <x:v>2025/26 手册</x:v>
      </x:c>
      <x:c r="E2" s="21" t="str">
        <x:v>2026-09-12</x:v>
      </x:c>
      <x:c r="F2" s="21" t="str">
        <x:v>单位与cash-in代码、科目及可用资格结构</x:v>
      </x:c>
      <x:c r="G2" s="21" t="str">
        <x:v>https://qualifications.pearson.com/content/dam/pdf/Support/Information-manual/4-ial-2025-2026.pdf</x:v>
      </x:c>
    </x:row>
    <x:row r="3" ht="52" customHeight="1">
      <x:c r="A3" s="20" t="str">
        <x:v>P-UMS</x:v>
      </x:c>
      <x:c r="B3" s="21" t="str">
        <x:v>Pearson June 2026 IAL grade boundaries</x:v>
      </x:c>
      <x:c r="C3" s="21" t="str">
        <x:v>官方来源</x:v>
      </x:c>
      <x:c r="D3" s="21" t="str">
        <x:v>June 2026 单元及cash-in分数线表，仅取Max Mark元数据</x:v>
      </x:c>
      <x:c r="E3" s="21" t="str">
        <x:v>2026-09-12</x:v>
      </x:c>
      <x:c r="F3" s="21" t="str">
        <x:v>原始满分与UMS满分；不导入等级分界线</x:v>
      </x:c>
      <x:c r="G3" s="21" t="str">
        <x:v>https://qualifications.pearson.com/content/dam/pdf/Support/Grade-boundaries/International-A-level/grade-boundaries-june-2026-international-advanced-level.pdf</x:v>
      </x:c>
    </x:row>
    <x:row r="4" ht="52" customHeight="1">
      <x:c r="A4" s="20" t="str">
        <x:v>P-MATH</x:v>
      </x:c>
      <x:c r="B4" s="21" t="str">
        <x:v>Pearson IAL Mathematics / Further / Pure</x:v>
      </x:c>
      <x:c r="C4" s="21" t="str">
        <x:v>官方来源</x:v>
      </x:c>
      <x:c r="D4" s="21" t="str">
        <x:v>Specification Issue 3（2019）；代码以2025/26手册交叉核对</x:v>
      </x:c>
      <x:c r="E4" s="21" t="str">
        <x:v>2026-09-12</x:v>
      </x:c>
      <x:c r="F4" s="21" t="str">
        <x:v>14单元共享池、资格组合、单元名称及考试结构</x:v>
      </x:c>
      <x:c r="G4" s="21" t="str">
        <x:v>https://qualifications.pearson.com/content/dam/pdf/International%20Advanced%20Level/Mathematics/2018/Specification-and-Sample-Assessment/international-a-level-maths-spec.pdf</x:v>
      </x:c>
    </x:row>
    <x:row r="5" ht="52" customHeight="1">
      <x:c r="A5" s="20" t="str">
        <x:v>P-ACCOUNTING</x:v>
      </x:c>
      <x:c r="B5" s="21" t="str">
        <x:v>Pearson IAL Accounting specification</x:v>
      </x:c>
      <x:c r="C5" s="21" t="str">
        <x:v>官方来源</x:v>
      </x:c>
      <x:c r="D5" s="21" t="str">
        <x:v>Specification Issue 2，September 2018</x:v>
      </x:c>
      <x:c r="E5" s="21" t="str">
        <x:v>2026-09-12</x:v>
      </x:c>
      <x:c r="F5" s="21" t="str">
        <x:v>课程与单元标题、阶段和考核性质</x:v>
      </x:c>
      <x:c r="G5" s="21" t="str">
        <x:v>https://qualifications.pearson.com/content/dam/pdf/International%20Advanced%20Level/Accounting/2015/specification-and-sample-assessments/pearson-edexcel-ial-accounting-specification.pdf</x:v>
      </x:c>
    </x:row>
    <x:row r="6" ht="52" customHeight="1">
      <x:c r="A6" s="20" t="str">
        <x:v>P-ARABIC</x:v>
      </x:c>
      <x:c r="B6" s="21" t="str">
        <x:v>Pearson IAL Arabic specification</x:v>
      </x:c>
      <x:c r="C6" s="21" t="str">
        <x:v>官方来源</x:v>
      </x:c>
      <x:c r="D6" s="21" t="str">
        <x:v>Specification Issue 3，June 2018</x:v>
      </x:c>
      <x:c r="E6" s="21" t="str">
        <x:v>2026-09-12</x:v>
      </x:c>
      <x:c r="F6" s="21" t="str">
        <x:v>课程与单元标题、阶段和考核性质</x:v>
      </x:c>
      <x:c r="G6" s="21" t="str">
        <x:v>https://qualifications.pearson.com/content/dam/pdf/International%20Advanced%20Level/arabic/2016/specification-and-sample-assessments/ial-arabic-specification.pdf</x:v>
      </x:c>
    </x:row>
    <x:row r="7" ht="52" customHeight="1">
      <x:c r="A7" s="20" t="str">
        <x:v>P-BIOLOGY</x:v>
      </x:c>
      <x:c r="B7" s="21" t="str">
        <x:v>Pearson IAL Biology specification</x:v>
      </x:c>
      <x:c r="C7" s="21" t="str">
        <x:v>官方来源</x:v>
      </x:c>
      <x:c r="D7" s="21" t="str">
        <x:v>读取到的来源版本；非全量考试报名目录</x:v>
      </x:c>
      <x:c r="E7" s="21" t="str">
        <x:v>2026-09-12</x:v>
      </x:c>
      <x:c r="F7" s="21" t="str">
        <x:v>课程与单元标题、阶段和考核性质</x:v>
      </x:c>
      <x:c r="G7" s="21" t="str">
        <x:v>https://qualifications.pearson.com/content/dam/pdf/International%20Advanced%20Level/Biology/2018/Specification-and-Sample-Assessment/International-A-Level-Biology-Spec.pdf</x:v>
      </x:c>
    </x:row>
    <x:row r="8" ht="52" customHeight="1">
      <x:c r="A8" s="20" t="str">
        <x:v>P-BUSINESS</x:v>
      </x:c>
      <x:c r="B8" s="21" t="str">
        <x:v>Pearson IAL Business specification</x:v>
      </x:c>
      <x:c r="C8" s="21" t="str">
        <x:v>官方来源</x:v>
      </x:c>
      <x:c r="D8" s="21" t="str">
        <x:v>读取到的来源版本；非全量考试报名目录</x:v>
      </x:c>
      <x:c r="E8" s="21" t="str">
        <x:v>2026-09-12</x:v>
      </x:c>
      <x:c r="F8" s="21" t="str">
        <x:v>课程与单元标题、阶段和考核性质</x:v>
      </x:c>
      <x:c r="G8" s="21" t="str">
        <x:v>https://qualifications.pearson.com/content/dam/pdf/International%20Advanced%20Level/Business/2018/Specification-and-Sample-Assessment/International-A-Level-Business-Spec.pdf</x:v>
      </x:c>
    </x:row>
    <x:row r="9" ht="52" customHeight="1">
      <x:c r="A9" s="20" t="str">
        <x:v>P-CHEMISTRY</x:v>
      </x:c>
      <x:c r="B9" s="21" t="str">
        <x:v>Pearson IAL Chemistry specification</x:v>
      </x:c>
      <x:c r="C9" s="21" t="str">
        <x:v>官方来源</x:v>
      </x:c>
      <x:c r="D9" s="21" t="str">
        <x:v>读取到的来源版本；非全量考试报名目录</x:v>
      </x:c>
      <x:c r="E9" s="21" t="str">
        <x:v>2026-09-12</x:v>
      </x:c>
      <x:c r="F9" s="21" t="str">
        <x:v>课程与单元标题、阶段和考核性质</x:v>
      </x:c>
      <x:c r="G9" s="21" t="str">
        <x:v>https://qualifications.pearson.com/content/dam/pdf/International%20Advanced%20Level/Chemistry/2018/Specification-and-Sample-Assessment/International-A-Level-Chemistry-Spec.pdf</x:v>
      </x:c>
    </x:row>
    <x:row r="10" ht="52" customHeight="1">
      <x:c r="A10" s="20" t="str">
        <x:v>P-ECONOMICS</x:v>
      </x:c>
      <x:c r="B10" s="21" t="str">
        <x:v>Pearson IAL Economics specification</x:v>
      </x:c>
      <x:c r="C10" s="21" t="str">
        <x:v>官方来源</x:v>
      </x:c>
      <x:c r="D10" s="21" t="str">
        <x:v>读取到的来源版本；非全量考试报名目录</x:v>
      </x:c>
      <x:c r="E10" s="21" t="str">
        <x:v>2026-09-12</x:v>
      </x:c>
      <x:c r="F10" s="21" t="str">
        <x:v>课程与单元标题、阶段和考核性质</x:v>
      </x:c>
      <x:c r="G10" s="21" t="str">
        <x:v>https://qualifications.pearson.com/content/dam/pdf/International%20Advanced%20Level/Economics/2018/Specification-and-Sample-Assessment/International-A-Level-Economics-spec.pdf</x:v>
      </x:c>
    </x:row>
    <x:row r="11" ht="52" customHeight="1">
      <x:c r="A11" s="20" t="str">
        <x:v>P-ENGLISHLANGUAGE</x:v>
      </x:c>
      <x:c r="B11" s="21" t="str">
        <x:v>Pearson IAL English Language specification</x:v>
      </x:c>
      <x:c r="C11" s="21" t="str">
        <x:v>官方来源</x:v>
      </x:c>
      <x:c r="D11" s="21" t="str">
        <x:v>Specification Issue 4，February 2026（URL文件名仍含iss3）</x:v>
      </x:c>
      <x:c r="E11" s="21" t="str">
        <x:v>2026-09-12</x:v>
      </x:c>
      <x:c r="F11" s="21" t="str">
        <x:v>课程与单元标题、阶段和考核性质</x:v>
      </x:c>
      <x:c r="G11" s="21" t="str">
        <x:v>https://qualifications.pearson.com/content/dam/pdf/International%20Advanced%20Level/english-language/2015/specification-and-sample-assessments/9781446954027-ial-englang-iss3.pdf</x:v>
      </x:c>
    </x:row>
    <x:row r="12" ht="52" customHeight="1">
      <x:c r="A12" s="20" t="str">
        <x:v>P-ENGLISHLITERATURE</x:v>
      </x:c>
      <x:c r="B12" s="21" t="str">
        <x:v>Pearson IAL English Literature specification</x:v>
      </x:c>
      <x:c r="C12" s="21" t="str">
        <x:v>官方来源</x:v>
      </x:c>
      <x:c r="D12" s="21" t="str">
        <x:v>Specification Issue 7，February 2026（URL文件名仍含iss6）</x:v>
      </x:c>
      <x:c r="E12" s="21" t="str">
        <x:v>2026-09-12</x:v>
      </x:c>
      <x:c r="F12" s="21" t="str">
        <x:v>课程与单元标题、阶段和考核性质</x:v>
      </x:c>
      <x:c r="G12" s="21" t="str">
        <x:v>https://qualifications.pearson.com/content/dam/pdf/International%20Advanced%20Level/english-literature/2015/specification-and-sample-assessments/9781446954058-ial-englit-iss6-9-spec-240521pm.pdf</x:v>
      </x:c>
    </x:row>
    <x:row r="13" ht="52" customHeight="1">
      <x:c r="A13" s="20" t="str">
        <x:v>P-INFORMATIONTECHNOLOGY</x:v>
      </x:c>
      <x:c r="B13" s="21" t="str">
        <x:v>Pearson IAL Information Technology specification</x:v>
      </x:c>
      <x:c r="C13" s="21" t="str">
        <x:v>官方来源</x:v>
      </x:c>
      <x:c r="D13" s="21" t="str">
        <x:v>Specification Issue 2，February 2021</x:v>
      </x:c>
      <x:c r="E13" s="21" t="str">
        <x:v>2026-09-12</x:v>
      </x:c>
      <x:c r="F13" s="21" t="str">
        <x:v>课程与单元标题、阶段和考核性质</x:v>
      </x:c>
      <x:c r="G13" s="21" t="str">
        <x:v>https://qualifications.pearson.com/content/dam/pdf/International%20Advanced%20Level/Information-Technology/2018/specification-and-sample-assessment/International-AL-Information-Technology-Spec.pdf</x:v>
      </x:c>
    </x:row>
    <x:row r="14" ht="52" customHeight="1">
      <x:c r="A14" s="20" t="str">
        <x:v>C-9709</x:v>
      </x:c>
      <x:c r="B14" s="21" t="str">
        <x:v>Cambridge International AS &amp; A Level Mathematics (9709)</x:v>
      </x:c>
      <x:c r="C14" s="21" t="str">
        <x:v>官方来源</x:v>
      </x:c>
      <x:c r="D14" s="21" t="str">
        <x:v>读取到的来源版本；非全量考试报名目录</x:v>
      </x:c>
      <x:c r="E14" s="21" t="str">
        <x:v>2026-09-12</x:v>
      </x:c>
      <x:c r="F14" s="21" t="str">
        <x:v>官方课程名称/代码；学校教学板块另行标明</x:v>
      </x:c>
      <x:c r="G14" s="21" t="str">
        <x:v>https://www.cambridgeinternational.org/programmes-and-qualifications/cambridge-international-as-and-a-level-mathematics-9709/</x:v>
      </x:c>
    </x:row>
    <x:row r="15" ht="52" customHeight="1">
      <x:c r="A15" s="20" t="str">
        <x:v>C-9231</x:v>
      </x:c>
      <x:c r="B15" s="21" t="str">
        <x:v>Cambridge International AS &amp; A Level Further Mathematics (9231)</x:v>
      </x:c>
      <x:c r="C15" s="21" t="str">
        <x:v>官方来源</x:v>
      </x:c>
      <x:c r="D15" s="21" t="str">
        <x:v>读取到的来源版本；非全量考试报名目录</x:v>
      </x:c>
      <x:c r="E15" s="21" t="str">
        <x:v>2026-09-12</x:v>
      </x:c>
      <x:c r="F15" s="21" t="str">
        <x:v>官方课程名称/代码；学校教学板块另行标明</x:v>
      </x:c>
      <x:c r="G15" s="21" t="str">
        <x:v>https://www.cambridgeinternational.org/programmes-and-qualifications/cambridge-international-as-and-a-level-mathematics-further-9231/</x:v>
      </x:c>
    </x:row>
    <x:row r="16" ht="52" customHeight="1">
      <x:c r="A16" s="20" t="str">
        <x:v>C-9618</x:v>
      </x:c>
      <x:c r="B16" s="21" t="str">
        <x:v>Cambridge International AS &amp; A Level Computer Science (9618)</x:v>
      </x:c>
      <x:c r="C16" s="21" t="str">
        <x:v>官方来源</x:v>
      </x:c>
      <x:c r="D16" s="21" t="str">
        <x:v>读取到的来源版本；非全量考试报名目录</x:v>
      </x:c>
      <x:c r="E16" s="21" t="str">
        <x:v>2026-09-12</x:v>
      </x:c>
      <x:c r="F16" s="21" t="str">
        <x:v>官方课程名称/代码；学校教学板块另行标明</x:v>
      </x:c>
      <x:c r="G16" s="21" t="str">
        <x:v>https://www.cambridgeinternational.org/programmes-and-qualifications/cambridge-international-as-and-a-level-computer-science-9618/</x:v>
      </x:c>
    </x:row>
    <x:row r="17" ht="52" customHeight="1">
      <x:c r="A17" s="20" t="str">
        <x:v>C-9702</x:v>
      </x:c>
      <x:c r="B17" s="21" t="str">
        <x:v>Cambridge International AS &amp; A Level Physics (9702)</x:v>
      </x:c>
      <x:c r="C17" s="21" t="str">
        <x:v>官方来源</x:v>
      </x:c>
      <x:c r="D17" s="21" t="str">
        <x:v>读取到的来源版本；非全量考试报名目录</x:v>
      </x:c>
      <x:c r="E17" s="21" t="str">
        <x:v>2026-09-12</x:v>
      </x:c>
      <x:c r="F17" s="21" t="str">
        <x:v>官方课程名称/代码；学校教学板块另行标明</x:v>
      </x:c>
      <x:c r="G17" s="21" t="str">
        <x:v>https://www.cambridgeinternational.org/programmes-and-qualifications/cambridge-international-as-and-a-level-physics-9702/</x:v>
      </x:c>
    </x:row>
    <x:row r="18" ht="52" customHeight="1">
      <x:c r="A18" s="20" t="str">
        <x:v>C-9701</x:v>
      </x:c>
      <x:c r="B18" s="21" t="str">
        <x:v>Cambridge International AS &amp; A Level Chemistry (9701)</x:v>
      </x:c>
      <x:c r="C18" s="21" t="str">
        <x:v>官方来源</x:v>
      </x:c>
      <x:c r="D18" s="21" t="str">
        <x:v>读取到的来源版本；非全量考试报名目录</x:v>
      </x:c>
      <x:c r="E18" s="21" t="str">
        <x:v>2026-09-12</x:v>
      </x:c>
      <x:c r="F18" s="21" t="str">
        <x:v>官方课程名称/代码；学校教学板块另行标明</x:v>
      </x:c>
      <x:c r="G18" s="21" t="str">
        <x:v>https://www.cambridgeinternational.org/programmes-and-qualifications/cambridge-international-as-and-a-level-chemistry-9701/</x:v>
      </x:c>
    </x:row>
    <x:row r="19" ht="52" customHeight="1">
      <x:c r="A19" s="20" t="str">
        <x:v>C-9700</x:v>
      </x:c>
      <x:c r="B19" s="21" t="str">
        <x:v>Cambridge International AS &amp; A Level Biology (9700)</x:v>
      </x:c>
      <x:c r="C19" s="21" t="str">
        <x:v>官方来源</x:v>
      </x:c>
      <x:c r="D19" s="21" t="str">
        <x:v>读取到的来源版本；非全量考试报名目录</x:v>
      </x:c>
      <x:c r="E19" s="21" t="str">
        <x:v>2026-09-12</x:v>
      </x:c>
      <x:c r="F19" s="21" t="str">
        <x:v>官方课程名称/代码；学校教学板块另行标明</x:v>
      </x:c>
      <x:c r="G19" s="21" t="str">
        <x:v>https://www.cambridgeinternational.org/programmes-and-qualifications/cambridge-international-as-and-a-level-biology-9700/</x:v>
      </x:c>
    </x:row>
    <x:row r="20" ht="52" customHeight="1">
      <x:c r="A20" s="20" t="str">
        <x:v>C-9609</x:v>
      </x:c>
      <x:c r="B20" s="21" t="str">
        <x:v>Cambridge International AS &amp; A Level Business (9609)</x:v>
      </x:c>
      <x:c r="C20" s="21" t="str">
        <x:v>官方来源</x:v>
      </x:c>
      <x:c r="D20" s="21" t="str">
        <x:v>读取到的来源版本；非全量考试报名目录</x:v>
      </x:c>
      <x:c r="E20" s="21" t="str">
        <x:v>2026-09-12</x:v>
      </x:c>
      <x:c r="F20" s="21" t="str">
        <x:v>官方课程名称/代码；学校教学板块另行标明</x:v>
      </x:c>
      <x:c r="G20" s="21" t="str">
        <x:v>https://www.cambridgeinternational.org/programmes-and-qualifications/cambridge-international-as-and-a-level-business-9609/</x:v>
      </x:c>
    </x:row>
    <x:row r="21" ht="52" customHeight="1">
      <x:c r="A21" s="20" t="str">
        <x:v>C-9708</x:v>
      </x:c>
      <x:c r="B21" s="21" t="str">
        <x:v>Cambridge International AS &amp; A Level Economics (9708)</x:v>
      </x:c>
      <x:c r="C21" s="21" t="str">
        <x:v>官方来源</x:v>
      </x:c>
      <x:c r="D21" s="21" t="str">
        <x:v>读取到的来源版本；非全量考试报名目录</x:v>
      </x:c>
      <x:c r="E21" s="21" t="str">
        <x:v>2026-09-12</x:v>
      </x:c>
      <x:c r="F21" s="21" t="str">
        <x:v>官方课程名称/代码；学校教学板块另行标明</x:v>
      </x:c>
      <x:c r="G21" s="21" t="str">
        <x:v>https://www.cambridgeinternational.org/programmes-and-qualifications/cambridge-international-as-and-a-level-economics-9708/</x:v>
      </x:c>
    </x:row>
    <x:row r="22" ht="52" customHeight="1">
      <x:c r="A22" s="20" t="str">
        <x:v>C-9626</x:v>
      </x:c>
      <x:c r="B22" s="21" t="str">
        <x:v>Cambridge International AS &amp; A Level Information Technology (9626)</x:v>
      </x:c>
      <x:c r="C22" s="21" t="str">
        <x:v>官方来源</x:v>
      </x:c>
      <x:c r="D22" s="21" t="str">
        <x:v>读取到的来源版本；非全量考试报名目录</x:v>
      </x:c>
      <x:c r="E22" s="21" t="str">
        <x:v>2026-09-12</x:v>
      </x:c>
      <x:c r="F22" s="21" t="str">
        <x:v>官方课程名称/代码；学校教学板块另行标明</x:v>
      </x:c>
      <x:c r="G22" s="21" t="str">
        <x:v>https://www.cambridgeinternational.org/programmes-and-qualifications/cambridge-international-as-and-a-level-information-technology-9626/</x:v>
      </x:c>
    </x:row>
    <x:row r="23" ht="52" customHeight="1">
      <x:c r="A23" s="20" t="str">
        <x:v>C-9706</x:v>
      </x:c>
      <x:c r="B23" s="21" t="str">
        <x:v>Cambridge International AS &amp; A Level Accounting (9706)</x:v>
      </x:c>
      <x:c r="C23" s="21" t="str">
        <x:v>官方来源</x:v>
      </x:c>
      <x:c r="D23" s="21" t="str">
        <x:v>读取到的来源版本；非全量考试报名目录</x:v>
      </x:c>
      <x:c r="E23" s="21" t="str">
        <x:v>2026-09-12</x:v>
      </x:c>
      <x:c r="F23" s="21" t="str">
        <x:v>官方课程名称/代码；学校教学板块另行标明</x:v>
      </x:c>
      <x:c r="G23" s="21" t="str">
        <x:v>https://www.cambridgeinternational.org/programmes-and-qualifications/cambridge-international-as-and-a-level-accounting-9706/</x:v>
      </x:c>
    </x:row>
    <x:row r="24" ht="52" customHeight="1">
      <x:c r="A24" s="20" t="str">
        <x:v>C-9709-PDF</x:v>
      </x:c>
      <x:c r="B24" s="21" t="str">
        <x:v>用户上传：9709 2026–2027 Version 1</x:v>
      </x:c>
      <x:c r="C24" s="21" t="str">
        <x:v>用户提供的官方文件</x:v>
      </x:c>
      <x:c r="D24" s="21" t="str">
        <x:v>2026–2027 Version 1（不是官网最新版声明）</x:v>
      </x:c>
      <x:c r="E24" s="21" t="str">
        <x:v>2026-09-12</x:v>
      </x:c>
      <x:c r="F24" s="21" t="str">
        <x:v>原文件页9–17及19–39；第14页P2卡片标题冲突保留核对记录</x:v>
      </x:c>
      <x:c r="G24" s="21" t="str">
        <x:v>https://www.cambridgeinternational.org/programmes-and-qualifications/cambridge-international-as-and-a-level-mathematics-9709/</x:v>
      </x:c>
    </x:row>
    <x:row r="25" ht="52" customHeight="1">
      <x:c r="A25" s="20" t="str">
        <x:v>C-9231-PDF</x:v>
      </x:c>
      <x:c r="B25" s="21" t="str">
        <x:v>Cambridge 9231 2026–2027 syllabus</x:v>
      </x:c>
      <x:c r="C25" s="21" t="str">
        <x:v>官方来源</x:v>
      </x:c>
      <x:c r="D25" s="21" t="str">
        <x:v>2026–2027 Version 3</x:v>
      </x:c>
      <x:c r="E25" s="21" t="str">
        <x:v>2026-09-12</x:v>
      </x:c>
      <x:c r="F25" s="21" t="str">
        <x:v>四个官方内容单元及资格路径</x:v>
      </x:c>
      <x:c r="G25" s="21" t="str">
        <x:v>https://www.cambridgeinternational.org/Images/697357-2026-2027-syllabus.pdf</x:v>
      </x:c>
    </x:row>
    <x:row r="26" ht="52" customHeight="1">
      <x:c r="A26" s="20" t="str">
        <x:v>OA-MATH</x:v>
      </x:c>
      <x:c r="B26" s="21" t="str">
        <x:v>OxfordAQA International AS/A-level Mathematics</x:v>
      </x:c>
      <x:c r="C26" s="21" t="str">
        <x:v>官方来源</x:v>
      </x:c>
      <x:c r="D26" s="21" t="str">
        <x:v>读取到的来源版本；非全量考试报名目录</x:v>
      </x:c>
      <x:c r="E26" s="21" t="str">
        <x:v>2026-09-12</x:v>
      </x:c>
      <x:c r="F26" s="21" t="str">
        <x:v>课程代码、官方Unit及资格结构；题面代码另核对</x:v>
      </x:c>
      <x:c r="G26" s="21" t="str">
        <x:v>https://www.oxfordaqa.com/qualifications/international-as-a-level-mathematics/</x:v>
      </x:c>
    </x:row>
    <x:row r="27" ht="52" customHeight="1">
      <x:c r="A27" s="20" t="str">
        <x:v>OA-PHYSICS</x:v>
      </x:c>
      <x:c r="B27" s="21" t="str">
        <x:v>OxfordAQA International AS/A-level Physics</x:v>
      </x:c>
      <x:c r="C27" s="21" t="str">
        <x:v>官方来源</x:v>
      </x:c>
      <x:c r="D27" s="21" t="str">
        <x:v>读取到的来源版本；非全量考试报名目录</x:v>
      </x:c>
      <x:c r="E27" s="21" t="str">
        <x:v>2026-09-12</x:v>
      </x:c>
      <x:c r="F27" s="21" t="str">
        <x:v>课程代码、官方Unit及资格结构；题面代码另核对</x:v>
      </x:c>
      <x:c r="G27" s="21" t="str">
        <x:v>https://www.oxfordaqa.com/qualifications/international-as-a-level-physics/</x:v>
      </x:c>
    </x:row>
    <x:row r="28" ht="52" customHeight="1">
      <x:c r="A28" s="20" t="str">
        <x:v>OA-BIOLOGY</x:v>
      </x:c>
      <x:c r="B28" s="21" t="str">
        <x:v>OxfordAQA International AS/A-level Biology</x:v>
      </x:c>
      <x:c r="C28" s="21" t="str">
        <x:v>官方来源</x:v>
      </x:c>
      <x:c r="D28" s="21" t="str">
        <x:v>读取到的来源版本；非全量考试报名目录</x:v>
      </x:c>
      <x:c r="E28" s="21" t="str">
        <x:v>2026-09-12</x:v>
      </x:c>
      <x:c r="F28" s="21" t="str">
        <x:v>课程代码、官方Unit及资格结构；题面代码另核对</x:v>
      </x:c>
      <x:c r="G28" s="21" t="str">
        <x:v>https://www.oxfordaqa.com/qualifications/international-as-a-level-biology/</x:v>
      </x:c>
    </x:row>
    <x:row r="29" ht="52" customHeight="1">
      <x:c r="A29" s="20" t="str">
        <x:v>OA-CHEMISTRY</x:v>
      </x:c>
      <x:c r="B29" s="21" t="str">
        <x:v>OxfordAQA International AS/A-level Chemistry</x:v>
      </x:c>
      <x:c r="C29" s="21" t="str">
        <x:v>官方来源</x:v>
      </x:c>
      <x:c r="D29" s="21" t="str">
        <x:v>读取到的来源版本；非全量考试报名目录</x:v>
      </x:c>
      <x:c r="E29" s="21" t="str">
        <x:v>2026-09-12</x:v>
      </x:c>
      <x:c r="F29" s="21" t="str">
        <x:v>课程代码、官方Unit及资格结构；题面代码另核对</x:v>
      </x:c>
      <x:c r="G29" s="21" t="str">
        <x:v>https://www.oxfordaqa.com/qualifications/international-as-a-level-chemistry/</x:v>
      </x:c>
    </x:row>
    <x:row r="30" ht="52" customHeight="1">
      <x:c r="A30" s="20" t="str">
        <x:v>AQ-MATH</x:v>
      </x:c>
      <x:c r="B30" s="21" t="str">
        <x:v>AQA A-level Mathematics 7357</x:v>
      </x:c>
      <x:c r="C30" s="21" t="str">
        <x:v>官方来源</x:v>
      </x:c>
      <x:c r="D30" s="21" t="str">
        <x:v>读取到的来源版本；非全量考试报名目录</x:v>
      </x:c>
      <x:c r="E30" s="21" t="str">
        <x:v>2026-09-12</x:v>
      </x:c>
      <x:c r="F30" s="21" t="str">
        <x:v>线性课程及内容/试卷分离；教学板块是示范性校内安排</x:v>
      </x:c>
      <x:c r="G30" s="21" t="str">
        <x:v>https://www.aqa.org.uk/subjects/mathematics/a-level/mathematics-7357/specification/specification-at-a-glance</x:v>
      </x:c>
    </x:row>
    <x:row r="31" ht="52" customHeight="1">
      <x:c r="A31" s="20" t="str">
        <x:v>AQ-PHYSICS</x:v>
      </x:c>
      <x:c r="B31" s="21" t="str">
        <x:v>AQA A-level Physics 7408</x:v>
      </x:c>
      <x:c r="C31" s="21" t="str">
        <x:v>官方来源</x:v>
      </x:c>
      <x:c r="D31" s="21" t="str">
        <x:v>读取到的来源版本；非全量考试报名目录</x:v>
      </x:c>
      <x:c r="E31" s="21" t="str">
        <x:v>2026-09-12</x:v>
      </x:c>
      <x:c r="F31" s="21" t="str">
        <x:v>线性课程及内容/试卷分离；教学板块是示范性校内安排</x:v>
      </x:c>
      <x:c r="G31" s="21" t="str">
        <x:v>https://www.aqa.org.uk/subjects/physics/a-level/physics-7408/specification/specification-at-a-glance</x:v>
      </x:c>
    </x:row>
    <x:row r="32" ht="52" customHeight="1">
      <x:c r="A32" s="20" t="str">
        <x:v>AQ-CHEMISTRY</x:v>
      </x:c>
      <x:c r="B32" s="21" t="str">
        <x:v>AQA A-level Chemistry 7405</x:v>
      </x:c>
      <x:c r="C32" s="21" t="str">
        <x:v>官方来源</x:v>
      </x:c>
      <x:c r="D32" s="21" t="str">
        <x:v>读取到的来源版本；非全量考试报名目录</x:v>
      </x:c>
      <x:c r="E32" s="21" t="str">
        <x:v>2026-09-12</x:v>
      </x:c>
      <x:c r="F32" s="21" t="str">
        <x:v>线性课程及内容/试卷分离；教学板块是示范性校内安排</x:v>
      </x:c>
      <x:c r="G32" s="21" t="str">
        <x:v>https://www.aqa.org.uk/subjects/chemistry/a-level/chemistry-7405/specification/specification-at-a-glance</x:v>
      </x:c>
    </x:row>
    <x:row r="33" ht="52" customHeight="1">
      <x:c r="A33" s="20" t="str">
        <x:v>AQ-BIOLOGY</x:v>
      </x:c>
      <x:c r="B33" s="21" t="str">
        <x:v>AQA A-level Biology 7402</x:v>
      </x:c>
      <x:c r="C33" s="21" t="str">
        <x:v>官方来源</x:v>
      </x:c>
      <x:c r="D33" s="21" t="str">
        <x:v>读取到的来源版本；非全量考试报名目录</x:v>
      </x:c>
      <x:c r="E33" s="21" t="str">
        <x:v>2026-09-12</x:v>
      </x:c>
      <x:c r="F33" s="21" t="str">
        <x:v>线性课程及内容/试卷分离；教学板块是示范性校内安排</x:v>
      </x:c>
      <x:c r="G33" s="21" t="str">
        <x:v>https://www.aqa.org.uk/subjects/biology/a-level/biology-7402/specification/specification-at-a-glance</x:v>
      </x:c>
    </x:row>
    <x:row r="34" ht="52" customHeight="1">
      <x:c r="A34" s="20" t="str">
        <x:v>P-UK-AL</x:v>
      </x:c>
      <x:c r="B34" s="21" t="str">
        <x:v>Pearson Edexcel A level Mathematics</x:v>
      </x:c>
      <x:c r="C34" s="21" t="str">
        <x:v>官方来源</x:v>
      </x:c>
      <x:c r="D34" s="21" t="str">
        <x:v>读取到的来源版本；非全量考试报名目录</x:v>
      </x:c>
      <x:c r="E34" s="21" t="str">
        <x:v>2026-09-12</x:v>
      </x:c>
      <x:c r="F34" s="21" t="str">
        <x:v>9MA0：三个线性试卷、教学内容与试卷交叉</x:v>
      </x:c>
      <x:c r="G34" s="21" t="str">
        <x:v>https://qualifications.pearson.com/content/dam/pdf/A%20Level/Mathematics/2017/specification-and-sample-assesment/a-level-l3-mathematics-specification-issue4.pdf</x:v>
      </x:c>
    </x:row>
    <x:row r="35" ht="52" customHeight="1">
      <x:c r="A35" s="20" t="str">
        <x:v>P-UK-AS</x:v>
      </x:c>
      <x:c r="B35" s="21" t="str">
        <x:v>Pearson Edexcel AS Mathematics</x:v>
      </x:c>
      <x:c r="C35" s="21" t="str">
        <x:v>官方来源</x:v>
      </x:c>
      <x:c r="D35" s="21" t="str">
        <x:v>读取到的来源版本；非全量考试报名目录</x:v>
      </x:c>
      <x:c r="E35" s="21" t="str">
        <x:v>2026-09-12</x:v>
      </x:c>
      <x:c r="F35" s="21" t="str">
        <x:v>8MA0独立AS；不得把IAL单元/cash-in套用到UK GCE</x:v>
      </x:c>
      <x:c r="G35" s="21" t="str">
        <x:v>https://qualifications.pearson.com/content/dam/pdf/A%20Level/Mathematics/2017/specification-and-sample-assesment/as-l3-mathematics-specification.pdf</x:v>
      </x:c>
    </x:row>
    <x:row r="36" ht="52" customHeight="1">
      <x:c r="A36" s="20" t="str">
        <x:v>OCR-A</x:v>
      </x:c>
      <x:c r="B36" s="21" t="str">
        <x:v>OCR Mathematics A</x:v>
      </x:c>
      <x:c r="C36" s="21" t="str">
        <x:v>官方来源</x:v>
      </x:c>
      <x:c r="D36" s="21" t="str">
        <x:v>读取到的来源版本；非全量考试报名目录</x:v>
      </x:c>
      <x:c r="E36" s="21" t="str">
        <x:v>2026-09-12</x:v>
      </x:c>
      <x:c r="F36" s="21" t="str">
        <x:v>H230/H240：AS与AL独立，纯数跨多个试卷</x:v>
      </x:c>
      <x:c r="G36" s="21" t="str">
        <x:v>https://www.ocr.org.uk/qualifications/as-and-a-level/mathematics-a-h230-h240-from-2017/specification-at-a-glance/</x:v>
      </x:c>
    </x:row>
    <x:row r="37" ht="52" customHeight="1">
      <x:c r="A37" s="20" t="str">
        <x:v>OCR-B</x:v>
      </x:c>
      <x:c r="B37" s="21" t="str">
        <x:v>OCR Mathematics B (MEI)</x:v>
      </x:c>
      <x:c r="C37" s="21" t="str">
        <x:v>官方来源</x:v>
      </x:c>
      <x:c r="D37" s="21" t="str">
        <x:v>读取到的来源版本；非全量考试报名目录</x:v>
      </x:c>
      <x:c r="E37" s="21" t="str">
        <x:v>2026-09-12</x:v>
      </x:c>
      <x:c r="F37" s="21" t="str">
        <x:v>H630/H640：独立规范，不与Mathematics A混用</x:v>
      </x:c>
      <x:c r="G37" s="21" t="str">
        <x:v>https://www.ocr.org.uk/qualifications/as-and-a-level/mathematics-b-mei-h630-h640-from-2017/specification-at-a-glance/</x:v>
      </x:c>
    </x:row>
    <x:row r="38" ht="52" customHeight="1">
      <x:c r="A38" s="20" t="str">
        <x:v>WJ-MATH</x:v>
      </x:c>
      <x:c r="B38" s="21" t="str">
        <x:v>WJEC GCE AS/A level Mathematics specification</x:v>
      </x:c>
      <x:c r="C38" s="21" t="str">
        <x:v>官方来源</x:v>
      </x:c>
      <x:c r="D38" s="21" t="str">
        <x:v>2017起教学版，使用前核对学校考季</x:v>
      </x:c>
      <x:c r="E38" s="21" t="str">
        <x:v>2026-09-12</x:v>
      </x:c>
      <x:c r="F38" s="21" t="str">
        <x:v>威尔士单元制；AS40%/A2 60%，四单元及Raw/UMS</x:v>
      </x:c>
      <x:c r="G38" s="21" t="str">
        <x:v>https://www.wjec.co.uk/media/lm3fegtu/wjec-gce-maths-spec-from-2017-e.pdf</x:v>
      </x:c>
    </x:row>
    <x:row r="39" ht="52" customHeight="1">
      <x:c r="A39" s="20" t="str">
        <x:v>WJ-PAGE</x:v>
      </x:c>
      <x:c r="B39" s="21" t="str">
        <x:v>WJEC Mathematics course page</x:v>
      </x:c>
      <x:c r="C39" s="21" t="str">
        <x:v>官方来源</x:v>
      </x:c>
      <x:c r="D39" s="21" t="str">
        <x:v>读取到的来源版本；非全量考试报名目录</x:v>
      </x:c>
      <x:c r="E39" s="21" t="str">
        <x:v>2026-09-12</x:v>
      </x:c>
      <x:c r="F39" s="21" t="str">
        <x:v>资格cash-in标识与课程主页</x:v>
      </x:c>
      <x:c r="G39" s="21" t="str">
        <x:v>https://www.wjec.co.uk/qualifications/mathematics-aas-level/</x:v>
      </x:c>
    </x:row>
    <x:row r="40" ht="52" customHeight="1">
      <x:c r="A40" s="20" t="str">
        <x:v>CCEA-MATH</x:v>
      </x:c>
      <x:c r="B40" s="21" t="str">
        <x:v>CCEA Mathematics 原始spec镜像</x:v>
      </x:c>
      <x:c r="C40" s="21" t="str">
        <x:v>官方文本镜像；官网本轮未能读取</x:v>
      </x:c>
      <x:c r="D40" s="21" t="str">
        <x:v>2018起教学规范摘录；不宣称最新完整官方目录</x:v>
      </x:c>
      <x:c r="E40" s="21" t="str">
        <x:v>2026-09-12</x:v>
      </x:c>
      <x:c r="F40" s="21" t="str">
        <x:v>原规范摘录：AS1/AS2/A21/A22及40%/60%；2210是classification code</x:v>
      </x:c>
      <x:c r="G40" s="21" t="str">
        <x:v>https://www.studocu.com/en-gb/document/bangor-university/mathematics-1/specification/90410310</x:v>
      </x:c>
    </x:row>
    <x:row r="41" ht="52" customHeight="1">
      <x:c r="A41" s="20" t="str">
        <x:v>CCEA-SCHOOL</x:v>
      </x:c>
      <x:c r="B41" s="21" t="str">
        <x:v>Aquinas Grammar — Mathematics</x:v>
      </x:c>
      <x:c r="C41" s="21" t="str">
        <x:v>学校一手课程说明</x:v>
      </x:c>
      <x:c r="D41" s="21" t="str">
        <x:v>读取到的来源版本；非全量考试报名目录</x:v>
      </x:c>
      <x:c r="E41" s="21" t="str">
        <x:v>2026-09-12</x:v>
      </x:c>
      <x:c r="F41" s="21" t="str">
        <x:v>办学方课程说明辅助核对；不替代最新考试报名手册</x:v>
      </x:c>
      <x:c r="G41" s="21" t="str">
        <x:v>https://www.aquinasgrammar.com/Learning/Mathematics-12122023135702/</x:v>
      </x:c>
    </x:row>
    <x:row r="42" ht="52" customHeight="1">
      <x:c r="A42" s="20" t="str">
        <x:v>EDU-BUS</x:v>
      </x:c>
      <x:c r="B42" s="21" t="str">
        <x:v>Eduqas AS/A Level Business</x:v>
      </x:c>
      <x:c r="C42" s="21" t="str">
        <x:v>官方来源</x:v>
      </x:c>
      <x:c r="D42" s="21" t="str">
        <x:v>读取到的来源版本；非全量考试报名目录</x:v>
      </x:c>
      <x:c r="E42" s="21" t="str">
        <x:v>2026-09-12</x:v>
      </x:c>
      <x:c r="F42" s="21" t="str">
        <x:v>AL课程；AS退场状态见官网，本示例不创建可新开AS</x:v>
      </x:c>
      <x:c r="G42" s="21" t="str">
        <x:v>https://www.eduqas.co.uk/qualifications/business-asa-level/</x:v>
      </x:c>
    </x:row>
    <x:row r="43" ht="52" customHeight="1">
      <x:c r="A43" s="20" t="str">
        <x:v>EDU-CS</x:v>
      </x:c>
      <x:c r="B43" s="21" t="str">
        <x:v>Eduqas AS/A Level Computer Science</x:v>
      </x:c>
      <x:c r="C43" s="21" t="str">
        <x:v>官方来源</x:v>
      </x:c>
      <x:c r="D43" s="21" t="str">
        <x:v>读取到的来源版本；非全量考试报名目录</x:v>
      </x:c>
      <x:c r="E43" s="21" t="str">
        <x:v>2026-09-12</x:v>
      </x:c>
      <x:c r="F43" s="21" t="str">
        <x:v>AL课程；AS退场状态见官网；教学板块不是新的官方模块</x:v>
      </x:c>
      <x:c r="G43" s="21" t="str">
        <x:v>https://www.eduqas.co.uk/qualifications/computer-science-asa-level/</x:v>
      </x:c>
    </x:row>
    <x:row r="44" ht="52" customHeight="1">
      <x:c r="A44" s="20" t="str">
        <x:v>SCHOOL</x:v>
      </x:c>
      <x:c r="B44" s="21" t="str">
        <x:v>校内自定义目录示例</x:v>
      </x:c>
      <x:c r="C44" s="21" t="str">
        <x:v>本设计示例</x:v>
      </x:c>
      <x:c r="D44" s="21" t="str">
        <x:v>模板 v2.0</x:v>
      </x:c>
      <x:c r="E44" s="21" t="str">
        <x:v>2026-09-12</x:v>
      </x:c>
      <x:c r="F44" s="21" t="str">
        <x:v>说明中文名称、排序、教学分组及无代码课程；不冒充官方要求</x:v>
      </x:c>
      <x:c r="G44" s="21" t="str">
        <x:v>校内示例，无外部官方网址</x:v>
      </x:c>
    </x:row>
    <x:row r="45" ht="52" customHeight="1">
      <x:c r="A45" s="20" t="str">
        <x:v>AQ-CS</x:v>
      </x:c>
      <x:c r="B45" s="21" t="str">
        <x:v>AQA A-level Computer Science 7517</x:v>
      </x:c>
      <x:c r="C45" s="21" t="str">
        <x:v>官方来源</x:v>
      </x:c>
      <x:c r="D45" s="21" t="str">
        <x:v>读取到的来源版本；非全量考试报名目录</x:v>
      </x:c>
      <x:c r="E45" s="21" t="str">
        <x:v>2026-09-12</x:v>
      </x:c>
      <x:c r="F45" s="21" t="str">
        <x:v>两个考试加75分NEA项目；NEA20%；不虚构统一时长</x:v>
      </x:c>
      <x:c r="G45" s="21" t="str">
        <x:v>https://www.aqa.org.uk/subjects/computer-science/a-level/computer-science-7517/specification/specification-at-a-glance</x:v>
      </x:c>
    </x:row>
    <x:row r="46" ht="64" customHeight="1">
      <x:c r="A46" s="71" t="str">
        <x:v>V3-CAIE-AL</x:v>
      </x:c>
      <x:c r="B46" s="70" t="str">
        <x:v>Cambridge International AS &amp; A Level subjects</x:v>
      </x:c>
      <x:c r="C46" s="70" t="str">
        <x:v>官方</x:v>
      </x:c>
      <x:c r="D46" s="70" t="str">
        <x:v>官方网页/目录；2026-09-17读取</x:v>
      </x:c>
      <x:c r="E46" s="70" t="str">
        <x:v>2026-09-17</x:v>
      </x:c>
      <x:c r="F46" s="70" t="str">
        <x:v>支持科目名称与大纲代码；未逐科核定所有首考/末考季。标NEW的未确认版本列于96而非自动新开。</x:v>
      </x:c>
      <x:c r="G46" s="70" t="str">
        <x:v>https://www.cambridgeinternational.org/programmes-and-qualifications/cambridge-advanced/cambridge-international-as-and-a-levels/subjects/</x:v>
      </x:c>
    </x:row>
    <x:row r="47" ht="64" customHeight="1">
      <x:c r="A47" s="71" t="str">
        <x:v>V3-CAIE-IG</x:v>
      </x:c>
      <x:c r="B47" s="70" t="str">
        <x:v>Cambridge IGCSE subjects</x:v>
      </x:c>
      <x:c r="C47" s="70" t="str">
        <x:v>官方</x:v>
      </x:c>
      <x:c r="D47" s="70" t="str">
        <x:v>官方网页/目录；2026-09-17读取</x:v>
      </x:c>
      <x:c r="E47" s="70" t="str">
        <x:v>2026-09-17</x:v>
      </x:c>
      <x:c r="F47" s="70" t="str">
        <x:v>常用科目目录层；名称/代码同时见Cambridge官方资格导航。选项、9–1变体与转版须另核。</x:v>
      </x:c>
      <x:c r="G47" s="70" t="str">
        <x:v>https://www.cambridgeinternational.org/programmes-and-qualifications/cambridge-upper-secondary/cambridge-igcse/subjects/</x:v>
      </x:c>
    </x:row>
    <x:row r="48" ht="64" customHeight="1">
      <x:c r="A48" s="71" t="str">
        <x:v>V3-OXFORD</x:v>
      </x:c>
      <x:c r="B48" s="70" t="str">
        <x:v>OxfordAQA qualifications</x:v>
      </x:c>
      <x:c r="C48" s="70" t="str">
        <x:v>官方</x:v>
      </x:c>
      <x:c r="D48" s="70" t="str">
        <x:v>官方网页/目录；2026-09-17读取</x:v>
      </x:c>
      <x:c r="E48" s="70" t="str">
        <x:v>2026-09-17</x:v>
      </x:c>
      <x:c r="F48" s="70" t="str">
        <x:v>官方课程导航；修订版及新科目未核开考日期者移至96。原有四门数据保留，不据此确认所有版本在用。</x:v>
      </x:c>
      <x:c r="G48" s="70" t="str">
        <x:v>https://www.oxfordaqa.com/</x:v>
      </x:c>
    </x:row>
    <x:row r="49" ht="64" customHeight="1">
      <x:c r="A49" s="71" t="str">
        <x:v>V3-AP</x:v>
      </x:c>
      <x:c r="B49" s="70" t="str">
        <x:v>AP course index</x:v>
      </x:c>
      <x:c r="C49" s="70" t="str">
        <x:v>官方</x:v>
      </x:c>
      <x:c r="D49" s="70" t="str">
        <x:v>官方网页/目录；2026-09-17读取</x:v>
      </x:c>
      <x:c r="E49" s="70" t="str">
        <x:v>2026-09-17</x:v>
      </x:c>
      <x:c r="F49" s="70" t="str">
        <x:v>AP课程名称清单；新课程及试点另标。课程目录不是AP学校授权，也不保证学校可报考。</x:v>
      </x:c>
      <x:c r="G49" s="70" t="str">
        <x:v>https://apcentral.collegeboard.org/courses</x:v>
      </x:c>
    </x:row>
    <x:row r="50" ht="64" customHeight="1">
      <x:c r="A50" s="71" t="str">
        <x:v>V3-AP-NET</x:v>
      </x:c>
      <x:c r="B50" s="70" t="str">
        <x:v>AP Networking adoption</x:v>
      </x:c>
      <x:c r="C50" s="70" t="str">
        <x:v>官方</x:v>
      </x:c>
      <x:c r="D50" s="70" t="str">
        <x:v>官方网页/目录；2026-09-17读取</x:v>
      </x:c>
      <x:c r="E50" s="70" t="str">
        <x:v>2026-09-17</x:v>
      </x:c>
      <x:c r="F50" s="70" t="str">
        <x:v>2026–27试点，2027–28正式推出；不并入02的常规开课目录。</x:v>
      </x:c>
      <x:c r="G50" s="70" t="str">
        <x:v>https://apcentral.collegeboard.org/courses/ap-networking/adopt</x:v>
      </x:c>
    </x:row>
    <x:row r="51" ht="64" customHeight="1">
      <x:c r="A51" s="71" t="str">
        <x:v>V3-AP-BUS</x:v>
      </x:c>
      <x:c r="B51" s="70" t="str">
        <x:v>AP Business with Personal Finance</x:v>
      </x:c>
      <x:c r="C51" s="70" t="str">
        <x:v>官方</x:v>
      </x:c>
      <x:c r="D51" s="70" t="str">
        <x:v>官方网页/目录；2026-09-17读取</x:v>
      </x:c>
      <x:c r="E51" s="70" t="str">
        <x:v>2026-09-17</x:v>
      </x:c>
      <x:c r="F51" s="70" t="str">
        <x:v>2026–27新增课程；教学与首次考试时间不能混用。</x:v>
      </x:c>
      <x:c r="G51" s="70" t="str">
        <x:v>https://apcentral.collegeboard.org/courses/ap-business-personal-finance</x:v>
      </x:c>
    </x:row>
    <x:row r="52" ht="64" customHeight="1">
      <x:c r="A52" s="71" t="str">
        <x:v>V3-IBDP</x:v>
      </x:c>
      <x:c r="B52" s="70" t="str">
        <x:v>IB All Diploma Programme subjects (2026)</x:v>
      </x:c>
      <x:c r="C52" s="70" t="str">
        <x:v>官方</x:v>
      </x:c>
      <x:c r="D52" s="70" t="str">
        <x:v>2026官方科目列表</x:v>
      </x:c>
      <x:c r="E52" s="70" t="str">
        <x:v>2026-09-17</x:v>
      </x:c>
      <x:c r="F52" s="70" t="str">
        <x:v>PDF第1–6页核对所录学科代码及SL/HL；仅选常见语言，不录所有school-based/pilot学科；代码不是SL/HL合并依据。</x:v>
      </x:c>
      <x:c r="G52" s="70" t="str">
        <x:v>https://ibo.org/globalassets/new-structure/programmes/dp/pdfs/all-dp-subjects-list-en.pdf</x:v>
      </x:c>
    </x:row>
    <x:row r="53" ht="64" customHeight="1">
      <x:c r="A53" s="71" t="str">
        <x:v>V3-IB-CORE</x:v>
      </x:c>
      <x:c r="B53" s="70" t="str">
        <x:v>IB DP curriculum</x:v>
      </x:c>
      <x:c r="C53" s="70" t="str">
        <x:v>官方</x:v>
      </x:c>
      <x:c r="D53" s="70" t="str">
        <x:v>官方网页/目录；2026-09-17读取</x:v>
      </x:c>
      <x:c r="E53" s="70" t="str">
        <x:v>2026-09-17</x:v>
      </x:c>
      <x:c r="F53" s="70" t="str">
        <x:v>六组学科与TOK、EE、CAS；CAS为完成要求，不能假定按1–7计分。</x:v>
      </x:c>
      <x:c r="G53" s="70" t="str">
        <x:v>https://ibo.org/programmes/diploma-programme/curriculum/</x:v>
      </x:c>
    </x:row>
    <x:row r="54" ht="64" customHeight="1">
      <x:c r="A54" s="71" t="str">
        <x:v>V3-SG26</x:v>
      </x:c>
      <x:c r="B54" s="70" t="str">
        <x:v>SEAB 2026 school-candidate A-Level syllabuses</x:v>
      </x:c>
      <x:c r="C54" s="70" t="str">
        <x:v>官方</x:v>
      </x:c>
      <x:c r="D54" s="70" t="str">
        <x:v>2026考季；网页2026-08-28更新</x:v>
      </x:c>
      <x:c r="E54" s="70" t="str">
        <x:v>2026-09-17</x:v>
      </x:c>
      <x:c r="F54" s="70" t="str">
        <x:v>2026学校考生H1/H2/H3及本地科目。大学主办H3、自修生资格限制另核；末考旧码列96。</x:v>
      </x:c>
      <x:c r="G54" s="70" t="str">
        <x:v>https://www.seab.gov.sg/gce-a-level/a-level-syllabuses-examined-for-school-candidates-2026/</x:v>
      </x:c>
    </x:row>
    <x:row r="55" ht="64" customHeight="1">
      <x:c r="A55" s="71" t="str">
        <x:v>V3-SG27</x:v>
      </x:c>
      <x:c r="B55" s="70" t="str">
        <x:v>SEAB 2027 school-candidate A-Level syllabuses</x:v>
      </x:c>
      <x:c r="C55" s="70" t="str">
        <x:v>官方</x:v>
      </x:c>
      <x:c r="D55" s="70" t="str">
        <x:v>2027考季对照</x:v>
      </x:c>
      <x:c r="E55" s="70" t="str">
        <x:v>2026-09-17</x:v>
      </x:c>
      <x:c r="F55" s="70" t="str">
        <x:v>2027过渡核对；同代码新大纲不可当成同版本。</x:v>
      </x:c>
      <x:c r="G55" s="70" t="str">
        <x:v>https://www.seab.gov.sg/gce-a-level/a-level-syllabuses-examined-for-school-candidates-2027/</x:v>
      </x:c>
    </x:row>
    <x:row r="56" ht="64" customHeight="1">
      <x:c r="A56" s="71" t="str">
        <x:v>V3-HKDSE</x:v>
      </x:c>
      <x:c r="B56" s="70" t="str">
        <x:v>HKEAA subject information</x:v>
      </x:c>
      <x:c r="C56" s="70" t="str">
        <x:v>官方搜索摘要/部分访问受限</x:v>
      </x:c>
      <x:c r="D56" s="70" t="str">
        <x:v>2026目录核对</x:v>
      </x:c>
      <x:c r="E56" s="70" t="str">
        <x:v>2026-09-17</x:v>
      </x:c>
      <x:c r="F56" s="70" t="str">
        <x:v>甲类科目名称与类别；本轮正文抓取受限，采用官方搜索摘要及EDB框架交叉核对，未逐科核报名代码。</x:v>
      </x:c>
      <x:c r="G56" s="70" t="str">
        <x:v>https://www.hkeaa.edu.hk/en/hkdse/assessment/subject_information/</x:v>
      </x:c>
    </x:row>
    <x:row r="57" ht="64" customHeight="1">
      <x:c r="A57" s="71" t="str">
        <x:v>V3-HK-CHANGES</x:v>
      </x:c>
      <x:c r="B57" s="70" t="str">
        <x:v>HKEAA 2024 assessment-framework changes</x:v>
      </x:c>
      <x:c r="C57" s="70" t="str">
        <x:v>官方搜索摘要</x:v>
      </x:c>
      <x:c r="D57" s="70" t="str">
        <x:v>2024起变化；官方索引摘要</x:v>
      </x:c>
      <x:c r="E57" s="70" t="str">
        <x:v>2026-09-17</x:v>
      </x:c>
      <x:c r="F57" s="70" t="str">
        <x:v>2024起移除Combined Science/Integrated Science旧框架；CSD与旧Liberal Studies不能混用。</x:v>
      </x:c>
      <x:c r="G57" s="70" t="str">
        <x:v>https://www.hkeaa.edu.hk/DocLibrary/HKDSE/Subject_Information/NotesChangesAFs2024-e-rev1.pdf</x:v>
      </x:c>
    </x:row>
    <x:row r="58" ht="64" customHeight="1">
      <x:c r="A58" s="71" t="str">
        <x:v>V3-HK-C</x:v>
      </x:c>
      <x:c r="B58" s="70" t="str">
        <x:v>HKEAA Category C Other Languages</x:v>
      </x:c>
      <x:c r="C58" s="70" t="str">
        <x:v>官方索引及政府公告摘要</x:v>
      </x:c>
      <x:c r="D58" s="70" t="str">
        <x:v>2025起安排；2026增补</x:v>
      </x:c>
      <x:c r="E58" s="70" t="str">
        <x:v>2026-09-17</x:v>
      </x:c>
      <x:c r="F58" s="70" t="str">
        <x:v>2025起指定外部语言考试；现录法/德/日/韩/西，2026加Urdu；Hindi 2028见96。具体指定考试及分数有效窗口未预填。</x:v>
      </x:c>
      <x:c r="G58" s="70" t="str">
        <x:v>https://www.hkeaa.edu.hk/en/hkdse/assessment/subject_information/category_c_subjects/</x:v>
      </x:c>
    </x:row>
    <x:row r="59" ht="64" customHeight="1">
      <x:c r="A59" s="71" t="str">
        <x:v>V3-HK-EDB</x:v>
      </x:c>
      <x:c r="B59" s="70" t="str">
        <x:v>EDB senior-secondary curriculum framework</x:v>
      </x:c>
      <x:c r="C59" s="70" t="str">
        <x:v>官方</x:v>
      </x:c>
      <x:c r="D59" s="70" t="str">
        <x:v>官方网页/目录；2026-09-17读取</x:v>
      </x:c>
      <x:c r="E59" s="70" t="str">
        <x:v>2026-09-17</x:v>
      </x:c>
      <x:c r="F59" s="70" t="str">
        <x:v>课程框架参考；HKEAA各科assessment framework是具体考试结构权威。</x:v>
      </x:c>
      <x:c r="G59" s="70" t="str">
        <x:v>https://www.edb.gov.hk/en/curriculum-development/renewal/framework.html</x:v>
      </x:c>
    </x:row>
    <x:row r="60" ht="64" customHeight="1">
      <x:c r="A60" s="71" t="str">
        <x:v>V3-BC-SC</x:v>
      </x:c>
      <x:c r="B60" s="70" t="str">
        <x:v>BC Grade 12 science</x:v>
      </x:c>
      <x:c r="C60" s="70" t="str">
        <x:v>官方</x:v>
      </x:c>
      <x:c r="D60" s="70" t="str">
        <x:v>官方网页/目录；2026-09-17读取</x:v>
      </x:c>
      <x:c r="E60" s="70" t="str">
        <x:v>2026-09-17</x:v>
      </x:c>
      <x:c r="F60" s="70" t="str">
        <x:v>六门Grade 12科学目录；非全国统一考试目录。</x:v>
      </x:c>
      <x:c r="G60" s="70" t="str">
        <x:v>https://curriculum.gov.bc.ca/curriculum/science/12/courses</x:v>
      </x:c>
    </x:row>
    <x:row r="61" ht="64" customHeight="1">
      <x:c r="A61" s="71" t="str">
        <x:v>V3-BC-MA</x:v>
      </x:c>
      <x:c r="B61" s="70" t="str">
        <x:v>BC Grade 12 mathematics</x:v>
      </x:c>
      <x:c r="C61" s="70" t="str">
        <x:v>官方</x:v>
      </x:c>
      <x:c r="D61" s="70" t="str">
        <x:v>官方网页/目录；2026-09-17读取</x:v>
      </x:c>
      <x:c r="E61" s="70" t="str">
        <x:v>2026-09-17</x:v>
      </x:c>
      <x:c r="F61" s="70" t="str">
        <x:v>数学及Computer Science12课程目录；仅列部分升学常用课程。</x:v>
      </x:c>
      <x:c r="G61" s="70" t="str">
        <x:v>https://curriculum.gov.bc.ca/curriculum/mathematics/12/courses</x:v>
      </x:c>
    </x:row>
    <x:row r="62" ht="64" customHeight="1">
      <x:c r="A62" s="71" t="str">
        <x:v>V3-BC-EN</x:v>
      </x:c>
      <x:c r="B62" s="70" t="str">
        <x:v>BC Grade 12 English Language Arts</x:v>
      </x:c>
      <x:c r="C62" s="70" t="str">
        <x:v>官方</x:v>
      </x:c>
      <x:c r="D62" s="70" t="str">
        <x:v>官方网页/目录；2026-09-17读取</x:v>
      </x:c>
      <x:c r="E62" s="70" t="str">
        <x:v>2026-09-17</x:v>
      </x:c>
      <x:c r="F62" s="70" t="str">
        <x:v>English Studies/First Peoples及选修；不自动认定所有英语选修都满足毕业英语要求。</x:v>
      </x:c>
      <x:c r="G62" s="70" t="str">
        <x:v>https://curriculum.gov.bc.ca/curriculum/english-language-arts/12/courses</x:v>
      </x:c>
    </x:row>
    <x:row r="63" ht="64" customHeight="1">
      <x:c r="A63" s="71" t="str">
        <x:v>V3-ON-EN</x:v>
      </x:c>
      <x:c r="B63" s="70" t="str">
        <x:v>Ontario secondary English course list</x:v>
      </x:c>
      <x:c r="C63" s="70" t="str">
        <x:v>官方</x:v>
      </x:c>
      <x:c r="D63" s="70" t="str">
        <x:v>官方网页/目录；2026-09-17读取</x:v>
      </x:c>
      <x:c r="E63" s="70" t="str">
        <x:v>2026-09-17</x:v>
      </x:c>
      <x:c r="F63" s="70" t="str">
        <x:v>ENG4U课程名称与代码；仅课程目录，不自动判定毕业或大学先修资格。</x:v>
      </x:c>
      <x:c r="G63" s="70" t="str">
        <x:v>https://www.dcp.edu.gov.on.ca/en/curriculum/secondary-english/courses-list</x:v>
      </x:c>
    </x:row>
    <x:row r="64" ht="64" customHeight="1">
      <x:c r="A64" s="71" t="str">
        <x:v>V3-ON-MA</x:v>
      </x:c>
      <x:c r="B64" s="70" t="str">
        <x:v>Ontario mathematics course descriptions</x:v>
      </x:c>
      <x:c r="C64" s="70" t="str">
        <x:v>官方搜索摘要/入口</x:v>
      </x:c>
      <x:c r="D64" s="70" t="str">
        <x:v>Ontario Grade12；目录摘要</x:v>
      </x:c>
      <x:c r="E64" s="70" t="str">
        <x:v>2026-09-17</x:v>
      </x:c>
      <x:c r="F64" s="70" t="str">
        <x:v>官方搜索摘要核对MHF4U、MCV4U、MDM4U；精确课程链接未稳定返回，开课前复核。</x:v>
      </x:c>
      <x:c r="G64" s="70" t="str">
        <x:v>https://www.dcp.edu.gov.on.ca/</x:v>
      </x:c>
    </x:row>
    <x:row r="65" ht="64" customHeight="1">
      <x:c r="A65" s="71" t="str">
        <x:v>V3-VCE</x:v>
      </x:c>
      <x:c r="B65" s="70" t="str">
        <x:v>VCAA VCE study designs</x:v>
      </x:c>
      <x:c r="C65" s="70" t="str">
        <x:v>官方</x:v>
      </x:c>
      <x:c r="D65" s="70" t="str">
        <x:v>官方网页/目录；2026-09-17读取</x:v>
      </x:c>
      <x:c r="E65" s="70" t="str">
        <x:v>2026-09-17</x:v>
      </x:c>
      <x:c r="F65" s="70" t="str">
        <x:v>常用VCE学科目录；本版不展开各科Units1–4/计分科目代码、VET及所有语言，不能代替选课组合。</x:v>
      </x:c>
      <x:c r="G65" s="70" t="str">
        <x:v>https://www.vcaa.vic.edu.au/curriculum/vce-curriculum/vce-study-designs/vce-study-designs</x:v>
      </x:c>
    </x:row>
    <x:row r="66" ht="64" customHeight="1">
      <x:c r="A66" s="71" t="str">
        <x:v>V3-HSC</x:v>
      </x:c>
      <x:c r="B66" s="70" t="str">
        <x:v>NSW senior secondary syllabuses</x:v>
      </x:c>
      <x:c r="C66" s="70" t="str">
        <x:v>官方</x:v>
      </x:c>
      <x:c r="D66" s="70" t="str">
        <x:v>官方网页/目录；2026-09-17读取</x:v>
      </x:c>
      <x:c r="E66" s="70" t="str">
        <x:v>2026-09-17</x:v>
      </x:c>
      <x:c r="F66" s="70" t="str">
        <x:v>常用Stage6课程及新旧大纲状态；英语/数学2026年11、12年级可能使用不同版本。</x:v>
      </x:c>
      <x:c r="G66" s="70" t="str">
        <x:v>https://curriculum.nsw.edu.au/stages/senior</x:v>
      </x:c>
    </x:row>
    <x:row r="67" ht="64" customHeight="1">
      <x:c r="A67" s="71" t="str">
        <x:v>V3-CBSE</x:v>
      </x:c>
      <x:c r="B67" s="70" t="str">
        <x:v>CBSE curriculum 2026–27</x:v>
      </x:c>
      <x:c r="C67" s="70" t="str">
        <x:v>官方</x:v>
      </x:c>
      <x:c r="D67" s="70" t="str">
        <x:v>2026–27学年</x:v>
      </x:c>
      <x:c r="E67" s="70" t="str">
        <x:v>2026-09-17</x:v>
      </x:c>
      <x:c r="F67" s="70" t="str">
        <x:v>XI–XII部分常用学科；本版未逐科提取报名代码及理论/实操满分。</x:v>
      </x:c>
      <x:c r="G67" s="70" t="str">
        <x:v>https://cbseacademic.nic.in/curriculum_2027.html</x:v>
      </x:c>
    </x:row>
    <x:row r="68" ht="64" customHeight="1">
      <x:c r="A68" s="71" t="str">
        <x:v>V3-SAT</x:v>
      </x:c>
      <x:c r="B68" s="70" t="str">
        <x:v>SAT test structure</x:v>
      </x:c>
      <x:c r="C68" s="70" t="str">
        <x:v>官方</x:v>
      </x:c>
      <x:c r="D68" s="70" t="str">
        <x:v>官方网页/目录；2026-09-17读取</x:v>
      </x:c>
      <x:c r="E68" s="70" t="str">
        <x:v>2026-09-17</x:v>
      </x:c>
      <x:c r="F68" s="70" t="str">
        <x:v>Reading and Writing、Math两部分及自适应模块；不属于美国高中毕业文凭。</x:v>
      </x:c>
      <x:c r="G68" s="70" t="str">
        <x:v>https://satsuite.collegeboard.org/sat/whats-on-the-test/structure</x:v>
      </x:c>
    </x:row>
    <x:row r="69" ht="64" customHeight="1">
      <x:c r="A69" s="71" t="str">
        <x:v>V3-ACT</x:v>
      </x:c>
      <x:c r="B69" s="70" t="str">
        <x:v>ACT international test enhancements</x:v>
      </x:c>
      <x:c r="C69" s="70" t="str">
        <x:v>官方</x:v>
      </x:c>
      <x:c r="D69" s="70" t="str">
        <x:v>官方网页/目录；2026-09-17读取</x:v>
      </x:c>
      <x:c r="E69" s="70" t="str">
        <x:v>2026-09-17</x:v>
      </x:c>
      <x:c r="F69" s="70" t="str">
        <x:v>国际版2026增强版；必考英语/数学/阅读，科学及写作选择依报考产品，Composite不按旧四科公式。</x:v>
      </x:c>
      <x:c r="G69" s="70" t="str">
        <x:v>https://global.act.org/content/global/en/products-and-services/the-act-non-us/test-preparation/test-enhancements.html</x:v>
      </x:c>
    </x:row>
    <x:row r="70" ht="64" customHeight="1">
      <x:c r="A70" s="71" t="str">
        <x:v>V3-IELTS</x:v>
      </x:c>
      <x:c r="B70" s="70" t="str">
        <x:v>IELTS Academic</x:v>
      </x:c>
      <x:c r="C70" s="70" t="str">
        <x:v>官方</x:v>
      </x:c>
      <x:c r="D70" s="70" t="str">
        <x:v>官方网页/目录；2026-09-17读取</x:v>
      </x:c>
      <x:c r="E70" s="70" t="str">
        <x:v>2026-09-17</x:v>
      </x:c>
      <x:c r="F70" s="70" t="str">
        <x:v>Academic考试与四项技能；GT单列备考产品，UKVI/机考等作为考试属性而非新学科。</x:v>
      </x:c>
      <x:c r="G70" s="70" t="str">
        <x:v>https://ielts.org/take-a-test/test-types/ielts-academic-test</x:v>
      </x:c>
    </x:row>
    <x:row r="71" ht="64" customHeight="1">
      <x:c r="A71" s="71" t="str">
        <x:v>V3-IELTS-GT</x:v>
      </x:c>
      <x:c r="B71" s="70" t="str">
        <x:v>IELTS General Training</x:v>
      </x:c>
      <x:c r="C71" s="70" t="str">
        <x:v>官方</x:v>
      </x:c>
      <x:c r="D71" s="70" t="str">
        <x:v>官方网页/目录；2026-09-17读取</x:v>
      </x:c>
      <x:c r="E71" s="70" t="str">
        <x:v>2026-09-17</x:v>
      </x:c>
      <x:c r="F71" s="70" t="str">
        <x:v>GT不默认替代Academic用于学位申请。</x:v>
      </x:c>
      <x:c r="G71" s="70" t="str">
        <x:v>https://ielts.org/take-a-test/test-types/ielts-general-training-test</x:v>
      </x:c>
    </x:row>
    <x:row r="72" ht="64" customHeight="1">
      <x:c r="A72" s="71" t="str">
        <x:v>V3-TOEFL26</x:v>
      </x:c>
      <x:c r="B72" s="70" t="str">
        <x:v>ETS TOEFL iBT content</x:v>
      </x:c>
      <x:c r="C72" s="70" t="str">
        <x:v>官方</x:v>
      </x:c>
      <x:c r="D72" s="70" t="str">
        <x:v>官方网页/目录；2026-09-17读取</x:v>
      </x:c>
      <x:c r="E72" s="70" t="str">
        <x:v>2026-09-17</x:v>
      </x:c>
      <x:c r="F72" s="70" t="str">
        <x:v>2026年1月起新题型、1–6量表与过渡对照；Home Edition为模式，不独立制造一门新学科。</x:v>
      </x:c>
      <x:c r="G72" s="70" t="str">
        <x:v>https://www.ets.org/toefl/test-takers/ibt/about/content.html</x:v>
      </x:c>
    </x:row>
    <x:row r="73" ht="64" customHeight="1">
      <x:c r="A73" s="71" t="str">
        <x:v>V3-DET</x:v>
      </x:c>
      <x:c r="B73" s="70" t="str">
        <x:v>Duolingo English Test scores</x:v>
      </x:c>
      <x:c r="C73" s="70" t="str">
        <x:v>官方</x:v>
      </x:c>
      <x:c r="D73" s="70" t="str">
        <x:v>官方网页/目录；2026-09-17读取</x:v>
      </x:c>
      <x:c r="E73" s="70" t="str">
        <x:v>2026-09-17</x:v>
      </x:c>
      <x:c r="F73" s="70" t="str">
        <x:v>10–160成绩量表与分项；DET不是Duolingo学习APP。</x:v>
      </x:c>
      <x:c r="G73" s="70" t="str">
        <x:v>https://englishtest.duolingo.com/scores</x:v>
      </x:c>
    </x:row>
    <x:row r="74" ht="64" customHeight="1">
      <x:c r="A74" s="71" t="str">
        <x:v>V3-DET26</x:v>
      </x:c>
      <x:c r="B74" s="70" t="str">
        <x:v>DET Scoring Guide for Teachers 2026</x:v>
      </x:c>
      <x:c r="C74" s="70" t="str">
        <x:v>官方</x:v>
      </x:c>
      <x:c r="D74" s="70" t="str">
        <x:v>2026</x:v>
      </x:c>
      <x:c r="E74" s="70" t="str">
        <x:v>2026-09-17</x:v>
      </x:c>
      <x:c r="F74" s="70" t="str">
        <x:v>四项独立能力与四项组合分；教学四技能不能冒充四个独立计时考卷。</x:v>
      </x:c>
      <x:c r="G74" s="70" t="str">
        <x:v>https://englishtest-static.duolingo.com/media/resources/DET_Scoring%20Guide%20for%20Teachers%20%282026%29.pdf</x:v>
      </x:c>
    </x:row>
    <x:row r="75" ht="64" customHeight="1">
      <x:c r="A75" s="71" t="str">
        <x:v>V3-PTE</x:v>
      </x:c>
      <x:c r="B75" s="70" t="str">
        <x:v>PTE Academic scoring</x:v>
      </x:c>
      <x:c r="C75" s="70" t="str">
        <x:v>官方</x:v>
      </x:c>
      <x:c r="D75" s="70" t="str">
        <x:v>官方网页/目录；2026-09-17读取</x:v>
      </x:c>
      <x:c r="E75" s="70" t="str">
        <x:v>2026-09-17</x:v>
      </x:c>
      <x:c r="F75" s="70" t="str">
        <x:v>10–90量表；总分不简单等于四技能均值。</x:v>
      </x:c>
      <x:c r="G75" s="70" t="str">
        <x:v>https://www.pearsonpte.com/pte-academic/scoring/</x:v>
      </x:c>
    </x:row>
    <x:row r="76" ht="64" customHeight="1">
      <x:c r="A76" s="71" t="str">
        <x:v>V3-CAM-ENG</x:v>
      </x:c>
      <x:c r="B76" s="70" t="str">
        <x:v>Cambridge English Qualifications</x:v>
      </x:c>
      <x:c r="C76" s="70" t="str">
        <x:v>官方</x:v>
      </x:c>
      <x:c r="D76" s="70" t="str">
        <x:v>官方网页/目录；2026-09-17读取</x:v>
      </x:c>
      <x:c r="E76" s="70" t="str">
        <x:v>2026-09-17</x:v>
      </x:c>
      <x:c r="F76" s="70" t="str">
        <x:v>A2 Key、B1 Preliminary、B2 First、C1 Advanced、C2 Proficiency；for Schools考试产品分开记录。</x:v>
      </x:c>
      <x:c r="G76" s="70" t="str">
        <x:v>https://www.cambridgeenglish.org/exams-and-tests/qualifications/preparation/</x:v>
      </x:c>
    </x:row>
    <x:row r="77" ht="64" customHeight="1">
      <x:c r="A77" s="71" t="str">
        <x:v>V3-CAEL</x:v>
      </x:c>
      <x:c r="B77" s="70" t="str">
        <x:v>CAEL results and scoring</x:v>
      </x:c>
      <x:c r="C77" s="70" t="str">
        <x:v>官方</x:v>
      </x:c>
      <x:c r="D77" s="70" t="str">
        <x:v>官方网页/目录；2026-09-17读取</x:v>
      </x:c>
      <x:c r="E77" s="70" t="str">
        <x:v>2026-09-17</x:v>
      </x:c>
      <x:c r="F77" s="70" t="str">
        <x:v>10–90，按10分档报告；接受学校和最低要求另核。</x:v>
      </x:c>
      <x:c r="G77" s="70" t="str">
        <x:v>https://cael.ca/take-cael/test-results-scoring/</x:v>
      </x:c>
    </x:row>
    <x:row r="78" ht="64" customHeight="1">
      <x:c r="A78" s="71" t="str">
        <x:v>V3-LANGCERT</x:v>
      </x:c>
      <x:c r="B78" s="70" t="str">
        <x:v>LANGUAGECERT Academic</x:v>
      </x:c>
      <x:c r="C78" s="70" t="str">
        <x:v>官方</x:v>
      </x:c>
      <x:c r="D78" s="70" t="str">
        <x:v>官方网页/目录；2026-09-17读取</x:v>
      </x:c>
      <x:c r="E78" s="70" t="str">
        <x:v>2026-09-17</x:v>
      </x:c>
      <x:c r="F78" s="70" t="str">
        <x:v>Academic B1–C2多级别学术英语考试，和International ESOL、SELT产品不能无条件混用。</x:v>
      </x:c>
      <x:c r="G78" s="70" t="str">
        <x:v>https://www.languagecert.org/en/language-exams/english/languagecert-academic/academic</x:v>
      </x:c>
    </x:row>
    <x:row r="79" ht="64" customHeight="1">
      <x:c r="A79" s="71" t="str">
        <x:v>V3-NCEA</x:v>
      </x:c>
      <x:c r="B79" s="70" t="str">
        <x:v>NZQA About NCEA</x:v>
      </x:c>
      <x:c r="C79" s="70" t="str">
        <x:v>官方</x:v>
      </x:c>
      <x:c r="D79" s="70" t="str">
        <x:v>2026官方体系入口</x:v>
      </x:c>
      <x:c r="E79" s="70" t="str">
        <x:v>2026-09-17</x:v>
      </x:c>
      <x:c r="F79" s="70" t="str">
        <x:v>仅体系入口核对；具体科目、achievement standard版本本版未填入02。</x:v>
      </x:c>
      <x:c r="G79" s="70" t="str">
        <x:v>https://www2.nzqa.govt.nz/ncea/about-ncea/</x:v>
      </x:c>
    </x:row>
    <x:row r="80" ht="64" customHeight="1">
      <x:c r="A80" s="71" t="str">
        <x:v>V3-SAT-SCORES</x:v>
      </x:c>
      <x:c r="B80" s="70" t="str">
        <x:v>SAT score scale</x:v>
      </x:c>
      <x:c r="C80" s="70" t="str">
        <x:v>官方</x:v>
      </x:c>
      <x:c r="D80" s="70" t="str">
        <x:v>官方网页/目录；2026-09-17读取</x:v>
      </x:c>
      <x:c r="E80" s="70" t="str">
        <x:v>2026-09-17</x:v>
      </x:c>
      <x:c r="F80" s="70" t="str">
        <x:v>400–1600 total; Reading and Writing and Math each 200–800; scaled scores, not raw marks.</x:v>
      </x:c>
      <x:c r="G80" s="70" t="str">
        <x:v>https://satsuite.collegeboard.org/scores/what-scores-mean</x:v>
      </x:c>
    </x:row>
    <x:row r="81" ht="64" customHeight="1">
      <x:c r="A81" s="71" t="str">
        <x:v>V3-TOEFL-SCORE</x:v>
      </x:c>
      <x:c r="B81" s="70" t="str">
        <x:v>TOEFL iBT score scales and January 2026 transition</x:v>
      </x:c>
      <x:c r="C81" s="70" t="str">
        <x:v>官方</x:v>
      </x:c>
      <x:c r="D81" s="70" t="str">
        <x:v>官方网页/目录；2026-09-17读取</x:v>
      </x:c>
      <x:c r="E81" s="70" t="str">
        <x:v>2026-09-17</x:v>
      </x:c>
      <x:c r="F81" s="70" t="str">
        <x:v>2026-01-21起1–6半分档；两年过渡期另报可比0–120总分；旧考试不覆盖。</x:v>
      </x:c>
      <x:c r="G81" s="70" t="str">
        <x:v>https://www.ets.org/toefl/test-takers/ibt/scores/understand-scores.html</x:v>
      </x:c>
    </x:row>
    <x:row r="82" ht="64" customHeight="1">
      <x:c r="A82" s="71" t="str">
        <x:v>V3-IELTS-SCORE</x:v>
      </x:c>
      <x:c r="B82" s="70" t="str">
        <x:v>IELTS scoring in detail</x:v>
      </x:c>
      <x:c r="C82" s="70" t="str">
        <x:v>官方</x:v>
      </x:c>
      <x:c r="D82" s="70" t="str">
        <x:v>官方网页/目录；2026-09-17读取</x:v>
      </x:c>
      <x:c r="E82" s="70" t="str">
        <x:v>2026-09-17</x:v>
      </x:c>
      <x:c r="F82" s="70" t="str">
        <x:v>0–9、半分档；四项总平均及官方舍入规则。</x:v>
      </x:c>
      <x:c r="G82" s="70" t="str">
        <x:v>https://ielts.org/take-a-test/your-results/ielts-scoring-in-detail</x:v>
      </x:c>
    </x:row>
    <x:row r="83" ht="64" customHeight="1">
      <x:c r="A83" s="71" t="str">
        <x:v>V3-UCAT</x:v>
      </x:c>
      <x:c r="B83" s="70" t="str">
        <x:v>UCAT test format and scoring</x:v>
      </x:c>
      <x:c r="C83" s="70" t="str">
        <x:v>官方</x:v>
      </x:c>
      <x:c r="D83" s="70" t="str">
        <x:v>官方网页/目录；2026-09-17读取</x:v>
      </x:c>
      <x:c r="E83" s="70" t="str">
        <x:v>2026-09-17</x:v>
      </x:c>
      <x:c r="F83" s="70" t="str">
        <x:v>现行三项认知分测验+SJT；不沿用旧Abstract Reasoning；不同地区产品须另核。</x:v>
      </x:c>
      <x:c r="G83" s="70" t="str">
        <x:v>https://www.ucat.ac.uk/about-ucat/test-format-and-scoring/</x:v>
      </x:c>
    </x:row>
    <x:row r="84" ht="64" customHeight="1">
      <x:c r="A84" s="71" t="str">
        <x:v>V3-UATUK</x:v>
      </x:c>
      <x:c r="B84" s="70" t="str">
        <x:v>UAT-UK admissions tests</x:v>
      </x:c>
      <x:c r="C84" s="70" t="str">
        <x:v>官方</x:v>
      </x:c>
      <x:c r="D84" s="70" t="str">
        <x:v>官方网页/目录；2026-09-17读取</x:v>
      </x:c>
      <x:c r="E84" s="70" t="str">
        <x:v>2026-09-17</x:v>
      </x:c>
      <x:c r="F84" s="70" t="str">
        <x:v>ESAT、TMUA、TARA产品；具体大学要求、模块选择及评分本版不推断。</x:v>
      </x:c>
      <x:c r="G84" s="70" t="str">
        <x:v>https://esat-tmua.ac.uk/</x:v>
      </x:c>
    </x:row>
    <x:row r="85" ht="64" customHeight="1">
      <x:c r="A85" s="71" t="str">
        <x:v>V3-LNAT</x:v>
      </x:c>
      <x:c r="B85" s="70" t="str">
        <x:v>LNAT overview</x:v>
      </x:c>
      <x:c r="C85" s="70" t="str">
        <x:v>官方</x:v>
      </x:c>
      <x:c r="D85" s="70" t="str">
        <x:v>官方网页/目录；2026-09-17读取</x:v>
      </x:c>
      <x:c r="E85" s="70" t="str">
        <x:v>2026-09-17</x:v>
      </x:c>
      <x:c r="F85" s="70" t="str">
        <x:v>阅读多选与论述；院校录取规则不在本目录。</x:v>
      </x:c>
      <x:c r="G85" s="70" t="str">
        <x:v>https://lnat.ac.uk/what-is-lnat/</x:v>
      </x:c>
    </x:row>
    <x:row r="86" ht="64" customHeight="1">
      <x:c r="A86" s="71" t="str">
        <x:v>V3-STEP</x:v>
      </x:c>
      <x:c r="B86" s="70" t="str">
        <x:v>OCR STEP Mathematics</x:v>
      </x:c>
      <x:c r="C86" s="70" t="str">
        <x:v>官方</x:v>
      </x:c>
      <x:c r="D86" s="70" t="str">
        <x:v>官方网页/目录；2026-09-17读取</x:v>
      </x:c>
      <x:c r="E86" s="70" t="str">
        <x:v>2026-09-17</x:v>
      </x:c>
      <x:c r="F86" s="70" t="str">
        <x:v>STEP 2与STEP 3；本版不建立STEP 1新开课程。</x:v>
      </x:c>
      <x:c r="G86" s="70" t="str">
        <x:v>https://www.ocr.org.uk/students/step-mathematics/</x:v>
      </x:c>
    </x:row>
    <x:row r="87" ht="64" customHeight="1">
      <x:c r="A87" s="71" t="str">
        <x:v>V3-HK-A-INDEX</x:v>
      </x:c>
      <x:c r="B87" s="70" t="str">
        <x:v>HKDSE Category A subject index / examination registration FAQ</x:v>
      </x:c>
      <x:c r="C87" s="70" t="str">
        <x:v>官方索引／检索摘要</x:v>
      </x:c>
      <x:c r="D87" s="70" t="str">
        <x:v>官方网页/目录；2026-09-17读取</x:v>
      </x:c>
      <x:c r="E87" s="70" t="str">
        <x:v>2026-09-17</x:v>
      </x:c>
      <x:c r="F87" s="70" t="str">
        <x:v>Category A科目目录；部分正文读取受限，以官方索引检索核对名称，逐科试卷尚未展开。</x:v>
      </x:c>
      <x:c r="G87" s="70" t="str">
        <x:v>https://www.hkeaa.edu.hk/en/hkdse/assessment/subject_information/category_a_subjects/</x:v>
      </x:c>
    </x:row>
    <x:row r="88" ht="64" customHeight="1">
      <x:c r="A88" s="71" t="str">
        <x:v>V3-HK-MATH</x:v>
      </x:c>
      <x:c r="B88" s="70" t="str">
        <x:v>HKDSE Mathematics curriculum: Compulsory and Extended Parts</x:v>
      </x:c>
      <x:c r="C88" s="70" t="str">
        <x:v>官方</x:v>
      </x:c>
      <x:c r="D88" s="70" t="str">
        <x:v>官方课程结构文件；考试年框架另核</x:v>
      </x:c>
      <x:c r="E88" s="70" t="str">
        <x:v>2026-09-17</x:v>
      </x:c>
      <x:c r="F88" s="70" t="str">
        <x:v>结构背景：Compulsory；Extended M1 Calculus and Statistics、M2 Algebra and Calculus。不是2026考试时长依据。</x:v>
      </x:c>
      <x:c r="G88" s="70" t="str">
        <x:v>https://www.edb.gov.hk/attachment/en/curriculum-development/kla/ma/res/m2_eng.pdf</x:v>
      </x:c>
    </x:row>
    <x:row r="89" ht="64" customHeight="1">
      <x:c r="A89" s="71" t="str">
        <x:v>V3-HK-C-2026</x:v>
      </x:c>
      <x:c r="B89" s="70" t="str">
        <x:v>HKDSE Category C Urdu/Hindi implementation</x:v>
      </x:c>
      <x:c r="C89" s="70" t="str">
        <x:v>官方</x:v>
      </x:c>
      <x:c r="D89" s="70" t="str">
        <x:v>官方网页/目录；2026-09-17读取</x:v>
      </x:c>
      <x:c r="E89" s="70" t="str">
        <x:v>2026-09-17</x:v>
      </x:c>
      <x:c r="F89" s="70" t="str">
        <x:v>Urdu自2026；Hindi自2028；语言考试与所需等级另按HKEAA确认。</x:v>
      </x:c>
      <x:c r="G89" s="70" t="str">
        <x:v>https://www.info.gov.hk/gia/general/202606/23/P2026062300228.htm</x:v>
      </x:c>
    </x:row>
  </x:sheetData>
  <x:pageMargins left="0.7" right="0.7" top="0.75" bottom="0.75" header="0.3" footer="0.3"/>
  <x:tableParts count="1">
    <x:tablePart xmlns:r="http://schemas.openxmlformats.org/officeDocument/2006/relationships" r:id="R6a79a06bea094a8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8" hidden="0" customWidth="1"/>
    <x:col min="5" max="5" width="55" hidden="0" customWidth="1"/>
    <x:col min="6" max="6" width="20" hidden="0" customWidth="1"/>
    <x:col min="7" max="7" width="16" hidden="0" customWidth="1"/>
    <x:col min="8" max="8" width="30" hidden="0" customWidth="1"/>
    <x:col min="9" max="9" width="25" hidden="0" customWidth="1"/>
    <x:col min="10" max="10" width="58" hidden="0" customWidth="1"/>
    <x:col min="11" max="11" width="43" hidden="0" customWidth="1"/>
    <x:col min="12" max="12" width="20" hidden="0" customWidth="1"/>
    <x:col min="13" max="13" width="27" hidden="0" customWidth="1"/>
    <x:col min="14" max="14" width="100" hidden="0" customWidth="1"/>
    <x:col min="15" max="15" width="34" hidden="0" customWidth="1"/>
  </x:cols>
  <x:sheetData>
    <x:row r="1" ht="40" customHeight="1">
      <x:c r="A1" s="13" t="str">
        <x:v>原CSV行号</x:v>
      </x:c>
      <x:c r="B1" s="13" t="str">
        <x:v>所属科目（继承后）</x:v>
      </x:c>
      <x:c r="C1" s="13" t="str">
        <x:v>原Cash-in（继承后）</x:v>
      </x:c>
      <x:c r="D1" s="13" t="str">
        <x:v>原Unit Code</x:v>
      </x:c>
      <x:c r="E1" s="13" t="str">
        <x:v>原Unit Name</x:v>
      </x:c>
      <x:c r="F1" s="13" t="str">
        <x:v>原Duration</x:v>
      </x:c>
      <x:c r="G1" s="13" t="str">
        <x:v>原Total UMS</x:v>
      </x:c>
      <x:c r="H1" s="13" t="str">
        <x:v>核对后的资格代码</x:v>
      </x:c>
      <x:c r="I1" s="13" t="str">
        <x:v>候选单元代码</x:v>
      </x:c>
      <x:c r="J1" s="13" t="str">
        <x:v>候选单元名称</x:v>
      </x:c>
      <x:c r="K1" s="13" t="str">
        <x:v>核定考试时长</x:v>
      </x:c>
      <x:c r="L1" s="13" t="str">
        <x:v>核定UMS</x:v>
      </x:c>
      <x:c r="M1" s="13" t="str">
        <x:v>处理状态</x:v>
      </x:c>
      <x:c r="N1" s="13" t="str">
        <x:v>差异解释</x:v>
      </x:c>
      <x:c r="O1" s="13" t="str">
        <x:v>来源编号</x:v>
      </x:c>
    </x:row>
    <x:row r="2" ht="52" customHeight="1">
      <x:c r="A2" s="20" t="n">
        <x:v>2</x:v>
      </x:c>
      <x:c r="B2" s="21" t="str">
        <x:v>Accounting</x:v>
      </x:c>
      <x:c r="C2" s="21" t="str">
        <x:v>XAC01 / YAC01</x:v>
      </x:c>
      <x:c r="D2" s="21" t="str">
        <x:v>WAC11</x:v>
      </x:c>
      <x:c r="E2" s="21" t="str">
        <x:v>IAL Accounting Unit 1</x:v>
      </x:c>
      <x:c r="F2" s="21" t="str">
        <x:v>2h</x:v>
      </x:c>
      <x:c r="G2" s="21" t="str">
        <x:v>120</x:v>
      </x:c>
      <x:c r="H2" s="21" t="str">
        <x:v>XAC11 / YAC11</x:v>
      </x:c>
      <x:c r="I2" s="21" t="str">
        <x:v>WAC11</x:v>
      </x:c>
      <x:c r="J2" s="21" t="str">
        <x:v>The Accounting System and Costing</x:v>
      </x:c>
      <x:c r="K2" s="21" t="str">
        <x:v>180分钟</x:v>
      </x:c>
      <x:c r="L2" s="21" t="n">
        <x:v>300</x:v>
      </x:c>
      <x:c r="M2" s="21" t="str">
        <x:v>有差异，采用前确认</x:v>
      </x:c>
      <x:c r="N2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2" s="21" t="str">
        <x:v>P-ACCOUNTING;P-MAN;P-UMS</x:v>
      </x:c>
    </x:row>
    <x:row r="3" ht="52" customHeight="1">
      <x:c r="A3" s="20" t="n">
        <x:v>3</x:v>
      </x:c>
      <x:c r="B3" s="21" t="str">
        <x:v>Accounting</x:v>
      </x:c>
      <x:c r="C3" s="21" t="str">
        <x:v>XAC01 / YAC01</x:v>
      </x:c>
      <x:c r="D3" s="21" t="str">
        <x:v>WAC12</x:v>
      </x:c>
      <x:c r="E3" s="21" t="str">
        <x:v>IAL Accounting Unit 2</x:v>
      </x:c>
      <x:c r="F3" s="21" t="str">
        <x:v>2h</x:v>
      </x:c>
      <x:c r="G3" s="21" t="str">
        <x:v>120</x:v>
      </x:c>
      <x:c r="H3" s="21" t="str">
        <x:v>XAC11 / YAC11</x:v>
      </x:c>
      <x:c r="I3" s="21" t="str">
        <x:v>WAC12</x:v>
      </x:c>
      <x:c r="J3" s="21" t="str">
        <x:v>Corporate and Management Accounting</x:v>
      </x:c>
      <x:c r="K3" s="21" t="str">
        <x:v>180分钟</x:v>
      </x:c>
      <x:c r="L3" s="21" t="n">
        <x:v>300</x:v>
      </x:c>
      <x:c r="M3" s="21" t="str">
        <x:v>有差异，采用前确认</x:v>
      </x:c>
      <x:c r="N3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3" s="21" t="str">
        <x:v>P-ACCOUNTING;P-MAN;P-UMS</x:v>
      </x:c>
    </x:row>
    <x:row r="4" ht="52" customHeight="1">
      <x:c r="A4" s="20" t="n">
        <x:v>4</x:v>
      </x:c>
      <x:c r="B4" s="21" t="str">
        <x:v>Arabic</x:v>
      </x:c>
      <x:c r="C4" s="21" t="str">
        <x:v>XAR01 / YAR01</x:v>
      </x:c>
      <x:c r="D4" s="21" t="str">
        <x:v>WAR11</x:v>
      </x:c>
      <x:c r="E4" s="21" t="str">
        <x:v>Unit 1 Listening, Reading &amp; Writing</x:v>
      </x:c>
      <x:c r="F4" s="21" t="str">
        <x:v>2h</x:v>
      </x:c>
      <x:c r="G4" s="21" t="str">
        <x:v>80</x:v>
      </x:c>
      <x:c r="H4" s="21" t="str">
        <x:v>XAA01 / YAA01</x:v>
      </x:c>
      <x:c r="I4" s="21" t="str">
        <x:v>WAA01 / WAA02</x:v>
      </x:c>
      <x:c r="J4" s="21" t="str">
        <x:v>Understanding and Written Response / Writing and Research</x:v>
      </x:c>
      <x:c r="K4" s="21" t="str">
        <x:v>WAA01：150分钟；WAA02：180分钟</x:v>
      </x:c>
      <x:c r="L4" s="21" t="str">
        <x:v>每单元100</x:v>
      </x:c>
      <x:c r="M4" s="21" t="str">
        <x:v>需整组重建/确认</x:v>
      </x:c>
      <x:c r="N4" s="21" t="str">
        <x:v>原表4个WAR单元与官方2个WAA单元结构不同；不做逐行一一自动替换。 原cash-in与核对值不同；IAS、IAL出口分别存储。</x:v>
      </x:c>
      <x:c r="O4" s="21" t="str">
        <x:v>P-ARABIC;P-MAN;P-UMS</x:v>
      </x:c>
    </x:row>
    <x:row r="5" ht="52" customHeight="1">
      <x:c r="A5" s="20" t="n">
        <x:v>5</x:v>
      </x:c>
      <x:c r="B5" s="21" t="str">
        <x:v>Arabic</x:v>
      </x:c>
      <x:c r="C5" s="21" t="str">
        <x:v>XAR01 / YAR01</x:v>
      </x:c>
      <x:c r="D5" s="21" t="str">
        <x:v>WAR12</x:v>
      </x:c>
      <x:c r="E5" s="21" t="str">
        <x:v>Unit 2 Speaking</x:v>
      </x:c>
      <x:c r="F5" s="21" t="str">
        <x:v>12–15 min</x:v>
      </x:c>
      <x:c r="G5" s="21" t="str">
        <x:v>40</x:v>
      </x:c>
      <x:c r="H5" s="21" t="str">
        <x:v>XAA01 / YAA01</x:v>
      </x:c>
      <x:c r="I5" s="21" t="str">
        <x:v>WAA01 / WAA02</x:v>
      </x:c>
      <x:c r="J5" s="21" t="str">
        <x:v>Understanding and Written Response / Writing and Research</x:v>
      </x:c>
      <x:c r="K5" s="21" t="str">
        <x:v>WAA01：150分钟；WAA02：180分钟</x:v>
      </x:c>
      <x:c r="L5" s="21" t="str">
        <x:v>每单元100</x:v>
      </x:c>
      <x:c r="M5" s="21" t="str">
        <x:v>需整组重建/确认</x:v>
      </x:c>
      <x:c r="N5" s="21" t="str">
        <x:v>原表4个WAR单元与官方2个WAA单元结构不同；不做逐行一一自动替换。 原cash-in与核对值不同；IAS、IAL出口分别存储。</x:v>
      </x:c>
      <x:c r="O5" s="21" t="str">
        <x:v>P-ARABIC;P-MAN;P-UMS</x:v>
      </x:c>
    </x:row>
    <x:row r="6" ht="52" customHeight="1">
      <x:c r="A6" s="20" t="n">
        <x:v>6</x:v>
      </x:c>
      <x:c r="B6" s="21" t="str">
        <x:v>Arabic</x:v>
      </x:c>
      <x:c r="C6" s="21" t="str">
        <x:v>XAR01 / YAR01</x:v>
      </x:c>
      <x:c r="D6" s="21" t="str">
        <x:v>WAR13</x:v>
      </x:c>
      <x:c r="E6" s="21" t="str">
        <x:v>Unit 3 Listening, Reading &amp; Writing</x:v>
      </x:c>
      <x:c r="F6" s="21" t="str">
        <x:v>2h</x:v>
      </x:c>
      <x:c r="G6" s="21" t="str">
        <x:v>80</x:v>
      </x:c>
      <x:c r="H6" s="21" t="str">
        <x:v>XAA01 / YAA01</x:v>
      </x:c>
      <x:c r="I6" s="21" t="str">
        <x:v>WAA01 / WAA02</x:v>
      </x:c>
      <x:c r="J6" s="21" t="str">
        <x:v>Understanding and Written Response / Writing and Research</x:v>
      </x:c>
      <x:c r="K6" s="21" t="str">
        <x:v>WAA01：150分钟；WAA02：180分钟</x:v>
      </x:c>
      <x:c r="L6" s="21" t="str">
        <x:v>每单元100</x:v>
      </x:c>
      <x:c r="M6" s="21" t="str">
        <x:v>需整组重建/确认</x:v>
      </x:c>
      <x:c r="N6" s="21" t="str">
        <x:v>原表4个WAR单元与官方2个WAA单元结构不同；不做逐行一一自动替换。 原cash-in与核对值不同；IAS、IAL出口分别存储。</x:v>
      </x:c>
      <x:c r="O6" s="21" t="str">
        <x:v>P-ARABIC;P-MAN;P-UMS</x:v>
      </x:c>
    </x:row>
    <x:row r="7" ht="52" customHeight="1">
      <x:c r="A7" s="20" t="n">
        <x:v>7</x:v>
      </x:c>
      <x:c r="B7" s="21" t="str">
        <x:v>Arabic</x:v>
      </x:c>
      <x:c r="C7" s="21" t="str">
        <x:v>XAR01 / YAR01</x:v>
      </x:c>
      <x:c r="D7" s="21" t="str">
        <x:v>WAR14</x:v>
      </x:c>
      <x:c r="E7" s="21" t="str">
        <x:v>Unit 4 Speaking</x:v>
      </x:c>
      <x:c r="F7" s="21" t="str">
        <x:v>12–15 min</x:v>
      </x:c>
      <x:c r="G7" s="21" t="str">
        <x:v>40</x:v>
      </x:c>
      <x:c r="H7" s="21" t="str">
        <x:v>XAA01 / YAA01</x:v>
      </x:c>
      <x:c r="I7" s="21" t="str">
        <x:v>WAA01 / WAA02</x:v>
      </x:c>
      <x:c r="J7" s="21" t="str">
        <x:v>Understanding and Written Response / Writing and Research</x:v>
      </x:c>
      <x:c r="K7" s="21" t="str">
        <x:v>WAA01：150分钟；WAA02：180分钟</x:v>
      </x:c>
      <x:c r="L7" s="21" t="str">
        <x:v>每单元100</x:v>
      </x:c>
      <x:c r="M7" s="21" t="str">
        <x:v>需整组重建/确认</x:v>
      </x:c>
      <x:c r="N7" s="21" t="str">
        <x:v>原表4个WAR单元与官方2个WAA单元结构不同；不做逐行一一自动替换。 原cash-in与核对值不同；IAS、IAL出口分别存储。</x:v>
      </x:c>
      <x:c r="O7" s="21" t="str">
        <x:v>P-ARABIC;P-MAN;P-UMS</x:v>
      </x:c>
    </x:row>
    <x:row r="8" ht="52" customHeight="1">
      <x:c r="A8" s="20" t="n">
        <x:v>8</x:v>
      </x:c>
      <x:c r="B8" s="21" t="str">
        <x:v>Biology</x:v>
      </x:c>
      <x:c r="C8" s="21" t="str">
        <x:v>XBI01 / YBI01</x:v>
      </x:c>
      <x:c r="D8" s="21" t="str">
        <x:v>WBI11</x:v>
      </x:c>
      <x:c r="E8" s="21" t="str">
        <x:v>Unit 1 Molecules, Diet, Transport &amp; Health</x:v>
      </x:c>
      <x:c r="F8" s="21" t="str">
        <x:v>1h30</x:v>
      </x:c>
      <x:c r="G8" s="21" t="str">
        <x:v>80</x:v>
      </x:c>
      <x:c r="H8" s="21" t="str">
        <x:v>XBI11 / YBI11</x:v>
      </x:c>
      <x:c r="I8" s="21" t="str">
        <x:v>WBI11</x:v>
      </x:c>
      <x:c r="J8" s="21" t="str">
        <x:v>Molecules, Diet, Transport and Health</x:v>
      </x:c>
      <x:c r="K8" s="21" t="str">
        <x:v>90分钟</x:v>
      </x:c>
      <x:c r="L8" s="21" t="n">
        <x:v>120</x:v>
      </x:c>
      <x:c r="M8" s="21" t="str">
        <x:v>有差异，采用前确认</x:v>
      </x:c>
      <x:c r="N8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8" s="21" t="str">
        <x:v>P-BIOLOGY;P-MAN;P-UMS</x:v>
      </x:c>
    </x:row>
    <x:row r="9" ht="52" customHeight="1">
      <x:c r="A9" s="20" t="n">
        <x:v>9</x:v>
      </x:c>
      <x:c r="B9" s="21" t="str">
        <x:v>Biology</x:v>
      </x:c>
      <x:c r="C9" s="21" t="str">
        <x:v>XBI01 / YBI01</x:v>
      </x:c>
      <x:c r="D9" s="21" t="str">
        <x:v>WBI12</x:v>
      </x:c>
      <x:c r="E9" s="21" t="str">
        <x:v>Unit 2 Cells, Development, Biodiversity &amp; Conservation</x:v>
      </x:c>
      <x:c r="F9" s="21" t="str">
        <x:v>1h30</x:v>
      </x:c>
      <x:c r="G9" s="21" t="str">
        <x:v>80</x:v>
      </x:c>
      <x:c r="H9" s="21" t="str">
        <x:v>XBI11 / YBI11</x:v>
      </x:c>
      <x:c r="I9" s="21" t="str">
        <x:v>WBI12</x:v>
      </x:c>
      <x:c r="J9" s="21" t="str">
        <x:v>Cells, Development, Biodiversity and Conservation</x:v>
      </x:c>
      <x:c r="K9" s="21" t="str">
        <x:v>90分钟</x:v>
      </x:c>
      <x:c r="L9" s="21" t="n">
        <x:v>120</x:v>
      </x:c>
      <x:c r="M9" s="21" t="str">
        <x:v>有差异，采用前确认</x:v>
      </x:c>
      <x:c r="N9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9" s="21" t="str">
        <x:v>P-BIOLOGY;P-MAN;P-UMS</x:v>
      </x:c>
    </x:row>
    <x:row r="10" ht="52" customHeight="1">
      <x:c r="A10" s="20" t="n">
        <x:v>10</x:v>
      </x:c>
      <x:c r="B10" s="21" t="str">
        <x:v>Biology</x:v>
      </x:c>
      <x:c r="C10" s="21" t="str">
        <x:v>XBI01 / YBI01</x:v>
      </x:c>
      <x:c r="D10" s="21" t="str">
        <x:v>WBI13</x:v>
      </x:c>
      <x:c r="E10" s="21" t="str">
        <x:v>Unit 3 Practical Skills in Biology IAS</x:v>
      </x:c>
      <x:c r="F10" s="21" t="str">
        <x:v>1h20</x:v>
      </x:c>
      <x:c r="G10" s="21" t="str">
        <x:v>50</x:v>
      </x:c>
      <x:c r="H10" s="21" t="str">
        <x:v>XBI11 / YBI11</x:v>
      </x:c>
      <x:c r="I10" s="21" t="str">
        <x:v>WBI13</x:v>
      </x:c>
      <x:c r="J10" s="21" t="str">
        <x:v>Practical Skills in Biology I</x:v>
      </x:c>
      <x:c r="K10" s="21" t="str">
        <x:v>80分钟</x:v>
      </x:c>
      <x:c r="L10" s="21" t="n">
        <x:v>60</x:v>
      </x:c>
      <x:c r="M10" s="21" t="str">
        <x:v>有差异，采用前确认</x:v>
      </x:c>
      <x:c r="N10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10" s="21" t="str">
        <x:v>P-BIOLOGY;P-MAN;P-UMS</x:v>
      </x:c>
    </x:row>
    <x:row r="11" ht="52" customHeight="1">
      <x:c r="A11" s="20" t="n">
        <x:v>11</x:v>
      </x:c>
      <x:c r="B11" s="21" t="str">
        <x:v>Biology</x:v>
      </x:c>
      <x:c r="C11" s="21" t="str">
        <x:v>XBI01 / YBI01</x:v>
      </x:c>
      <x:c r="D11" s="21" t="str">
        <x:v>WBI14</x:v>
      </x:c>
      <x:c r="E11" s="21" t="str">
        <x:v>Unit 4 Energy, Environment, Microbiology &amp; Immunity</x:v>
      </x:c>
      <x:c r="F11" s="21" t="str">
        <x:v>1h45</x:v>
      </x:c>
      <x:c r="G11" s="21" t="str">
        <x:v>90</x:v>
      </x:c>
      <x:c r="H11" s="21" t="str">
        <x:v>XBI11 / YBI11</x:v>
      </x:c>
      <x:c r="I11" s="21" t="str">
        <x:v>WBI14</x:v>
      </x:c>
      <x:c r="J11" s="21" t="str">
        <x:v>Energy, Environment, Microbiology and Immunity</x:v>
      </x:c>
      <x:c r="K11" s="21" t="str">
        <x:v>105分钟</x:v>
      </x:c>
      <x:c r="L11" s="21" t="n">
        <x:v>120</x:v>
      </x:c>
      <x:c r="M11" s="21" t="str">
        <x:v>有差异，采用前确认</x:v>
      </x:c>
      <x:c r="N11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11" s="21" t="str">
        <x:v>P-BIOLOGY;P-MAN;P-UMS</x:v>
      </x:c>
    </x:row>
    <x:row r="12" ht="52" customHeight="1">
      <x:c r="A12" s="20" t="n">
        <x:v>12</x:v>
      </x:c>
      <x:c r="B12" s="21" t="str">
        <x:v>Biology</x:v>
      </x:c>
      <x:c r="C12" s="21" t="str">
        <x:v>XBI01 / YBI01</x:v>
      </x:c>
      <x:c r="D12" s="21" t="str">
        <x:v>WBI15</x:v>
      </x:c>
      <x:c r="E12" s="21" t="str">
        <x:v>Unit 5 Respiration, Muscles &amp; the Internal Environment</x:v>
      </x:c>
      <x:c r="F12" s="21" t="str">
        <x:v>1h45</x:v>
      </x:c>
      <x:c r="G12" s="21" t="str">
        <x:v>90</x:v>
      </x:c>
      <x:c r="H12" s="21" t="str">
        <x:v>XBI11 / YBI11</x:v>
      </x:c>
      <x:c r="I12" s="21" t="str">
        <x:v>WBI15</x:v>
      </x:c>
      <x:c r="J12" s="21" t="str">
        <x:v>Respiration, Internal Environment, Coordination and Gene Technology</x:v>
      </x:c>
      <x:c r="K12" s="21" t="str">
        <x:v>105分钟</x:v>
      </x:c>
      <x:c r="L12" s="21" t="n">
        <x:v>120</x:v>
      </x:c>
      <x:c r="M12" s="21" t="str">
        <x:v>有差异，采用前确认</x:v>
      </x:c>
      <x:c r="N12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12" s="21" t="str">
        <x:v>P-BIOLOGY;P-MAN;P-UMS</x:v>
      </x:c>
    </x:row>
    <x:row r="13" ht="52" customHeight="1">
      <x:c r="A13" s="20" t="n">
        <x:v>13</x:v>
      </x:c>
      <x:c r="B13" s="21" t="str">
        <x:v>Biology</x:v>
      </x:c>
      <x:c r="C13" s="21" t="str">
        <x:v>XBI01 / YBI01</x:v>
      </x:c>
      <x:c r="D13" s="21" t="str">
        <x:v>WBI16</x:v>
      </x:c>
      <x:c r="E13" s="21" t="str">
        <x:v>Unit 6 Practical Skills in Biology A2</x:v>
      </x:c>
      <x:c r="F13" s="21" t="str">
        <x:v>1h20</x:v>
      </x:c>
      <x:c r="G13" s="21" t="str">
        <x:v>50</x:v>
      </x:c>
      <x:c r="H13" s="21" t="str">
        <x:v>XBI11 / YBI11</x:v>
      </x:c>
      <x:c r="I13" s="21" t="str">
        <x:v>WBI16</x:v>
      </x:c>
      <x:c r="J13" s="21" t="str">
        <x:v>Practical Skills in Biology II</x:v>
      </x:c>
      <x:c r="K13" s="21" t="str">
        <x:v>80分钟</x:v>
      </x:c>
      <x:c r="L13" s="21" t="n">
        <x:v>60</x:v>
      </x:c>
      <x:c r="M13" s="21" t="str">
        <x:v>有差异，采用前确认</x:v>
      </x:c>
      <x:c r="N13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13" s="21" t="str">
        <x:v>P-BIOLOGY;P-MAN;P-UMS</x:v>
      </x:c>
    </x:row>
    <x:row r="14" ht="52" customHeight="1">
      <x:c r="A14" s="20" t="n">
        <x:v>14</x:v>
      </x:c>
      <x:c r="B14" s="21" t="str">
        <x:v>Business Studies</x:v>
      </x:c>
      <x:c r="C14" s="21" t="str">
        <x:v>XBS01 / YBS01</x:v>
      </x:c>
      <x:c r="D14" s="21" t="str">
        <x:v>WBS11</x:v>
      </x:c>
      <x:c r="E14" s="21" t="str">
        <x:v>Unit 1 Marketing &amp; People</x:v>
      </x:c>
      <x:c r="F14" s="21" t="str">
        <x:v>1h30</x:v>
      </x:c>
      <x:c r="G14" s="21" t="str">
        <x:v>80</x:v>
      </x:c>
      <x:c r="H14" s="21" t="str">
        <x:v>XBS11 / YBS11</x:v>
      </x:c>
      <x:c r="I14" s="21" t="str">
        <x:v>WBS11</x:v>
      </x:c>
      <x:c r="J14" s="21" t="str">
        <x:v>Marketing and People</x:v>
      </x:c>
      <x:c r="K14" s="21" t="str">
        <x:v>120分钟</x:v>
      </x:c>
      <x:c r="L14" s="21" t="n">
        <x:v>100</x:v>
      </x:c>
      <x:c r="M14" s="21" t="str">
        <x:v>有差异，采用前确认</x:v>
      </x:c>
      <x:c r="N14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14" s="21" t="str">
        <x:v>P-BUSINESS;P-MAN;P-UMS</x:v>
      </x:c>
    </x:row>
    <x:row r="15" ht="52" customHeight="1">
      <x:c r="A15" s="20" t="n">
        <x:v>15</x:v>
      </x:c>
      <x:c r="B15" s="21" t="str">
        <x:v>Business Studies</x:v>
      </x:c>
      <x:c r="C15" s="21" t="str">
        <x:v>XBS01 / YBS01</x:v>
      </x:c>
      <x:c r="D15" s="21" t="str">
        <x:v>WBS12</x:v>
      </x:c>
      <x:c r="E15" s="21" t="str">
        <x:v>Unit 2 Managing Business Activities</x:v>
      </x:c>
      <x:c r="F15" s="21" t="str">
        <x:v>1h30</x:v>
      </x:c>
      <x:c r="G15" s="21" t="str">
        <x:v>80</x:v>
      </x:c>
      <x:c r="H15" s="21" t="str">
        <x:v>XBS11 / YBS11</x:v>
      </x:c>
      <x:c r="I15" s="21" t="str">
        <x:v>WBS12</x:v>
      </x:c>
      <x:c r="J15" s="21" t="str">
        <x:v>Managing Business Activities</x:v>
      </x:c>
      <x:c r="K15" s="21" t="str">
        <x:v>120分钟</x:v>
      </x:c>
      <x:c r="L15" s="21" t="n">
        <x:v>100</x:v>
      </x:c>
      <x:c r="M15" s="21" t="str">
        <x:v>有差异，采用前确认</x:v>
      </x:c>
      <x:c r="N15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15" s="21" t="str">
        <x:v>P-BUSINESS;P-MAN;P-UMS</x:v>
      </x:c>
    </x:row>
    <x:row r="16" ht="52" customHeight="1">
      <x:c r="A16" s="20" t="n">
        <x:v>16</x:v>
      </x:c>
      <x:c r="B16" s="21" t="str">
        <x:v>Business Studies</x:v>
      </x:c>
      <x:c r="C16" s="21" t="str">
        <x:v>XBS01 / YBS01</x:v>
      </x:c>
      <x:c r="D16" s="21" t="str">
        <x:v>WBS13</x:v>
      </x:c>
      <x:c r="E16" s="21" t="str">
        <x:v>Unit 3 Business Decisions in Context</x:v>
      </x:c>
      <x:c r="F16" s="21" t="str">
        <x:v>2h</x:v>
      </x:c>
      <x:c r="G16" s="21" t="str">
        <x:v>100</x:v>
      </x:c>
      <x:c r="H16" s="21" t="str">
        <x:v>XBS11 / YBS11</x:v>
      </x:c>
      <x:c r="I16" s="21" t="str">
        <x:v>WBS13</x:v>
      </x:c>
      <x:c r="J16" s="21" t="str">
        <x:v>Business Decisions and Strategy</x:v>
      </x:c>
      <x:c r="K16" s="21" t="str">
        <x:v>120分钟</x:v>
      </x:c>
      <x:c r="L16" s="21" t="n">
        <x:v>100</x:v>
      </x:c>
      <x:c r="M16" s="21" t="str">
        <x:v>有差异，采用前确认</x:v>
      </x:c>
      <x:c r="N16" s="21" t="str">
        <x:v>保留原值供对照；候选英文名称、代码按当前列明来源统一，不推断课时或考试可用季。 原cash-in与核对值不同；IAS、IAL出口分别存储。</x:v>
      </x:c>
      <x:c r="O16" s="21" t="str">
        <x:v>P-BUSINESS;P-MAN;P-UMS</x:v>
      </x:c>
    </x:row>
    <x:row r="17" ht="52" customHeight="1">
      <x:c r="A17" s="20" t="n">
        <x:v>17</x:v>
      </x:c>
      <x:c r="B17" s="21" t="str">
        <x:v>Business Studies</x:v>
      </x:c>
      <x:c r="C17" s="21" t="str">
        <x:v>XBS01 / YBS01</x:v>
      </x:c>
      <x:c r="D17" s="21" t="str">
        <x:v>WBS14</x:v>
      </x:c>
      <x:c r="E17" s="21" t="str">
        <x:v>Unit 4 Global Business</x:v>
      </x:c>
      <x:c r="F17" s="21" t="str">
        <x:v>2h</x:v>
      </x:c>
      <x:c r="G17" s="21" t="str">
        <x:v>100</x:v>
      </x:c>
      <x:c r="H17" s="21" t="str">
        <x:v>XBS11 / YBS11</x:v>
      </x:c>
      <x:c r="I17" s="21" t="str">
        <x:v>WBS14</x:v>
      </x:c>
      <x:c r="J17" s="21" t="str">
        <x:v>Global Business</x:v>
      </x:c>
      <x:c r="K17" s="21" t="str">
        <x:v>120分钟</x:v>
      </x:c>
      <x:c r="L17" s="21" t="n">
        <x:v>100</x:v>
      </x:c>
      <x:c r="M17" s="21" t="str">
        <x:v>有差异，采用前确认</x:v>
      </x:c>
      <x:c r="N17" s="21" t="str">
        <x:v>保留原值供对照；候选英文名称、代码按当前列明来源统一，不推断课时或考试可用季。 原cash-in与核对值不同；IAS、IAL出口分别存储。</x:v>
      </x:c>
      <x:c r="O17" s="21" t="str">
        <x:v>P-BUSINESS;P-MAN;P-UMS</x:v>
      </x:c>
    </x:row>
    <x:row r="18" ht="52" customHeight="1">
      <x:c r="A18" s="20" t="n">
        <x:v>18</x:v>
      </x:c>
      <x:c r="B18" s="21" t="str">
        <x:v>Chemistry</x:v>
      </x:c>
      <x:c r="C18" s="21" t="str">
        <x:v>XCH01 / YCH01</x:v>
      </x:c>
      <x:c r="D18" s="21" t="str">
        <x:v>WCH11</x:v>
      </x:c>
      <x:c r="E18" s="21" t="str">
        <x:v>Unit 1 Structure, Bonding &amp; Introduction to Organic Chemistry</x:v>
      </x:c>
      <x:c r="F18" s="21" t="str">
        <x:v>1h30</x:v>
      </x:c>
      <x:c r="G18" s="21" t="str">
        <x:v>80</x:v>
      </x:c>
      <x:c r="H18" s="21" t="str">
        <x:v>XCH11 / YCH11</x:v>
      </x:c>
      <x:c r="I18" s="21" t="str">
        <x:v>WCH11</x:v>
      </x:c>
      <x:c r="J18" s="21" t="str">
        <x:v>Structure, Bonding and Introduction to Organic Chemistry</x:v>
      </x:c>
      <x:c r="K18" s="21" t="str">
        <x:v>90分钟</x:v>
      </x:c>
      <x:c r="L18" s="21" t="n">
        <x:v>120</x:v>
      </x:c>
      <x:c r="M18" s="21" t="str">
        <x:v>有差异，采用前确认</x:v>
      </x:c>
      <x:c r="N18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18" s="21" t="str">
        <x:v>P-CHEMISTRY;P-MAN;P-UMS</x:v>
      </x:c>
    </x:row>
    <x:row r="19" ht="52" customHeight="1">
      <x:c r="A19" s="20" t="n">
        <x:v>19</x:v>
      </x:c>
      <x:c r="B19" s="21" t="str">
        <x:v>Chemistry</x:v>
      </x:c>
      <x:c r="C19" s="21" t="str">
        <x:v>XCH01 / YCH01</x:v>
      </x:c>
      <x:c r="D19" s="21" t="str">
        <x:v>WCH12</x:v>
      </x:c>
      <x:c r="E19" s="21" t="str">
        <x:v>Unit 2 Energetics, Group Chemistry, Halogenoalkanes &amp; Alkenes</x:v>
      </x:c>
      <x:c r="F19" s="21" t="str">
        <x:v>1h30</x:v>
      </x:c>
      <x:c r="G19" s="21" t="str">
        <x:v>80</x:v>
      </x:c>
      <x:c r="H19" s="21" t="str">
        <x:v>XCH11 / YCH11</x:v>
      </x:c>
      <x:c r="I19" s="21" t="str">
        <x:v>WCH12</x:v>
      </x:c>
      <x:c r="J19" s="21" t="str">
        <x:v>Energetics, Group Chemistry, Halogenoalkanes and Alcohols</x:v>
      </x:c>
      <x:c r="K19" s="21" t="str">
        <x:v>90分钟</x:v>
      </x:c>
      <x:c r="L19" s="21" t="n">
        <x:v>120</x:v>
      </x:c>
      <x:c r="M19" s="21" t="str">
        <x:v>有差异，采用前确认</x:v>
      </x:c>
      <x:c r="N19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19" s="21" t="str">
        <x:v>P-CHEMISTRY;P-MAN;P-UMS</x:v>
      </x:c>
    </x:row>
    <x:row r="20" ht="52" customHeight="1">
      <x:c r="A20" s="20" t="n">
        <x:v>20</x:v>
      </x:c>
      <x:c r="B20" s="21" t="str">
        <x:v>Chemistry</x:v>
      </x:c>
      <x:c r="C20" s="21" t="str">
        <x:v>XCH01 / YCH01</x:v>
      </x:c>
      <x:c r="D20" s="21" t="str">
        <x:v>WCH13</x:v>
      </x:c>
      <x:c r="E20" s="21" t="str">
        <x:v>Unit 3 Practical Skills in Chemistry IAS</x:v>
      </x:c>
      <x:c r="F20" s="21" t="str">
        <x:v>1h20</x:v>
      </x:c>
      <x:c r="G20" s="21" t="str">
        <x:v>50</x:v>
      </x:c>
      <x:c r="H20" s="21" t="str">
        <x:v>XCH11 / YCH11</x:v>
      </x:c>
      <x:c r="I20" s="21" t="str">
        <x:v>WCH13</x:v>
      </x:c>
      <x:c r="J20" s="21" t="str">
        <x:v>Practical Skills in Chemistry I</x:v>
      </x:c>
      <x:c r="K20" s="21" t="str">
        <x:v>80分钟</x:v>
      </x:c>
      <x:c r="L20" s="21" t="n">
        <x:v>60</x:v>
      </x:c>
      <x:c r="M20" s="21" t="str">
        <x:v>有差异，采用前确认</x:v>
      </x:c>
      <x:c r="N20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20" s="21" t="str">
        <x:v>P-CHEMISTRY;P-MAN;P-UMS</x:v>
      </x:c>
    </x:row>
    <x:row r="21" ht="52" customHeight="1">
      <x:c r="A21" s="20" t="n">
        <x:v>21</x:v>
      </x:c>
      <x:c r="B21" s="21" t="str">
        <x:v>Chemistry</x:v>
      </x:c>
      <x:c r="C21" s="21" t="str">
        <x:v>XCH01 / YCH01</x:v>
      </x:c>
      <x:c r="D21" s="21" t="str">
        <x:v>WCH14</x:v>
      </x:c>
      <x:c r="E21" s="21" t="str">
        <x:v>Unit 4 Rates, Equilibria &amp; Further Organic Chemistry</x:v>
      </x:c>
      <x:c r="F21" s="21" t="str">
        <x:v>1h45</x:v>
      </x:c>
      <x:c r="G21" s="21" t="str">
        <x:v>90</x:v>
      </x:c>
      <x:c r="H21" s="21" t="str">
        <x:v>XCH11 / YCH11</x:v>
      </x:c>
      <x:c r="I21" s="21" t="str">
        <x:v>WCH14</x:v>
      </x:c>
      <x:c r="J21" s="21" t="str">
        <x:v>Rates, Equilibria and Further Organic Chemistry</x:v>
      </x:c>
      <x:c r="K21" s="21" t="str">
        <x:v>105分钟</x:v>
      </x:c>
      <x:c r="L21" s="21" t="n">
        <x:v>120</x:v>
      </x:c>
      <x:c r="M21" s="21" t="str">
        <x:v>有差异，采用前确认</x:v>
      </x:c>
      <x:c r="N21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21" s="21" t="str">
        <x:v>P-CHEMISTRY;P-MAN;P-UMS</x:v>
      </x:c>
    </x:row>
    <x:row r="22" ht="52" customHeight="1">
      <x:c r="A22" s="20" t="n">
        <x:v>22</x:v>
      </x:c>
      <x:c r="B22" s="21" t="str">
        <x:v>Chemistry</x:v>
      </x:c>
      <x:c r="C22" s="21" t="str">
        <x:v>XCH01 / YCH01</x:v>
      </x:c>
      <x:c r="D22" s="21" t="str">
        <x:v>WCH15</x:v>
      </x:c>
      <x:c r="E22" s="21" t="str">
        <x:v>Unit 5 Transition Metals &amp; Organic Nitrogen Chemistry</x:v>
      </x:c>
      <x:c r="F22" s="21" t="str">
        <x:v>1h45</x:v>
      </x:c>
      <x:c r="G22" s="21" t="str">
        <x:v>90</x:v>
      </x:c>
      <x:c r="H22" s="21" t="str">
        <x:v>XCH11 / YCH11</x:v>
      </x:c>
      <x:c r="I22" s="21" t="str">
        <x:v>WCH15</x:v>
      </x:c>
      <x:c r="J22" s="21" t="str">
        <x:v>Transition Metals and Organic Nitrogen Chemistry</x:v>
      </x:c>
      <x:c r="K22" s="21" t="str">
        <x:v>105分钟</x:v>
      </x:c>
      <x:c r="L22" s="21" t="n">
        <x:v>120</x:v>
      </x:c>
      <x:c r="M22" s="21" t="str">
        <x:v>有差异，采用前确认</x:v>
      </x:c>
      <x:c r="N22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22" s="21" t="str">
        <x:v>P-CHEMISTRY;P-MAN;P-UMS</x:v>
      </x:c>
    </x:row>
    <x:row r="23" ht="52" customHeight="1">
      <x:c r="A23" s="20" t="n">
        <x:v>23</x:v>
      </x:c>
      <x:c r="B23" s="21" t="str">
        <x:v>Chemistry</x:v>
      </x:c>
      <x:c r="C23" s="21" t="str">
        <x:v>XCH01 / YCH01</x:v>
      </x:c>
      <x:c r="D23" s="21" t="str">
        <x:v>WCH16</x:v>
      </x:c>
      <x:c r="E23" s="21" t="str">
        <x:v>Unit 6 Practical Skills in Chemistry A2</x:v>
      </x:c>
      <x:c r="F23" s="21" t="str">
        <x:v>1h20</x:v>
      </x:c>
      <x:c r="G23" s="21" t="str">
        <x:v>50</x:v>
      </x:c>
      <x:c r="H23" s="21" t="str">
        <x:v>XCH11 / YCH11</x:v>
      </x:c>
      <x:c r="I23" s="21" t="str">
        <x:v>WCH16</x:v>
      </x:c>
      <x:c r="J23" s="21" t="str">
        <x:v>Practical Skills in Chemistry II</x:v>
      </x:c>
      <x:c r="K23" s="21" t="str">
        <x:v>80分钟</x:v>
      </x:c>
      <x:c r="L23" s="21" t="n">
        <x:v>60</x:v>
      </x:c>
      <x:c r="M23" s="21" t="str">
        <x:v>有差异，采用前确认</x:v>
      </x:c>
      <x:c r="N23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23" s="21" t="str">
        <x:v>P-CHEMISTRY;P-MAN;P-UMS</x:v>
      </x:c>
    </x:row>
    <x:row r="24" ht="52" customHeight="1">
      <x:c r="A24" s="20" t="n">
        <x:v>24</x:v>
      </x:c>
      <x:c r="B24" s="21" t="str">
        <x:v>Economics</x:v>
      </x:c>
      <x:c r="C24" s="21" t="str">
        <x:v>XEC01 / YEC01</x:v>
      </x:c>
      <x:c r="D24" s="21" t="str">
        <x:v>WEC11</x:v>
      </x:c>
      <x:c r="E24" s="21" t="str">
        <x:v>Unit 1 Markets in Action</x:v>
      </x:c>
      <x:c r="F24" s="21" t="str">
        <x:v>1h30</x:v>
      </x:c>
      <x:c r="G24" s="21" t="str">
        <x:v>80</x:v>
      </x:c>
      <x:c r="H24" s="21" t="str">
        <x:v>XEC11 / YEC11</x:v>
      </x:c>
      <x:c r="I24" s="21" t="str">
        <x:v>WEC11</x:v>
      </x:c>
      <x:c r="J24" s="21" t="str">
        <x:v>Markets in Action</x:v>
      </x:c>
      <x:c r="K24" s="21" t="str">
        <x:v>105分钟</x:v>
      </x:c>
      <x:c r="L24" s="21" t="n">
        <x:v>100</x:v>
      </x:c>
      <x:c r="M24" s="21" t="str">
        <x:v>有差异，采用前确认</x:v>
      </x:c>
      <x:c r="N24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24" s="21" t="str">
        <x:v>P-ECONOMICS;P-MAN;P-UMS</x:v>
      </x:c>
    </x:row>
    <x:row r="25" ht="52" customHeight="1">
      <x:c r="A25" s="20" t="n">
        <x:v>25</x:v>
      </x:c>
      <x:c r="B25" s="21" t="str">
        <x:v>Economics</x:v>
      </x:c>
      <x:c r="C25" s="21" t="str">
        <x:v>XEC01 / YEC01</x:v>
      </x:c>
      <x:c r="D25" s="21" t="str">
        <x:v>WEC12</x:v>
      </x:c>
      <x:c r="E25" s="21" t="str">
        <x:v>Unit 2 Macroeconomic Performance &amp; Policy</x:v>
      </x:c>
      <x:c r="F25" s="21" t="str">
        <x:v>1h30</x:v>
      </x:c>
      <x:c r="G25" s="21" t="str">
        <x:v>80</x:v>
      </x:c>
      <x:c r="H25" s="21" t="str">
        <x:v>XEC11 / YEC11</x:v>
      </x:c>
      <x:c r="I25" s="21" t="str">
        <x:v>WEC12</x:v>
      </x:c>
      <x:c r="J25" s="21" t="str">
        <x:v>Macroeconomic Performance and Policy</x:v>
      </x:c>
      <x:c r="K25" s="21" t="str">
        <x:v>105分钟</x:v>
      </x:c>
      <x:c r="L25" s="21" t="n">
        <x:v>100</x:v>
      </x:c>
      <x:c r="M25" s="21" t="str">
        <x:v>有差异，采用前确认</x:v>
      </x:c>
      <x:c r="N25" s="21" t="str">
        <x:v>保留原值供对照；候选英文名称、代码按当前列明来源统一，不推断课时或考试可用季。 原cash-in与核对值不同；IAS、IAL出口分别存储。 原UMS值不采用；Raw分与UMS分分别记录，不按同一个满分解释。</x:v>
      </x:c>
      <x:c r="O25" s="21" t="str">
        <x:v>P-ECONOMICS;P-MAN;P-UMS</x:v>
      </x:c>
    </x:row>
    <x:row r="26" ht="52" customHeight="1">
      <x:c r="A26" s="20" t="n">
        <x:v>26</x:v>
      </x:c>
      <x:c r="B26" s="21" t="str">
        <x:v>Economics</x:v>
      </x:c>
      <x:c r="C26" s="21" t="str">
        <x:v>XEC01 / YEC01</x:v>
      </x:c>
      <x:c r="D26" s="21" t="str">
        <x:v>WEC13</x:v>
      </x:c>
      <x:c r="E26" s="21" t="str">
        <x:v>Unit 3 Business Behaviour &amp; the Economic Environment</x:v>
      </x:c>
      <x:c r="F26" s="21" t="str">
        <x:v>2h</x:v>
      </x:c>
      <x:c r="G26" s="21" t="str">
        <x:v>100</x:v>
      </x:c>
      <x:c r="H26" s="21" t="str">
        <x:v>XEC11 / YEC11</x:v>
      </x:c>
      <x:c r="I26" s="21" t="str">
        <x:v>WEC13</x:v>
      </x:c>
      <x:c r="J26" s="21" t="str">
        <x:v>Business Behaviour</x:v>
      </x:c>
      <x:c r="K26" s="21" t="str">
        <x:v>120分钟</x:v>
      </x:c>
      <x:c r="L26" s="21" t="n">
        <x:v>100</x:v>
      </x:c>
      <x:c r="M26" s="21" t="str">
        <x:v>有差异，采用前确认</x:v>
      </x:c>
      <x:c r="N26" s="21" t="str">
        <x:v>保留原值供对照；候选英文名称、代码按当前列明来源统一，不推断课时或考试可用季。 原cash-in与核对值不同；IAS、IAL出口分别存储。</x:v>
      </x:c>
      <x:c r="O26" s="21" t="str">
        <x:v>P-ECONOMICS;P-MAN;P-UMS</x:v>
      </x:c>
    </x:row>
    <x:row r="27" ht="52" customHeight="1">
      <x:c r="A27" s="20" t="n">
        <x:v>27</x:v>
      </x:c>
      <x:c r="B27" s="21" t="str">
        <x:v>Economics</x:v>
      </x:c>
      <x:c r="C27" s="21" t="str">
        <x:v>XEC01 / YEC01</x:v>
      </x:c>
      <x:c r="D27" s="21" t="str">
        <x:v>WEC14</x:v>
      </x:c>
      <x:c r="E27" s="21" t="str">
        <x:v>Unit 4 Global Economy</x:v>
      </x:c>
      <x:c r="F27" s="21" t="str">
        <x:v>2h</x:v>
      </x:c>
      <x:c r="G27" s="21" t="str">
        <x:v>100</x:v>
      </x:c>
      <x:c r="H27" s="21" t="str">
        <x:v>XEC11 / YEC11</x:v>
      </x:c>
      <x:c r="I27" s="21" t="str">
        <x:v>WEC14</x:v>
      </x:c>
      <x:c r="J27" s="21" t="str">
        <x:v>Developments in the Global Economy</x:v>
      </x:c>
      <x:c r="K27" s="21" t="str">
        <x:v>120分钟</x:v>
      </x:c>
      <x:c r="L27" s="21" t="n">
        <x:v>100</x:v>
      </x:c>
      <x:c r="M27" s="21" t="str">
        <x:v>有差异，采用前确认</x:v>
      </x:c>
      <x:c r="N27" s="21" t="str">
        <x:v>保留原值供对照；候选英文名称、代码按当前列明来源统一，不推断课时或考试可用季。 原cash-in与核对值不同；IAS、IAL出口分别存储。</x:v>
      </x:c>
      <x:c r="O27" s="21" t="str">
        <x:v>P-ECONOMICS;P-MAN;P-UMS</x:v>
      </x:c>
    </x:row>
    <x:row r="28" ht="52" customHeight="1">
      <x:c r="A28" s="20" t="n">
        <x:v>28</x:v>
      </x:c>
      <x:c r="B28" s="21" t="str">
        <x:v>English Language</x:v>
      </x:c>
      <x:c r="C28" s="21" t="str">
        <x:v>XEN01 / YEN01</x:v>
      </x:c>
      <x:c r="D28" s="21" t="str">
        <x:v>WEN11</x:v>
      </x:c>
      <x:c r="E28" s="21" t="str">
        <x:v>Unit 1 Meanings &amp; Representations</x:v>
      </x:c>
      <x:c r="F28" s="21" t="str">
        <x:v>2h</x:v>
      </x:c>
      <x:c r="G28" s="21" t="str">
        <x:v>80</x:v>
      </x:c>
      <x:c r="H28" s="21" t="str">
        <x:v>XEN01 / YEN01</x:v>
      </x:c>
      <x:c r="I28" s="21" t="str">
        <x:v>WEN01</x:v>
      </x:c>
      <x:c r="J28" s="21" t="str">
        <x:v>Language: Context and Identity</x:v>
      </x:c>
      <x:c r="K28" s="21" t="str">
        <x:v>105分钟</x:v>
      </x:c>
      <x:c r="L28" s="21" t="n">
        <x:v>100</x:v>
      </x:c>
      <x:c r="M28" s="21" t="str">
        <x:v>有差异，采用前确认</x:v>
      </x:c>
      <x:c r="N28" s="21" t="str">
        <x:v>单元代码候选由WEN11改为WEN01；不把数字后缀当作跨学科通用规则。 当前规范为四个外部考试单元；原coursework标题/方式不能照搬。 原UMS值不采用；Raw分与UMS分分别记录，不按同一个满分解释。</x:v>
      </x:c>
      <x:c r="O28" s="21" t="str">
        <x:v>P-ENGLISHLANGUAGE;P-MAN;P-UMS</x:v>
      </x:c>
    </x:row>
    <x:row r="29" ht="52" customHeight="1">
      <x:c r="A29" s="20" t="n">
        <x:v>29</x:v>
      </x:c>
      <x:c r="B29" s="21" t="str">
        <x:v>English Language</x:v>
      </x:c>
      <x:c r="C29" s="21" t="str">
        <x:v>XEN01 / YEN01</x:v>
      </x:c>
      <x:c r="D29" s="21" t="str">
        <x:v>WEN12</x:v>
      </x:c>
      <x:c r="E29" s="21" t="str">
        <x:v>Unit 2 Varieties in Language</x:v>
      </x:c>
      <x:c r="F29" s="21" t="str">
        <x:v>2h</x:v>
      </x:c>
      <x:c r="G29" s="21" t="str">
        <x:v>80</x:v>
      </x:c>
      <x:c r="H29" s="21" t="str">
        <x:v>XEN01 / YEN01</x:v>
      </x:c>
      <x:c r="I29" s="21" t="str">
        <x:v>WEN02</x:v>
      </x:c>
      <x:c r="J29" s="21" t="str">
        <x:v>Language in Transition</x:v>
      </x:c>
      <x:c r="K29" s="21" t="str">
        <x:v>105分钟</x:v>
      </x:c>
      <x:c r="L29" s="21" t="n">
        <x:v>100</x:v>
      </x:c>
      <x:c r="M29" s="21" t="str">
        <x:v>有差异，采用前确认</x:v>
      </x:c>
      <x:c r="N29" s="21" t="str">
        <x:v>单元代码候选由WEN12改为WEN02；不把数字后缀当作跨学科通用规则。 当前规范为四个外部考试单元；原coursework标题/方式不能照搬。 原UMS值不采用；Raw分与UMS分分别记录，不按同一个满分解释。</x:v>
      </x:c>
      <x:c r="O29" s="21" t="str">
        <x:v>P-ENGLISHLANGUAGE;P-MAN;P-UMS</x:v>
      </x:c>
    </x:row>
    <x:row r="30" ht="52" customHeight="1">
      <x:c r="A30" s="20" t="n">
        <x:v>30</x:v>
      </x:c>
      <x:c r="B30" s="21" t="str">
        <x:v>English Language</x:v>
      </x:c>
      <x:c r="C30" s="21" t="str">
        <x:v>XEN01 / YEN01</x:v>
      </x:c>
      <x:c r="D30" s="21" t="str">
        <x:v>WEN13</x:v>
      </x:c>
      <x:c r="E30" s="21" t="str">
        <x:v>Unit 3 Language Investigation</x:v>
      </x:c>
      <x:c r="F30" s="21" t="str">
        <x:v>Coursework</x:v>
      </x:c>
      <x:c r="G30" s="21" t="str">
        <x:v>100</x:v>
      </x:c>
      <x:c r="H30" s="21" t="str">
        <x:v>XEN01 / YEN01</x:v>
      </x:c>
      <x:c r="I30" s="21" t="str">
        <x:v>WEN03</x:v>
      </x:c>
      <x:c r="J30" s="21" t="str">
        <x:v>Crafting Language (Writing)</x:v>
      </x:c>
      <x:c r="K30" s="21" t="str">
        <x:v>120分钟</x:v>
      </x:c>
      <x:c r="L30" s="21" t="n">
        <x:v>100</x:v>
      </x:c>
      <x:c r="M30" s="21" t="str">
        <x:v>有差异，采用前确认</x:v>
      </x:c>
      <x:c r="N30" s="21" t="str">
        <x:v>单元代码候选由WEN13改为WEN03；不把数字后缀当作跨学科通用规则。 当前规范为四个外部考试单元；原coursework标题/方式不能照搬。</x:v>
      </x:c>
      <x:c r="O30" s="21" t="str">
        <x:v>P-ENGLISHLANGUAGE;P-MAN;P-UMS</x:v>
      </x:c>
    </x:row>
    <x:row r="31" ht="52" customHeight="1">
      <x:c r="A31" s="20" t="n">
        <x:v>31</x:v>
      </x:c>
      <x:c r="B31" s="21" t="str">
        <x:v>English Language</x:v>
      </x:c>
      <x:c r="C31" s="21" t="str">
        <x:v>XEN01 / YEN01</x:v>
      </x:c>
      <x:c r="D31" s="21" t="str">
        <x:v>WEN14</x:v>
      </x:c>
      <x:c r="E31" s="21" t="str">
        <x:v>Unit 4 Language Discourses</x:v>
      </x:c>
      <x:c r="F31" s="21" t="str">
        <x:v>2h</x:v>
      </x:c>
      <x:c r="G31" s="21" t="str">
        <x:v>100</x:v>
      </x:c>
      <x:c r="H31" s="21" t="str">
        <x:v>XEN01 / YEN01</x:v>
      </x:c>
      <x:c r="I31" s="21" t="str">
        <x:v>WEN04</x:v>
      </x:c>
      <x:c r="J31" s="21" t="str">
        <x:v>Investigating Language</x:v>
      </x:c>
      <x:c r="K31" s="21" t="str">
        <x:v>120分钟</x:v>
      </x:c>
      <x:c r="L31" s="21" t="n">
        <x:v>100</x:v>
      </x:c>
      <x:c r="M31" s="21" t="str">
        <x:v>有差异，采用前确认</x:v>
      </x:c>
      <x:c r="N31" s="21" t="str">
        <x:v>单元代码候选由WEN14改为WEN04；不把数字后缀当作跨学科通用规则。 当前规范为四个外部考试单元；原coursework标题/方式不能照搬。</x:v>
      </x:c>
      <x:c r="O31" s="21" t="str">
        <x:v>P-ENGLISHLANGUAGE;P-MAN;P-UMS</x:v>
      </x:c>
    </x:row>
    <x:row r="32" ht="52" customHeight="1">
      <x:c r="A32" s="20" t="n">
        <x:v>32</x:v>
      </x:c>
      <x:c r="B32" s="21" t="str">
        <x:v>English Literature</x:v>
      </x:c>
      <x:c r="C32" s="21" t="str">
        <x:v>XET01 / YET01</x:v>
      </x:c>
      <x:c r="D32" s="21" t="str">
        <x:v>WET11</x:v>
      </x:c>
      <x:c r="E32" s="21" t="str">
        <x:v>Unit 1 Drama</x:v>
      </x:c>
      <x:c r="F32" s="21" t="str">
        <x:v>2h</x:v>
      </x:c>
      <x:c r="G32" s="21" t="str">
        <x:v>80</x:v>
      </x:c>
      <x:c r="H32" s="21" t="str">
        <x:v>XET01 / YET01</x:v>
      </x:c>
      <x:c r="I32" s="21" t="str">
        <x:v>WET01</x:v>
      </x:c>
      <x:c r="J32" s="21" t="str">
        <x:v>Post-2000 Poetry and Prose</x:v>
      </x:c>
      <x:c r="K32" s="21" t="str">
        <x:v>120分钟</x:v>
      </x:c>
      <x:c r="L32" s="21" t="n">
        <x:v>100</x:v>
      </x:c>
      <x:c r="M32" s="21" t="str">
        <x:v>有差异，采用前确认</x:v>
      </x:c>
      <x:c r="N32" s="21" t="str">
        <x:v>单元代码候选由WET11改为WET01；不把数字后缀当作跨学科通用规则。 当前规范为四个外部考试单元；原coursework标题/方式不能照搬。 原UMS值不采用；Raw分与UMS分分别记录，不按同一个满分解释。</x:v>
      </x:c>
      <x:c r="O32" s="21" t="str">
        <x:v>P-ENGLISHLITERATURE;P-MAN;P-UMS</x:v>
      </x:c>
    </x:row>
    <x:row r="33" ht="52" customHeight="1">
      <x:c r="A33" s="20" t="n">
        <x:v>33</x:v>
      </x:c>
      <x:c r="B33" s="21" t="str">
        <x:v>English Literature</x:v>
      </x:c>
      <x:c r="C33" s="21" t="str">
        <x:v>XET01 / YET01</x:v>
      </x:c>
      <x:c r="D33" s="21" t="str">
        <x:v>WET12</x:v>
      </x:c>
      <x:c r="E33" s="21" t="str">
        <x:v>Unit 2 Prose</x:v>
      </x:c>
      <x:c r="F33" s="21" t="str">
        <x:v>2h</x:v>
      </x:c>
      <x:c r="G33" s="21" t="str">
        <x:v>80</x:v>
      </x:c>
      <x:c r="H33" s="21" t="str">
        <x:v>XET01 / YET01</x:v>
      </x:c>
      <x:c r="I33" s="21" t="str">
        <x:v>WET02</x:v>
      </x:c>
      <x:c r="J33" s="21" t="str">
        <x:v>Drama</x:v>
      </x:c>
      <x:c r="K33" s="21" t="str">
        <x:v>120分钟</x:v>
      </x:c>
      <x:c r="L33" s="21" t="n">
        <x:v>100</x:v>
      </x:c>
      <x:c r="M33" s="21" t="str">
        <x:v>有差异，采用前确认</x:v>
      </x:c>
      <x:c r="N33" s="21" t="str">
        <x:v>单元代码候选由WET12改为WET02；不把数字后缀当作跨学科通用规则。 当前规范为四个外部考试单元；原coursework标题/方式不能照搬。 原UMS值不采用；Raw分与UMS分分别记录，不按同一个满分解释。</x:v>
      </x:c>
      <x:c r="O33" s="21" t="str">
        <x:v>P-ENGLISHLITERATURE;P-MAN;P-UMS</x:v>
      </x:c>
    </x:row>
    <x:row r="34" ht="52" customHeight="1">
      <x:c r="A34" s="20" t="n">
        <x:v>34</x:v>
      </x:c>
      <x:c r="B34" s="21" t="str">
        <x:v>English Literature</x:v>
      </x:c>
      <x:c r="C34" s="21" t="str">
        <x:v>XET01 / YET01</x:v>
      </x:c>
      <x:c r="D34" s="21" t="str">
        <x:v>WET13</x:v>
      </x:c>
      <x:c r="E34" s="21" t="str">
        <x:v>Unit 3 Poetry</x:v>
      </x:c>
      <x:c r="F34" s="21" t="str">
        <x:v>2h</x:v>
      </x:c>
      <x:c r="G34" s="21" t="str">
        <x:v>100</x:v>
      </x:c>
      <x:c r="H34" s="21" t="str">
        <x:v>XET01 / YET01</x:v>
      </x:c>
      <x:c r="I34" s="21" t="str">
        <x:v>WET03</x:v>
      </x:c>
      <x:c r="J34" s="21" t="str">
        <x:v>Poetry and Prose</x:v>
      </x:c>
      <x:c r="K34" s="21" t="str">
        <x:v>120分钟</x:v>
      </x:c>
      <x:c r="L34" s="21" t="n">
        <x:v>100</x:v>
      </x:c>
      <x:c r="M34" s="21" t="str">
        <x:v>有差异，采用前确认</x:v>
      </x:c>
      <x:c r="N34" s="21" t="str">
        <x:v>单元代码候选由WET13改为WET03；不把数字后缀当作跨学科通用规则。 当前规范为四个外部考试单元；原coursework标题/方式不能照搬。</x:v>
      </x:c>
      <x:c r="O34" s="21" t="str">
        <x:v>P-ENGLISHLITERATURE;P-MAN;P-UMS</x:v>
      </x:c>
    </x:row>
    <x:row r="35" ht="52" customHeight="1">
      <x:c r="A35" s="20" t="n">
        <x:v>35</x:v>
      </x:c>
      <x:c r="B35" s="21" t="str">
        <x:v>English Literature</x:v>
      </x:c>
      <x:c r="C35" s="21" t="str">
        <x:v>XET01 / YET01</x:v>
      </x:c>
      <x:c r="D35" s="21" t="str">
        <x:v>WET14</x:v>
      </x:c>
      <x:c r="E35" s="21" t="str">
        <x:v>Unit 4 Literary Investigation</x:v>
      </x:c>
      <x:c r="F35" s="21" t="str">
        <x:v>Coursework</x:v>
      </x:c>
      <x:c r="G35" s="21" t="str">
        <x:v>100</x:v>
      </x:c>
      <x:c r="H35" s="21" t="str">
        <x:v>XET01 / YET01</x:v>
      </x:c>
      <x:c r="I35" s="21" t="str">
        <x:v>WET04</x:v>
      </x:c>
      <x:c r="J35" s="21" t="str">
        <x:v>Shakespeare and Pre-1900 Poetry</x:v>
      </x:c>
      <x:c r="K35" s="21" t="str">
        <x:v>120分钟</x:v>
      </x:c>
      <x:c r="L35" s="21" t="n">
        <x:v>100</x:v>
      </x:c>
      <x:c r="M35" s="21" t="str">
        <x:v>有差异，采用前确认</x:v>
      </x:c>
      <x:c r="N35" s="21" t="str">
        <x:v>单元代码候选由WET14改为WET04；不把数字后缀当作跨学科通用规则。 当前规范为四个外部考试单元；原coursework标题/方式不能照搬。</x:v>
      </x:c>
      <x:c r="O35" s="21" t="str">
        <x:v>P-ENGLISHLITERATURE;P-MAN;P-UMS</x:v>
      </x:c>
    </x:row>
    <x:row r="36" ht="52" customHeight="1">
      <x:c r="A36" s="20" t="n">
        <x:v>36</x:v>
      </x:c>
      <x:c r="B36" s="21" t="str">
        <x:v>French</x:v>
      </x:c>
      <x:c r="C36" s="21" t="str">
        <x:v>XFR01 / YFR01</x:v>
      </x:c>
      <x:c r="D36" s="21" t="str">
        <x:v>WFR11</x:v>
      </x:c>
      <x:c r="E36" s="21" t="str">
        <x:v>Unit 1 Listening, Reading &amp; Writing</x:v>
      </x:c>
      <x:c r="F36" s="21" t="str">
        <x:v>2h</x:v>
      </x:c>
      <x:c r="G36" s="21" t="str">
        <x:v>80</x:v>
      </x:c>
      <x:c r="H36" s="21" t="str">
        <x:v>XFR01 / YFR01</x:v>
      </x:c>
      <x:c r="I36" s="21" t="str">
        <x:v>WFR01</x:v>
      </x:c>
      <x:c r="J36" s="21" t="str">
        <x:v>Spoken Expression and Response</x:v>
      </x:c>
      <x:c r="K36" s="21" t="str">
        <x:v>未核定（不从原表直接继承）</x:v>
      </x:c>
      <x:c r="L36" s="21" t="str">
        <x:v>未核定</x:v>
      </x:c>
      <x:c r="M36" s="21" t="str">
        <x:v>有差异，采用前确认</x:v>
      </x:c>
      <x:c r="N36" s="21" t="str">
        <x:v>单元代码候选由WFR11改为WFR01；不把数字后缀当作跨学科通用规则。</x:v>
      </x:c>
      <x:c r="O36" s="21" t="str">
        <x:v>P-MAN;P-UMS</x:v>
      </x:c>
    </x:row>
    <x:row r="37" ht="52" customHeight="1">
      <x:c r="A37" s="20" t="n">
        <x:v>37</x:v>
      </x:c>
      <x:c r="B37" s="21" t="str">
        <x:v>French</x:v>
      </x:c>
      <x:c r="C37" s="21" t="str">
        <x:v>XFR01 / YFR01</x:v>
      </x:c>
      <x:c r="D37" s="21" t="str">
        <x:v>WFR12</x:v>
      </x:c>
      <x:c r="E37" s="21" t="str">
        <x:v>Unit 2 Speaking</x:v>
      </x:c>
      <x:c r="F37" s="21" t="str">
        <x:v>12–15 min</x:v>
      </x:c>
      <x:c r="G37" s="21" t="str">
        <x:v>40</x:v>
      </x:c>
      <x:c r="H37" s="21" t="str">
        <x:v>XFR01 / YFR01</x:v>
      </x:c>
      <x:c r="I37" s="21" t="str">
        <x:v>WFR02</x:v>
      </x:c>
      <x:c r="J37" s="21" t="str">
        <x:v>Understanding and Written Response</x:v>
      </x:c>
      <x:c r="K37" s="21" t="str">
        <x:v>未核定（不从原表直接继承）</x:v>
      </x:c>
      <x:c r="L37" s="21" t="str">
        <x:v>未核定</x:v>
      </x:c>
      <x:c r="M37" s="21" t="str">
        <x:v>有差异，采用前确认</x:v>
      </x:c>
      <x:c r="N37" s="21" t="str">
        <x:v>单元代码候选由WFR12改为WFR02；不把数字后缀当作跨学科通用规则。</x:v>
      </x:c>
      <x:c r="O37" s="21" t="str">
        <x:v>P-MAN;P-UMS</x:v>
      </x:c>
    </x:row>
    <x:row r="38" ht="52" customHeight="1">
      <x:c r="A38" s="20" t="n">
        <x:v>38</x:v>
      </x:c>
      <x:c r="B38" s="21" t="str">
        <x:v>French</x:v>
      </x:c>
      <x:c r="C38" s="21" t="str">
        <x:v>XFR01 / YFR01</x:v>
      </x:c>
      <x:c r="D38" s="21" t="str">
        <x:v>WFR13</x:v>
      </x:c>
      <x:c r="E38" s="21" t="str">
        <x:v>Unit 3 Listening, Reading &amp; Writing</x:v>
      </x:c>
      <x:c r="F38" s="21" t="str">
        <x:v>2h</x:v>
      </x:c>
      <x:c r="G38" s="21" t="str">
        <x:v>80</x:v>
      </x:c>
      <x:c r="H38" s="21" t="str">
        <x:v>XFR01 / YFR01</x:v>
      </x:c>
      <x:c r="I38" s="21" t="str">
        <x:v>WFR03</x:v>
      </x:c>
      <x:c r="J38" s="21" t="str">
        <x:v>Understanding and Spoken Response</x:v>
      </x:c>
      <x:c r="K38" s="21" t="str">
        <x:v>未核定（不从原表直接继承）</x:v>
      </x:c>
      <x:c r="L38" s="21" t="str">
        <x:v>未核定</x:v>
      </x:c>
      <x:c r="M38" s="21" t="str">
        <x:v>有差异，采用前确认</x:v>
      </x:c>
      <x:c r="N38" s="21" t="str">
        <x:v>单元代码候选由WFR13改为WFR03；不把数字后缀当作跨学科通用规则。</x:v>
      </x:c>
      <x:c r="O38" s="21" t="str">
        <x:v>P-MAN;P-UMS</x:v>
      </x:c>
    </x:row>
    <x:row r="39" ht="52" customHeight="1">
      <x:c r="A39" s="20" t="n">
        <x:v>39</x:v>
      </x:c>
      <x:c r="B39" s="21" t="str">
        <x:v>French</x:v>
      </x:c>
      <x:c r="C39" s="21" t="str">
        <x:v>XFR01 / YFR01</x:v>
      </x:c>
      <x:c r="D39" s="21" t="str">
        <x:v>WFR14</x:v>
      </x:c>
      <x:c r="E39" s="21" t="str">
        <x:v>Unit 4 Speaking</x:v>
      </x:c>
      <x:c r="F39" s="21" t="str">
        <x:v>12–15 min</x:v>
      </x:c>
      <x:c r="G39" s="21" t="str">
        <x:v>40</x:v>
      </x:c>
      <x:c r="H39" s="21" t="str">
        <x:v>XFR01 / YFR01</x:v>
      </x:c>
      <x:c r="I39" s="21" t="str">
        <x:v>WFR04</x:v>
      </x:c>
      <x:c r="J39" s="21" t="str">
        <x:v>Research, Understanding and Written Response</x:v>
      </x:c>
      <x:c r="K39" s="21" t="str">
        <x:v>未核定（不从原表直接继承）</x:v>
      </x:c>
      <x:c r="L39" s="21" t="str">
        <x:v>未核定</x:v>
      </x:c>
      <x:c r="M39" s="21" t="str">
        <x:v>有差异，采用前确认</x:v>
      </x:c>
      <x:c r="N39" s="21" t="str">
        <x:v>单元代码候选由WFR14改为WFR04；不把数字后缀当作跨学科通用规则。</x:v>
      </x:c>
      <x:c r="O39" s="21" t="str">
        <x:v>P-MAN;P-UMS</x:v>
      </x:c>
    </x:row>
    <x:row r="40" ht="52" customHeight="1">
      <x:c r="A40" s="20" t="n">
        <x:v>40</x:v>
      </x:c>
      <x:c r="B40" s="21" t="str">
        <x:v>Geography</x:v>
      </x:c>
      <x:c r="C40" s="21" t="str">
        <x:v>XGE01 / YGE01</x:v>
      </x:c>
      <x:c r="D40" s="21" t="str">
        <x:v>WGE11</x:v>
      </x:c>
      <x:c r="E40" s="21" t="str">
        <x:v>Unit 1 Global Challenges</x:v>
      </x:c>
      <x:c r="F40" s="21" t="str">
        <x:v>2h</x:v>
      </x:c>
      <x:c r="G40" s="21" t="str">
        <x:v>90</x:v>
      </x:c>
      <x:c r="H40" s="21" t="str">
        <x:v>XGE01 / YGE01</x:v>
      </x:c>
      <x:c r="I40" s="21" t="str">
        <x:v>WGE01</x:v>
      </x:c>
      <x:c r="J40" s="21" t="str">
        <x:v>Global Challenges</x:v>
      </x:c>
      <x:c r="K40" s="21" t="str">
        <x:v>未核定（不从原表直接继承）</x:v>
      </x:c>
      <x:c r="L40" s="21" t="str">
        <x:v>未核定</x:v>
      </x:c>
      <x:c r="M40" s="21" t="str">
        <x:v>有差异，采用前确认</x:v>
      </x:c>
      <x:c r="N40" s="21" t="str">
        <x:v>单元代码候选由WGE11改为WGE01；不把数字后缀当作跨学科通用规则。</x:v>
      </x:c>
      <x:c r="O40" s="21" t="str">
        <x:v>P-MAN;P-UMS</x:v>
      </x:c>
    </x:row>
    <x:row r="41" ht="52" customHeight="1">
      <x:c r="A41" s="20" t="n">
        <x:v>41</x:v>
      </x:c>
      <x:c r="B41" s="21" t="str">
        <x:v>Geography</x:v>
      </x:c>
      <x:c r="C41" s="21" t="str">
        <x:v>XGE01 / YGE01</x:v>
      </x:c>
      <x:c r="D41" s="21" t="str">
        <x:v>WGE12</x:v>
      </x:c>
      <x:c r="E41" s="21" t="str">
        <x:v>Unit 2 Investigating Geography</x:v>
      </x:c>
      <x:c r="F41" s="21" t="str">
        <x:v>1h30</x:v>
      </x:c>
      <x:c r="G41" s="21" t="str">
        <x:v>60</x:v>
      </x:c>
      <x:c r="H41" s="21" t="str">
        <x:v>XGE01 / YGE01</x:v>
      </x:c>
      <x:c r="I41" s="21" t="str">
        <x:v>WGE02</x:v>
      </x:c>
      <x:c r="J41" s="21" t="str">
        <x:v>Geographical Investigations</x:v>
      </x:c>
      <x:c r="K41" s="21" t="str">
        <x:v>未核定（不从原表直接继承）</x:v>
      </x:c>
      <x:c r="L41" s="21" t="str">
        <x:v>未核定</x:v>
      </x:c>
      <x:c r="M41" s="21" t="str">
        <x:v>有差异，采用前确认</x:v>
      </x:c>
      <x:c r="N41" s="21" t="str">
        <x:v>单元代码候选由WGE12改为WGE02；不把数字后缀当作跨学科通用规则。</x:v>
      </x:c>
      <x:c r="O41" s="21" t="str">
        <x:v>P-MAN;P-UMS</x:v>
      </x:c>
    </x:row>
    <x:row r="42" ht="52" customHeight="1">
      <x:c r="A42" s="20" t="n">
        <x:v>42</x:v>
      </x:c>
      <x:c r="B42" s="21" t="str">
        <x:v>Geography</x:v>
      </x:c>
      <x:c r="C42" s="21" t="str">
        <x:v>XGE01 / YGE01</x:v>
      </x:c>
      <x:c r="D42" s="21" t="str">
        <x:v>WGE13</x:v>
      </x:c>
      <x:c r="E42" s="21" t="str">
        <x:v>Unit 3 Contested Planet</x:v>
      </x:c>
      <x:c r="F42" s="21" t="str">
        <x:v>2h</x:v>
      </x:c>
      <x:c r="G42" s="21" t="str">
        <x:v>90</x:v>
      </x:c>
      <x:c r="H42" s="21" t="str">
        <x:v>XGE01 / YGE01</x:v>
      </x:c>
      <x:c r="I42" s="21" t="str">
        <x:v>WGE03</x:v>
      </x:c>
      <x:c r="J42" s="21" t="str">
        <x:v>Contested Planet</x:v>
      </x:c>
      <x:c r="K42" s="21" t="str">
        <x:v>未核定（不从原表直接继承）</x:v>
      </x:c>
      <x:c r="L42" s="21" t="str">
        <x:v>未核定</x:v>
      </x:c>
      <x:c r="M42" s="21" t="str">
        <x:v>有差异，采用前确认</x:v>
      </x:c>
      <x:c r="N42" s="21" t="str">
        <x:v>单元代码候选由WGE13改为WGE03；不把数字后缀当作跨学科通用规则。</x:v>
      </x:c>
      <x:c r="O42" s="21" t="str">
        <x:v>P-MAN;P-UMS</x:v>
      </x:c>
    </x:row>
    <x:row r="43" ht="52" customHeight="1">
      <x:c r="A43" s="20" t="n">
        <x:v>43</x:v>
      </x:c>
      <x:c r="B43" s="21" t="str">
        <x:v>Geography</x:v>
      </x:c>
      <x:c r="C43" s="21" t="str">
        <x:v>XGE01 / YGE01</x:v>
      </x:c>
      <x:c r="D43" s="21" t="str">
        <x:v>WGE14</x:v>
      </x:c>
      <x:c r="E43" s="21" t="str">
        <x:v>Unit 4 Researching Geography</x:v>
      </x:c>
      <x:c r="F43" s="21" t="str">
        <x:v>1h30</x:v>
      </x:c>
      <x:c r="G43" s="21" t="str">
        <x:v>60</x:v>
      </x:c>
      <x:c r="H43" s="21" t="str">
        <x:v>XGE01 / YGE01</x:v>
      </x:c>
      <x:c r="I43" s="21" t="str">
        <x:v>WGE04</x:v>
      </x:c>
      <x:c r="J43" s="21" t="str">
        <x:v>Researching Geography</x:v>
      </x:c>
      <x:c r="K43" s="21" t="str">
        <x:v>未核定（不从原表直接继承）</x:v>
      </x:c>
      <x:c r="L43" s="21" t="str">
        <x:v>未核定</x:v>
      </x:c>
      <x:c r="M43" s="21" t="str">
        <x:v>有差异，采用前确认</x:v>
      </x:c>
      <x:c r="N43" s="21" t="str">
        <x:v>单元代码候选由WGE14改为WGE04；不把数字后缀当作跨学科通用规则。</x:v>
      </x:c>
      <x:c r="O43" s="21" t="str">
        <x:v>P-MAN;P-UMS</x:v>
      </x:c>
    </x:row>
    <x:row r="44" ht="52" customHeight="1">
      <x:c r="A44" s="20" t="n">
        <x:v>44</x:v>
      </x:c>
      <x:c r="B44" s="21" t="str">
        <x:v>German</x:v>
      </x:c>
      <x:c r="C44" s="21" t="str">
        <x:v>XGN01 / YGN01</x:v>
      </x:c>
      <x:c r="D44" s="21" t="str">
        <x:v>WGN11</x:v>
      </x:c>
      <x:c r="E44" s="21" t="str">
        <x:v>Unit 1 Listening, Reading &amp; Writing</x:v>
      </x:c>
      <x:c r="F44" s="21" t="str">
        <x:v>2h</x:v>
      </x:c>
      <x:c r="G44" s="21" t="str">
        <x:v>80</x:v>
      </x:c>
      <x:c r="H44" s="21" t="str">
        <x:v>XGN01 / YGN01</x:v>
      </x:c>
      <x:c r="I44" s="21" t="str">
        <x:v>WGN01</x:v>
      </x:c>
      <x:c r="J44" s="21" t="str">
        <x:v>Spoken Expression and Response</x:v>
      </x:c>
      <x:c r="K44" s="21" t="str">
        <x:v>未核定（不从原表直接继承）</x:v>
      </x:c>
      <x:c r="L44" s="21" t="str">
        <x:v>未核定</x:v>
      </x:c>
      <x:c r="M44" s="21" t="str">
        <x:v>有差异，采用前确认</x:v>
      </x:c>
      <x:c r="N44" s="21" t="str">
        <x:v>单元代码候选由WGN11改为WGN01；不把数字后缀当作跨学科通用规则。</x:v>
      </x:c>
      <x:c r="O44" s="21" t="str">
        <x:v>P-MAN;P-UMS</x:v>
      </x:c>
    </x:row>
    <x:row r="45" ht="52" customHeight="1">
      <x:c r="A45" s="20" t="n">
        <x:v>45</x:v>
      </x:c>
      <x:c r="B45" s="21" t="str">
        <x:v>German</x:v>
      </x:c>
      <x:c r="C45" s="21" t="str">
        <x:v>XGN01 / YGN01</x:v>
      </x:c>
      <x:c r="D45" s="21" t="str">
        <x:v>WGN12</x:v>
      </x:c>
      <x:c r="E45" s="21" t="str">
        <x:v>Unit 2 Speaking</x:v>
      </x:c>
      <x:c r="F45" s="21" t="str">
        <x:v>12–15 min</x:v>
      </x:c>
      <x:c r="G45" s="21" t="str">
        <x:v>40</x:v>
      </x:c>
      <x:c r="H45" s="21" t="str">
        <x:v>XGN01 / YGN01</x:v>
      </x:c>
      <x:c r="I45" s="21" t="str">
        <x:v>WGN02</x:v>
      </x:c>
      <x:c r="J45" s="21" t="str">
        <x:v>Understanding and Written Response</x:v>
      </x:c>
      <x:c r="K45" s="21" t="str">
        <x:v>未核定（不从原表直接继承）</x:v>
      </x:c>
      <x:c r="L45" s="21" t="str">
        <x:v>未核定</x:v>
      </x:c>
      <x:c r="M45" s="21" t="str">
        <x:v>有差异，采用前确认</x:v>
      </x:c>
      <x:c r="N45" s="21" t="str">
        <x:v>单元代码候选由WGN12改为WGN02；不把数字后缀当作跨学科通用规则。</x:v>
      </x:c>
      <x:c r="O45" s="21" t="str">
        <x:v>P-MAN;P-UMS</x:v>
      </x:c>
    </x:row>
    <x:row r="46" ht="52" customHeight="1">
      <x:c r="A46" s="20" t="n">
        <x:v>46</x:v>
      </x:c>
      <x:c r="B46" s="21" t="str">
        <x:v>German</x:v>
      </x:c>
      <x:c r="C46" s="21" t="str">
        <x:v>XGN01 / YGN01</x:v>
      </x:c>
      <x:c r="D46" s="21" t="str">
        <x:v>WGN13</x:v>
      </x:c>
      <x:c r="E46" s="21" t="str">
        <x:v>Unit 3 Listening, Reading &amp; Writing</x:v>
      </x:c>
      <x:c r="F46" s="21" t="str">
        <x:v>2h</x:v>
      </x:c>
      <x:c r="G46" s="21" t="str">
        <x:v>80</x:v>
      </x:c>
      <x:c r="H46" s="21" t="str">
        <x:v>XGN01 / YGN01</x:v>
      </x:c>
      <x:c r="I46" s="21" t="str">
        <x:v>WGN03</x:v>
      </x:c>
      <x:c r="J46" s="21" t="str">
        <x:v>Understanding and Spoken Response</x:v>
      </x:c>
      <x:c r="K46" s="21" t="str">
        <x:v>未核定（不从原表直接继承）</x:v>
      </x:c>
      <x:c r="L46" s="21" t="str">
        <x:v>未核定</x:v>
      </x:c>
      <x:c r="M46" s="21" t="str">
        <x:v>有差异，采用前确认</x:v>
      </x:c>
      <x:c r="N46" s="21" t="str">
        <x:v>单元代码候选由WGN13改为WGN03；不把数字后缀当作跨学科通用规则。</x:v>
      </x:c>
      <x:c r="O46" s="21" t="str">
        <x:v>P-MAN;P-UMS</x:v>
      </x:c>
    </x:row>
    <x:row r="47" ht="52" customHeight="1">
      <x:c r="A47" s="20" t="n">
        <x:v>47</x:v>
      </x:c>
      <x:c r="B47" s="21" t="str">
        <x:v>German</x:v>
      </x:c>
      <x:c r="C47" s="21" t="str">
        <x:v>XGN01 / YGN01</x:v>
      </x:c>
      <x:c r="D47" s="21" t="str">
        <x:v>WGN14</x:v>
      </x:c>
      <x:c r="E47" s="21" t="str">
        <x:v>Unit 4 Speaking</x:v>
      </x:c>
      <x:c r="F47" s="21" t="str">
        <x:v>12–15 min</x:v>
      </x:c>
      <x:c r="G47" s="21" t="str">
        <x:v>40</x:v>
      </x:c>
      <x:c r="H47" s="21" t="str">
        <x:v>XGN01 / YGN01</x:v>
      </x:c>
      <x:c r="I47" s="21" t="str">
        <x:v>WGN04</x:v>
      </x:c>
      <x:c r="J47" s="21" t="str">
        <x:v>Research, Understanding and Written Response</x:v>
      </x:c>
      <x:c r="K47" s="21" t="str">
        <x:v>未核定（不从原表直接继承）</x:v>
      </x:c>
      <x:c r="L47" s="21" t="str">
        <x:v>未核定</x:v>
      </x:c>
      <x:c r="M47" s="21" t="str">
        <x:v>有差异，采用前确认</x:v>
      </x:c>
      <x:c r="N47" s="21" t="str">
        <x:v>单元代码候选由WGN14改为WGN04；不把数字后缀当作跨学科通用规则。</x:v>
      </x:c>
      <x:c r="O47" s="21" t="str">
        <x:v>P-MAN;P-UMS</x:v>
      </x:c>
    </x:row>
    <x:row r="48" ht="52" customHeight="1">
      <x:c r="A48" s="20" t="n">
        <x:v>48</x:v>
      </x:c>
      <x:c r="B48" s="21" t="str">
        <x:v>History</x:v>
      </x:c>
      <x:c r="C48" s="21" t="str">
        <x:v>XHI01 / YHI01</x:v>
      </x:c>
      <x:c r="D48" s="21" t="str">
        <x:v>WHI11</x:v>
      </x:c>
      <x:c r="E48" s="21" t="str">
        <x:v>Unit 1 Historical Themes in Context 1</x:v>
      </x:c>
      <x:c r="F48" s="21" t="str">
        <x:v>1h30</x:v>
      </x:c>
      <x:c r="G48" s="21" t="str">
        <x:v>80</x:v>
      </x:c>
      <x:c r="H48" s="21" t="str">
        <x:v>XHI01 / YHI01</x:v>
      </x:c>
      <x:c r="I48" s="21" t="str">
        <x:v>WHI01</x:v>
      </x:c>
      <x:c r="J48" s="21" t="str">
        <x:v>Depth Study with Interpretations</x:v>
      </x:c>
      <x:c r="K48" s="21" t="str">
        <x:v>未核定（不从原表直接继承）</x:v>
      </x:c>
      <x:c r="L48" s="21" t="str">
        <x:v>未核定</x:v>
      </x:c>
      <x:c r="M48" s="21" t="str">
        <x:v>有差异，采用前确认</x:v>
      </x:c>
      <x:c r="N48" s="21" t="str">
        <x:v>单元代码候选由WHI11改为WHI01；不把数字后缀当作跨学科通用规则。 WHI01–04每单元另选规定主题；A–D选项及机考形式不是额外必修单元。</x:v>
      </x:c>
      <x:c r="O48" s="21" t="str">
        <x:v>P-MAN;P-UMS</x:v>
      </x:c>
    </x:row>
    <x:row r="49" ht="52" customHeight="1">
      <x:c r="A49" s="20" t="n">
        <x:v>49</x:v>
      </x:c>
      <x:c r="B49" s="21" t="str">
        <x:v>History</x:v>
      </x:c>
      <x:c r="C49" s="21" t="str">
        <x:v>XHI01 / YHI01</x:v>
      </x:c>
      <x:c r="D49" s="21" t="str">
        <x:v>WHI12</x:v>
      </x:c>
      <x:c r="E49" s="21" t="str">
        <x:v>Unit 2 Historical Themes in Context 2</x:v>
      </x:c>
      <x:c r="F49" s="21" t="str">
        <x:v>1h30</x:v>
      </x:c>
      <x:c r="G49" s="21" t="str">
        <x:v>80</x:v>
      </x:c>
      <x:c r="H49" s="21" t="str">
        <x:v>XHI01 / YHI01</x:v>
      </x:c>
      <x:c r="I49" s="21" t="str">
        <x:v>WHI02</x:v>
      </x:c>
      <x:c r="J49" s="21" t="str">
        <x:v>Breadth Study with Source Evaluation</x:v>
      </x:c>
      <x:c r="K49" s="21" t="str">
        <x:v>未核定（不从原表直接继承）</x:v>
      </x:c>
      <x:c r="L49" s="21" t="str">
        <x:v>未核定</x:v>
      </x:c>
      <x:c r="M49" s="21" t="str">
        <x:v>有差异，采用前确认</x:v>
      </x:c>
      <x:c r="N49" s="21" t="str">
        <x:v>单元代码候选由WHI12改为WHI02；不把数字后缀当作跨学科通用规则。 WHI01–04每单元另选规定主题；A–D选项及机考形式不是额外必修单元。</x:v>
      </x:c>
      <x:c r="O49" s="21" t="str">
        <x:v>P-MAN;P-UMS</x:v>
      </x:c>
    </x:row>
    <x:row r="50" ht="52" customHeight="1">
      <x:c r="A50" s="20" t="n">
        <x:v>50</x:v>
      </x:c>
      <x:c r="B50" s="21" t="str">
        <x:v>History</x:v>
      </x:c>
      <x:c r="C50" s="21" t="str">
        <x:v>XHI01 / YHI01</x:v>
      </x:c>
      <x:c r="D50" s="21" t="str">
        <x:v>WHI13</x:v>
      </x:c>
      <x:c r="E50" s="21" t="str">
        <x:v>Unit 3 Interpretations &amp; Investigations</x:v>
      </x:c>
      <x:c r="F50" s="21" t="str">
        <x:v>2h</x:v>
      </x:c>
      <x:c r="G50" s="21" t="str">
        <x:v>100</x:v>
      </x:c>
      <x:c r="H50" s="21" t="str">
        <x:v>XHI01 / YHI01</x:v>
      </x:c>
      <x:c r="I50" s="21" t="str">
        <x:v>WHI03</x:v>
      </x:c>
      <x:c r="J50" s="21" t="str">
        <x:v>Thematic Study with Source Evaluation</x:v>
      </x:c>
      <x:c r="K50" s="21" t="str">
        <x:v>未核定（不从原表直接继承）</x:v>
      </x:c>
      <x:c r="L50" s="21" t="str">
        <x:v>未核定</x:v>
      </x:c>
      <x:c r="M50" s="21" t="str">
        <x:v>有差异，采用前确认</x:v>
      </x:c>
      <x:c r="N50" s="21" t="str">
        <x:v>单元代码候选由WHI13改为WHI03；不把数字后缀当作跨学科通用规则。 WHI01–04每单元另选规定主题；A–D选项及机考形式不是额外必修单元。</x:v>
      </x:c>
      <x:c r="O50" s="21" t="str">
        <x:v>P-MAN;P-UMS</x:v>
      </x:c>
    </x:row>
    <x:row r="51" ht="52" customHeight="1">
      <x:c r="A51" s="20" t="n">
        <x:v>51</x:v>
      </x:c>
      <x:c r="B51" s="21" t="str">
        <x:v>History</x:v>
      </x:c>
      <x:c r="C51" s="21" t="str">
        <x:v>XHI01 / YHI01</x:v>
      </x:c>
      <x:c r="D51" s="21" t="str">
        <x:v>WHI14</x:v>
      </x:c>
      <x:c r="E51" s="21" t="str">
        <x:v>Unit 4 Depth Study</x:v>
      </x:c>
      <x:c r="F51" s="21" t="str">
        <x:v>2h</x:v>
      </x:c>
      <x:c r="G51" s="21" t="str">
        <x:v>100</x:v>
      </x:c>
      <x:c r="H51" s="21" t="str">
        <x:v>XHI01 / YHI01</x:v>
      </x:c>
      <x:c r="I51" s="21" t="str">
        <x:v>WHI04</x:v>
      </x:c>
      <x:c r="J51" s="21" t="str">
        <x:v>International Study with Historical Interpretations</x:v>
      </x:c>
      <x:c r="K51" s="21" t="str">
        <x:v>未核定（不从原表直接继承）</x:v>
      </x:c>
      <x:c r="L51" s="21" t="str">
        <x:v>未核定</x:v>
      </x:c>
      <x:c r="M51" s="21" t="str">
        <x:v>有差异，采用前确认</x:v>
      </x:c>
      <x:c r="N51" s="21" t="str">
        <x:v>单元代码候选由WHI14改为WHI04；不把数字后缀当作跨学科通用规则。 WHI01–04每单元另选规定主题；A–D选项及机考形式不是额外必修单元。</x:v>
      </x:c>
      <x:c r="O51" s="21" t="str">
        <x:v>P-MAN;P-UMS</x:v>
      </x:c>
    </x:row>
    <x:row r="52" ht="52" customHeight="1">
      <x:c r="A52" s="20" t="n">
        <x:v>52</x:v>
      </x:c>
      <x:c r="B52" s="21" t="str">
        <x:v>Information Technology (IT)</x:v>
      </x:c>
      <x:c r="C52" s="21" t="str">
        <x:v>XIT01 / YIT01</x:v>
      </x:c>
      <x:c r="D52" s="21" t="str">
        <x:v>WIT11</x:v>
      </x:c>
      <x:c r="E52" s="21" t="str">
        <x:v>Unit 1 Information Systems</x:v>
      </x:c>
      <x:c r="F52" s="21" t="str">
        <x:v>2h</x:v>
      </x:c>
      <x:c r="G52" s="21" t="str">
        <x:v>80</x:v>
      </x:c>
      <x:c r="H52" s="21" t="str">
        <x:v>XIT11 / YIT11</x:v>
      </x:c>
      <x:c r="I52" s="21" t="str">
        <x:v>WIT11</x:v>
      </x:c>
      <x:c r="J52" s="21" t="str">
        <x:v>Unit 1</x:v>
      </x:c>
      <x:c r="K52" s="21" t="str">
        <x:v>120分钟</x:v>
      </x:c>
      <x:c r="L52" s="21" t="n">
        <x:v>100</x:v>
      </x:c>
      <x:c r="M52" s="21" t="str">
        <x:v>有差异，采用前确认</x:v>
      </x:c>
      <x:c r="N52" s="21" t="str">
        <x:v>WIT12/WIT14为外部实践考试，不是coursework/digital portfolio；官方目录标题为Unit 1–4。 原cash-in与核对值不同；IAS、IAL出口分别存储。 原UMS值不采用；Raw分与UMS分分别记录，不按同一个满分解释。</x:v>
      </x:c>
      <x:c r="O52" s="21" t="str">
        <x:v>P-INFORMATIONTECHNOLOGY;P-MAN;P-UMS</x:v>
      </x:c>
    </x:row>
    <x:row r="53" ht="52" customHeight="1">
      <x:c r="A53" s="20" t="n">
        <x:v>53</x:v>
      </x:c>
      <x:c r="B53" s="21" t="str">
        <x:v>Information Technology (IT)</x:v>
      </x:c>
      <x:c r="C53" s="21" t="str">
        <x:v>XIT01 / YIT01</x:v>
      </x:c>
      <x:c r="D53" s="21" t="str">
        <x:v>WIT12</x:v>
      </x:c>
      <x:c r="E53" s="21" t="str">
        <x:v>Unit 2 Digital Portfolio</x:v>
      </x:c>
      <x:c r="F53" s="21" t="str">
        <x:v>Coursework</x:v>
      </x:c>
      <x:c r="G53" s="21" t="str">
        <x:v>80</x:v>
      </x:c>
      <x:c r="H53" s="21" t="str">
        <x:v>XIT11 / YIT11</x:v>
      </x:c>
      <x:c r="I53" s="21" t="str">
        <x:v>WIT12</x:v>
      </x:c>
      <x:c r="J53" s="21" t="str">
        <x:v>Unit 2</x:v>
      </x:c>
      <x:c r="K53" s="21" t="str">
        <x:v>180分钟</x:v>
      </x:c>
      <x:c r="L53" s="21" t="n">
        <x:v>100</x:v>
      </x:c>
      <x:c r="M53" s="21" t="str">
        <x:v>有差异，采用前确认</x:v>
      </x:c>
      <x:c r="N53" s="21" t="str">
        <x:v>WIT12/WIT14为外部实践考试，不是coursework/digital portfolio；官方目录标题为Unit 1–4。 原cash-in与核对值不同；IAS、IAL出口分别存储。 原UMS值不采用；Raw分与UMS分分别记录，不按同一个满分解释。</x:v>
      </x:c>
      <x:c r="O53" s="21" t="str">
        <x:v>P-INFORMATIONTECHNOLOGY;P-MAN;P-UMS</x:v>
      </x:c>
    </x:row>
    <x:row r="54" ht="52" customHeight="1">
      <x:c r="A54" s="20" t="n">
        <x:v>54</x:v>
      </x:c>
      <x:c r="B54" s="21" t="str">
        <x:v>Information Technology (IT)</x:v>
      </x:c>
      <x:c r="C54" s="21" t="str">
        <x:v>XIT01 / YIT01</x:v>
      </x:c>
      <x:c r="D54" s="21" t="str">
        <x:v>WIT13</x:v>
      </x:c>
      <x:c r="E54" s="21" t="str">
        <x:v>Unit 3 Organisations &amp; Information Systems</x:v>
      </x:c>
      <x:c r="F54" s="21" t="str">
        <x:v>2h</x:v>
      </x:c>
      <x:c r="G54" s="21" t="str">
        <x:v>100</x:v>
      </x:c>
      <x:c r="H54" s="21" t="str">
        <x:v>XIT11 / YIT11</x:v>
      </x:c>
      <x:c r="I54" s="21" t="str">
        <x:v>WIT13</x:v>
      </x:c>
      <x:c r="J54" s="21" t="str">
        <x:v>Unit 3</x:v>
      </x:c>
      <x:c r="K54" s="21" t="str">
        <x:v>120分钟</x:v>
      </x:c>
      <x:c r="L54" s="21" t="n">
        <x:v>100</x:v>
      </x:c>
      <x:c r="M54" s="21" t="str">
        <x:v>有差异，采用前确认</x:v>
      </x:c>
      <x:c r="N54" s="21" t="str">
        <x:v>WIT12/WIT14为外部实践考试，不是coursework/digital portfolio；官方目录标题为Unit 1–4。 原cash-in与核对值不同；IAS、IAL出口分别存储。</x:v>
      </x:c>
      <x:c r="O54" s="21" t="str">
        <x:v>P-INFORMATIONTECHNOLOGY;P-MAN;P-UMS</x:v>
      </x:c>
    </x:row>
    <x:row r="55" ht="52" customHeight="1">
      <x:c r="A55" s="20" t="n">
        <x:v>55</x:v>
      </x:c>
      <x:c r="B55" s="21" t="str">
        <x:v>Information Technology (IT)</x:v>
      </x:c>
      <x:c r="C55" s="21" t="str">
        <x:v>XIT01 / YIT01</x:v>
      </x:c>
      <x:c r="D55" s="21" t="str">
        <x:v>WIT14</x:v>
      </x:c>
      <x:c r="E55" s="21" t="str">
        <x:v>Unit 4 Digital Portfolio 2</x:v>
      </x:c>
      <x:c r="F55" s="21" t="str">
        <x:v>Coursework</x:v>
      </x:c>
      <x:c r="G55" s="21" t="str">
        <x:v>100</x:v>
      </x:c>
      <x:c r="H55" s="21" t="str">
        <x:v>XIT11 / YIT11</x:v>
      </x:c>
      <x:c r="I55" s="21" t="str">
        <x:v>WIT14</x:v>
      </x:c>
      <x:c r="J55" s="21" t="str">
        <x:v>Unit 4</x:v>
      </x:c>
      <x:c r="K55" s="21" t="str">
        <x:v>180分钟</x:v>
      </x:c>
      <x:c r="L55" s="21" t="n">
        <x:v>100</x:v>
      </x:c>
      <x:c r="M55" s="21" t="str">
        <x:v>有差异，采用前确认</x:v>
      </x:c>
      <x:c r="N55" s="21" t="str">
        <x:v>WIT12/WIT14为外部实践考试，不是coursework/digital portfolio；官方目录标题为Unit 1–4。 原cash-in与核对值不同；IAS、IAL出口分别存储。</x:v>
      </x:c>
      <x:c r="O55" s="21" t="str">
        <x:v>P-INFORMATIONTECHNOLOGY;P-MAN;P-UMS</x:v>
      </x:c>
    </x:row>
    <x:row r="56" ht="52" customHeight="1">
      <x:c r="A56" s="20" t="n">
        <x:v>56</x:v>
      </x:c>
      <x:c r="B56" s="21" t="str">
        <x:v>Law</x:v>
      </x:c>
      <x:c r="C56" s="21" t="str">
        <x:v>XLA01 / YLA01</x:v>
      </x:c>
      <x:c r="D56" s="21" t="str">
        <x:v>—</x:v>
      </x:c>
      <x:c r="E56" s="21" t="str">
        <x:v>Linear (no separate units)</x:v>
      </x:c>
      <x:c r="F56" s="21" t="str">
        <x:v>3 papers total</x:v>
      </x:c>
      <x:c r="G56" s="21" t="str">
        <x:v>240</x:v>
      </x:c>
      <x:c r="H56" s="21" t="str">
        <x:v>YLA1</x:v>
      </x:c>
      <x:c r="I56" s="21" t="str">
        <x:v>不适用</x:v>
      </x:c>
      <x:c r="J56" s="21" t="str">
        <x:v>International A Level Law：Paper 1 + Paper 2</x:v>
      </x:c>
      <x:c r="K56" s="21" t="str">
        <x:v>不适用（原行是资格汇总，不是单场考试）</x:v>
      </x:c>
      <x:c r="L56" s="21" t="str">
        <x:v>不适用</x:v>
      </x:c>
      <x:c r="M56" s="21" t="str">
        <x:v>需整组重建/确认</x:v>
      </x:c>
      <x:c r="N56" s="21" t="str">
        <x:v>原表的XLA01/YLA01与3 papers不采用；官方目录为YLA1，仅IAL、两张线性试卷。 原表240不能作为UMS满分；本行不创建伪单元。 原cash-in与核对值不同；IAS、IAL出口分别存储。</x:v>
      </x:c>
      <x:c r="O56" s="21" t="str">
        <x:v>P-MAN;P-UMS</x:v>
      </x:c>
    </x:row>
    <x:row r="57" ht="52" customHeight="1">
      <x:c r="A57" s="20" t="n">
        <x:v>57</x:v>
      </x:c>
      <x:c r="B57" s="21" t="str">
        <x:v>Mathematics</x:v>
      </x:c>
      <x:c r="C57" s="21" t="str">
        <x:v>XMA01 / YMA01</x:v>
      </x:c>
      <x:c r="D57" s="21" t="str">
        <x:v>WMA11</x:v>
      </x:c>
      <x:c r="E57" s="21" t="str">
        <x:v>Unit 1 Pure Mathematics 1</x:v>
      </x:c>
      <x:c r="F57" s="21" t="str">
        <x:v>1h30</x:v>
      </x:c>
      <x:c r="G57" s="21" t="str">
        <x:v>125</x:v>
      </x:c>
      <x:c r="H57" s="21" t="str">
        <x:v>XMA01 / YMA01</x:v>
      </x:c>
      <x:c r="I57" s="21" t="str">
        <x:v>WMA11</x:v>
      </x:c>
      <x:c r="J57" s="21" t="str">
        <x:v>Pure Mathematics 1</x:v>
      </x:c>
      <x:c r="K57" s="21" t="str">
        <x:v>90分钟</x:v>
      </x:c>
      <x:c r="L57" s="21" t="n">
        <x:v>100</x:v>
      </x:c>
      <x:c r="M57" s="21" t="str">
        <x:v>需整组重建/确认</x:v>
      </x:c>
      <x:c r="N57" s="21" t="str">
        <x:v>完整数学池补齐14个唯一单元；Mathematics按规定选6单元，不能将所列池项全部累加。 原UMS值不采用；Raw分与UMS分分别记录，不按同一个满分解释。</x:v>
      </x:c>
      <x:c r="O57" s="21" t="str">
        <x:v>P-MATH;P-MAN;P-UMS</x:v>
      </x:c>
    </x:row>
    <x:row r="58" ht="52" customHeight="1">
      <x:c r="A58" s="20" t="n">
        <x:v>58</x:v>
      </x:c>
      <x:c r="B58" s="21" t="str">
        <x:v>Mathematics</x:v>
      </x:c>
      <x:c r="C58" s="21" t="str">
        <x:v>XMA01 / YMA01</x:v>
      </x:c>
      <x:c r="D58" s="21" t="str">
        <x:v>WMA12</x:v>
      </x:c>
      <x:c r="E58" s="21" t="str">
        <x:v>Unit 2 Pure Mathematics 2</x:v>
      </x:c>
      <x:c r="F58" s="21" t="str">
        <x:v>1h30</x:v>
      </x:c>
      <x:c r="G58" s="21" t="str">
        <x:v>125</x:v>
      </x:c>
      <x:c r="H58" s="21" t="str">
        <x:v>XMA01 / YMA01</x:v>
      </x:c>
      <x:c r="I58" s="21" t="str">
        <x:v>WMA12</x:v>
      </x:c>
      <x:c r="J58" s="21" t="str">
        <x:v>Pure Mathematics 2</x:v>
      </x:c>
      <x:c r="K58" s="21" t="str">
        <x:v>90分钟</x:v>
      </x:c>
      <x:c r="L58" s="21" t="n">
        <x:v>100</x:v>
      </x:c>
      <x:c r="M58" s="21" t="str">
        <x:v>需整组重建/确认</x:v>
      </x:c>
      <x:c r="N58" s="21" t="str">
        <x:v>完整数学池补齐14个唯一单元；Mathematics按规定选6单元，不能将所列池项全部累加。 原UMS值不采用；Raw分与UMS分分别记录，不按同一个满分解释。</x:v>
      </x:c>
      <x:c r="O58" s="21" t="str">
        <x:v>P-MATH;P-MAN;P-UMS</x:v>
      </x:c>
    </x:row>
    <x:row r="59" ht="52" customHeight="1">
      <x:c r="A59" s="20" t="n">
        <x:v>59</x:v>
      </x:c>
      <x:c r="B59" s="21" t="str">
        <x:v>Mathematics</x:v>
      </x:c>
      <x:c r="C59" s="21" t="str">
        <x:v>XMA01 / YMA01</x:v>
      </x:c>
      <x:c r="D59" s="21" t="str">
        <x:v>WMA13</x:v>
      </x:c>
      <x:c r="E59" s="21" t="str">
        <x:v>Unit 3 Statistics 1</x:v>
      </x:c>
      <x:c r="F59" s="21" t="str">
        <x:v>1h15</x:v>
      </x:c>
      <x:c r="G59" s="21" t="str">
        <x:v>125</x:v>
      </x:c>
      <x:c r="H59" s="21" t="str">
        <x:v>XMA01 / YMA01</x:v>
      </x:c>
      <x:c r="I59" s="21" t="str">
        <x:v>WST01</x:v>
      </x:c>
      <x:c r="J59" s="21" t="str">
        <x:v>Statistics 1</x:v>
      </x:c>
      <x:c r="K59" s="21" t="str">
        <x:v>90分钟</x:v>
      </x:c>
      <x:c r="L59" s="21" t="n">
        <x:v>100</x:v>
      </x:c>
      <x:c r="M59" s="21" t="str">
        <x:v>需整组重建/确认</x:v>
      </x:c>
      <x:c r="N59" s="21" t="str">
        <x:v>同代码WMA13在官方目录为Pure Mathematics 3；原名称指向另一内容，所列候选按名称解释，必须人工确认。 完整数学池补齐14个唯一单元；Mathematics按规定选6单元，不能将所列池项全部累加。 原UMS值不采用；Raw分与UMS分分别记录，不按同一个满分解释。</x:v>
      </x:c>
      <x:c r="O59" s="21" t="str">
        <x:v>P-MATH;P-MAN;P-UMS</x:v>
      </x:c>
    </x:row>
    <x:row r="60" ht="52" customHeight="1">
      <x:c r="A60" s="20" t="n">
        <x:v>60</x:v>
      </x:c>
      <x:c r="B60" s="21" t="str">
        <x:v>Mathematics</x:v>
      </x:c>
      <x:c r="C60" s="21" t="str">
        <x:v>XMA01 / YMA01</x:v>
      </x:c>
      <x:c r="D60" s="21" t="str">
        <x:v>WMA14</x:v>
      </x:c>
      <x:c r="E60" s="21" t="str">
        <x:v>Unit 4 Pure Mathematics 3</x:v>
      </x:c>
      <x:c r="F60" s="21" t="str">
        <x:v>1h30</x:v>
      </x:c>
      <x:c r="G60" s="21" t="str">
        <x:v>125</x:v>
      </x:c>
      <x:c r="H60" s="21" t="str">
        <x:v>XMA01 / YMA01</x:v>
      </x:c>
      <x:c r="I60" s="21" t="str">
        <x:v>WMA13</x:v>
      </x:c>
      <x:c r="J60" s="21" t="str">
        <x:v>Pure Mathematics 3</x:v>
      </x:c>
      <x:c r="K60" s="21" t="str">
        <x:v>90分钟</x:v>
      </x:c>
      <x:c r="L60" s="21" t="n">
        <x:v>100</x:v>
      </x:c>
      <x:c r="M60" s="21" t="str">
        <x:v>需整组重建/确认</x:v>
      </x:c>
      <x:c r="N60" s="21" t="str">
        <x:v>同代码WMA14在官方目录为Pure Mathematics 4；原名称指向另一内容，所列候选按名称解释，必须人工确认。 完整数学池补齐14个唯一单元；Mathematics按规定选6单元，不能将所列池项全部累加。 原UMS值不采用；Raw分与UMS分分别记录，不按同一个满分解释。</x:v>
      </x:c>
      <x:c r="O60" s="21" t="str">
        <x:v>P-MATH;P-MAN;P-UMS</x:v>
      </x:c>
    </x:row>
    <x:row r="61" ht="52" customHeight="1">
      <x:c r="A61" s="20" t="n">
        <x:v>61</x:v>
      </x:c>
      <x:c r="B61" s="21" t="str">
        <x:v>Mathematics</x:v>
      </x:c>
      <x:c r="C61" s="21" t="str">
        <x:v>XMA01 / YMA01</x:v>
      </x:c>
      <x:c r="D61" s="21" t="str">
        <x:v>WMA15</x:v>
      </x:c>
      <x:c r="E61" s="21" t="str">
        <x:v>Unit 5 Mechanics 1</x:v>
      </x:c>
      <x:c r="F61" s="21" t="str">
        <x:v>1h15</x:v>
      </x:c>
      <x:c r="G61" s="21" t="str">
        <x:v>125</x:v>
      </x:c>
      <x:c r="H61" s="21" t="str">
        <x:v>XMA01 / YMA01</x:v>
      </x:c>
      <x:c r="I61" s="21" t="str">
        <x:v>WME01</x:v>
      </x:c>
      <x:c r="J61" s="21" t="str">
        <x:v>Mechanics 1</x:v>
      </x:c>
      <x:c r="K61" s="21" t="str">
        <x:v>90分钟</x:v>
      </x:c>
      <x:c r="L61" s="21" t="n">
        <x:v>100</x:v>
      </x:c>
      <x:c r="M61" s="21" t="str">
        <x:v>需整组重建/确认</x:v>
      </x:c>
      <x:c r="N61" s="21" t="str">
        <x:v>官方当前14单元池无该WMA15；候选仅按原名称解释，不能自动修复。 完整数学池补齐14个唯一单元；Mathematics按规定选6单元，不能将所列池项全部累加。 原UMS值不采用；Raw分与UMS分分别记录，不按同一个满分解释。</x:v>
      </x:c>
      <x:c r="O61" s="21" t="str">
        <x:v>P-MATH;P-MAN;P-UMS</x:v>
      </x:c>
    </x:row>
    <x:row r="62" ht="52" customHeight="1">
      <x:c r="A62" s="20" t="n">
        <x:v>62</x:v>
      </x:c>
      <x:c r="B62" s="21" t="str">
        <x:v>Further Mathematics</x:v>
      </x:c>
      <x:c r="C62" s="21" t="str">
        <x:v>XFM01 / YFM01</x:v>
      </x:c>
      <x:c r="D62" s="21" t="str">
        <x:v>WFM11</x:v>
      </x:c>
      <x:c r="E62" s="21" t="str">
        <x:v>Unit 1 Further Pure Mathematics 1</x:v>
      </x:c>
      <x:c r="F62" s="21" t="str">
        <x:v>1h30</x:v>
      </x:c>
      <x:c r="G62" s="21" t="str">
        <x:v>125</x:v>
      </x:c>
      <x:c r="H62" s="21" t="str">
        <x:v>XFM01 / YFM01</x:v>
      </x:c>
      <x:c r="I62" s="21" t="str">
        <x:v>WFM01</x:v>
      </x:c>
      <x:c r="J62" s="21" t="str">
        <x:v>Further Pure Mathematics 1</x:v>
      </x:c>
      <x:c r="K62" s="21" t="str">
        <x:v>90分钟</x:v>
      </x:c>
      <x:c r="L62" s="21" t="n">
        <x:v>100</x:v>
      </x:c>
      <x:c r="M62" s="21" t="str">
        <x:v>需整组重建/确认</x:v>
      </x:c>
      <x:c r="N62" s="21" t="str">
        <x:v>原WFM11–15不是本次官方目录的Further Pure代码；FP1/2/3为WFM01/02/03。 Further Statistics / Further Mechanics标签不能直接证明等价；S1/M1仅是名称解释候选，须确认原意。 原UMS值不采用；Raw分与UMS分分别记录，不按同一个满分解释。</x:v>
      </x:c>
      <x:c r="O62" s="21" t="str">
        <x:v>P-MATH;P-MAN;P-UMS</x:v>
      </x:c>
    </x:row>
    <x:row r="63" ht="52" customHeight="1">
      <x:c r="A63" s="20" t="n">
        <x:v>63</x:v>
      </x:c>
      <x:c r="B63" s="21" t="str">
        <x:v>Further Mathematics</x:v>
      </x:c>
      <x:c r="C63" s="21" t="str">
        <x:v>XFM01 / YFM01</x:v>
      </x:c>
      <x:c r="D63" s="21" t="str">
        <x:v>WFM12</x:v>
      </x:c>
      <x:c r="E63" s="21" t="str">
        <x:v>Unit 2 Further Pure Mathematics 2</x:v>
      </x:c>
      <x:c r="F63" s="21" t="str">
        <x:v>1h30</x:v>
      </x:c>
      <x:c r="G63" s="21" t="str">
        <x:v>125</x:v>
      </x:c>
      <x:c r="H63" s="21" t="str">
        <x:v>XFM01 / YFM01</x:v>
      </x:c>
      <x:c r="I63" s="21" t="str">
        <x:v>WFM02</x:v>
      </x:c>
      <x:c r="J63" s="21" t="str">
        <x:v>Further Pure Mathematics 2</x:v>
      </x:c>
      <x:c r="K63" s="21" t="str">
        <x:v>90分钟</x:v>
      </x:c>
      <x:c r="L63" s="21" t="n">
        <x:v>100</x:v>
      </x:c>
      <x:c r="M63" s="21" t="str">
        <x:v>需整组重建/确认</x:v>
      </x:c>
      <x:c r="N63" s="21" t="str">
        <x:v>原WFM11–15不是本次官方目录的Further Pure代码；FP1/2/3为WFM01/02/03。 Further Statistics / Further Mechanics标签不能直接证明等价；S1/M1仅是名称解释候选，须确认原意。 原UMS值不采用；Raw分与UMS分分别记录，不按同一个满分解释。</x:v>
      </x:c>
      <x:c r="O63" s="21" t="str">
        <x:v>P-MATH;P-MAN;P-UMS</x:v>
      </x:c>
    </x:row>
    <x:row r="64" ht="52" customHeight="1">
      <x:c r="A64" s="20" t="n">
        <x:v>64</x:v>
      </x:c>
      <x:c r="B64" s="21" t="str">
        <x:v>Further Mathematics</x:v>
      </x:c>
      <x:c r="C64" s="21" t="str">
        <x:v>XFM01 / YFM01</x:v>
      </x:c>
      <x:c r="D64" s="21" t="str">
        <x:v>WFM13</x:v>
      </x:c>
      <x:c r="E64" s="21" t="str">
        <x:v>Unit 3 Further Statistics 1</x:v>
      </x:c>
      <x:c r="F64" s="21" t="str">
        <x:v>1h15</x:v>
      </x:c>
      <x:c r="G64" s="21" t="str">
        <x:v>125</x:v>
      </x:c>
      <x:c r="H64" s="21" t="str">
        <x:v>XFM01 / YFM01</x:v>
      </x:c>
      <x:c r="I64" s="21" t="str">
        <x:v>WST01</x:v>
      </x:c>
      <x:c r="J64" s="21" t="str">
        <x:v>Statistics 1</x:v>
      </x:c>
      <x:c r="K64" s="21" t="str">
        <x:v>90分钟</x:v>
      </x:c>
      <x:c r="L64" s="21" t="n">
        <x:v>100</x:v>
      </x:c>
      <x:c r="M64" s="21" t="str">
        <x:v>需整组重建/确认</x:v>
      </x:c>
      <x:c r="N64" s="21" t="str">
        <x:v>原WFM11–15不是本次官方目录的Further Pure代码；FP1/2/3为WFM01/02/03。 Further Statistics / Further Mechanics标签不能直接证明等价；S1/M1仅是名称解释候选，须确认原意。 原UMS值不采用；Raw分与UMS分分别记录，不按同一个满分解释。</x:v>
      </x:c>
      <x:c r="O64" s="21" t="str">
        <x:v>P-MATH;P-MAN;P-UMS</x:v>
      </x:c>
    </x:row>
    <x:row r="65" ht="52" customHeight="1">
      <x:c r="A65" s="20" t="n">
        <x:v>65</x:v>
      </x:c>
      <x:c r="B65" s="21" t="str">
        <x:v>Further Mathematics</x:v>
      </x:c>
      <x:c r="C65" s="21" t="str">
        <x:v>XFM01 / YFM01</x:v>
      </x:c>
      <x:c r="D65" s="21" t="str">
        <x:v>WFM14</x:v>
      </x:c>
      <x:c r="E65" s="21" t="str">
        <x:v>Unit 4 Further Mechanics 1</x:v>
      </x:c>
      <x:c r="F65" s="21" t="str">
        <x:v>1h15</x:v>
      </x:c>
      <x:c r="G65" s="21" t="str">
        <x:v>125</x:v>
      </x:c>
      <x:c r="H65" s="21" t="str">
        <x:v>XFM01 / YFM01</x:v>
      </x:c>
      <x:c r="I65" s="21" t="str">
        <x:v>WME01</x:v>
      </x:c>
      <x:c r="J65" s="21" t="str">
        <x:v>Mechanics 1</x:v>
      </x:c>
      <x:c r="K65" s="21" t="str">
        <x:v>90分钟</x:v>
      </x:c>
      <x:c r="L65" s="21" t="n">
        <x:v>100</x:v>
      </x:c>
      <x:c r="M65" s="21" t="str">
        <x:v>需整组重建/确认</x:v>
      </x:c>
      <x:c r="N65" s="21" t="str">
        <x:v>原WFM11–15不是本次官方目录的Further Pure代码；FP1/2/3为WFM01/02/03。 Further Statistics / Further Mechanics标签不能直接证明等价；S1/M1仅是名称解释候选，须确认原意。 原UMS值不采用；Raw分与UMS分分别记录，不按同一个满分解释。</x:v>
      </x:c>
      <x:c r="O65" s="21" t="str">
        <x:v>P-MATH;P-MAN;P-UMS</x:v>
      </x:c>
    </x:row>
    <x:row r="66" ht="52" customHeight="1">
      <x:c r="A66" s="20" t="n">
        <x:v>66</x:v>
      </x:c>
      <x:c r="B66" s="21" t="str">
        <x:v>Further Mathematics</x:v>
      </x:c>
      <x:c r="C66" s="21" t="str">
        <x:v>XFM01 / YFM01</x:v>
      </x:c>
      <x:c r="D66" s="21" t="str">
        <x:v>WFM15</x:v>
      </x:c>
      <x:c r="E66" s="21" t="str">
        <x:v>Unit 5 Further Pure Mathematics 3</x:v>
      </x:c>
      <x:c r="F66" s="21" t="str">
        <x:v>1h30</x:v>
      </x:c>
      <x:c r="G66" s="21" t="str">
        <x:v>125</x:v>
      </x:c>
      <x:c r="H66" s="21" t="str">
        <x:v>XFM01 / YFM01</x:v>
      </x:c>
      <x:c r="I66" s="21" t="str">
        <x:v>WFM03</x:v>
      </x:c>
      <x:c r="J66" s="21" t="str">
        <x:v>Further Pure Mathematics 3</x:v>
      </x:c>
      <x:c r="K66" s="21" t="str">
        <x:v>90分钟</x:v>
      </x:c>
      <x:c r="L66" s="21" t="n">
        <x:v>100</x:v>
      </x:c>
      <x:c r="M66" s="21" t="str">
        <x:v>需整组重建/确认</x:v>
      </x:c>
      <x:c r="N66" s="21" t="str">
        <x:v>原WFM11–15不是本次官方目录的Further Pure代码；FP1/2/3为WFM01/02/03。 Further Statistics / Further Mechanics标签不能直接证明等价；S1/M1仅是名称解释候选，须确认原意。 原UMS值不采用；Raw分与UMS分分别记录，不按同一个满分解释。</x:v>
      </x:c>
      <x:c r="O66" s="21" t="str">
        <x:v>P-MATH;P-MAN;P-UMS</x:v>
      </x:c>
    </x:row>
    <x:row r="67" ht="52" customHeight="1">
      <x:c r="A67" s="20" t="n">
        <x:v>67</x:v>
      </x:c>
      <x:c r="B67" s="21" t="str">
        <x:v>Physics</x:v>
      </x:c>
      <x:c r="C67" s="21" t="str">
        <x:v>XPH01 / YPH01</x:v>
      </x:c>
      <x:c r="D67" s="21" t="str">
        <x:v>WPH11</x:v>
      </x:c>
      <x:c r="E67" s="21" t="str">
        <x:v>Unit 1 Mechanics &amp; Materials</x:v>
      </x:c>
      <x:c r="F67" s="21" t="str">
        <x:v>1h30</x:v>
      </x:c>
      <x:c r="G67" s="21" t="str">
        <x:v>80</x:v>
      </x:c>
      <x:c r="H67" s="21" t="str">
        <x:v>XPH11 / YPH11</x:v>
      </x:c>
      <x:c r="I67" s="21" t="str">
        <x:v>WPH11</x:v>
      </x:c>
      <x:c r="J67" s="21" t="str">
        <x:v>Mechanics and Materials</x:v>
      </x:c>
      <x:c r="K67" s="21" t="str">
        <x:v>未核定（不从原表直接继承）</x:v>
      </x:c>
      <x:c r="L67" s="21" t="str">
        <x:v>未核定</x:v>
      </x:c>
      <x:c r="M67" s="21" t="str">
        <x:v>有差异，采用前确认</x:v>
      </x:c>
      <x:c r="N67" s="21" t="str">
        <x:v>保留原值供对照；候选英文名称、代码按当前列明来源统一，不推断课时或考试可用季。 原cash-in与核对值不同；IAS、IAL出口分别存储。</x:v>
      </x:c>
      <x:c r="O67" s="21" t="str">
        <x:v>P-MAN;P-UMS</x:v>
      </x:c>
    </x:row>
    <x:row r="68" ht="52" customHeight="1">
      <x:c r="A68" s="20" t="n">
        <x:v>68</x:v>
      </x:c>
      <x:c r="B68" s="21" t="str">
        <x:v>Physics</x:v>
      </x:c>
      <x:c r="C68" s="21" t="str">
        <x:v>XPH01 / YPH01</x:v>
      </x:c>
      <x:c r="D68" s="21" t="str">
        <x:v>WPH12</x:v>
      </x:c>
      <x:c r="E68" s="21" t="str">
        <x:v>Unit 2 Waves &amp; Electricity</x:v>
      </x:c>
      <x:c r="F68" s="21" t="str">
        <x:v>1h30</x:v>
      </x:c>
      <x:c r="G68" s="21" t="str">
        <x:v>80</x:v>
      </x:c>
      <x:c r="H68" s="21" t="str">
        <x:v>XPH11 / YPH11</x:v>
      </x:c>
      <x:c r="I68" s="21" t="str">
        <x:v>WPH12</x:v>
      </x:c>
      <x:c r="J68" s="21" t="str">
        <x:v>Waves and Electricity</x:v>
      </x:c>
      <x:c r="K68" s="21" t="str">
        <x:v>未核定（不从原表直接继承）</x:v>
      </x:c>
      <x:c r="L68" s="21" t="str">
        <x:v>未核定</x:v>
      </x:c>
      <x:c r="M68" s="21" t="str">
        <x:v>有差异，采用前确认</x:v>
      </x:c>
      <x:c r="N68" s="21" t="str">
        <x:v>保留原值供对照；候选英文名称、代码按当前列明来源统一，不推断课时或考试可用季。 原cash-in与核对值不同；IAS、IAL出口分别存储。</x:v>
      </x:c>
      <x:c r="O68" s="21" t="str">
        <x:v>P-MAN;P-UMS</x:v>
      </x:c>
    </x:row>
    <x:row r="69" ht="52" customHeight="1">
      <x:c r="A69" s="20" t="n">
        <x:v>69</x:v>
      </x:c>
      <x:c r="B69" s="21" t="str">
        <x:v>Physics</x:v>
      </x:c>
      <x:c r="C69" s="21" t="str">
        <x:v>XPH01 / YPH01</x:v>
      </x:c>
      <x:c r="D69" s="21" t="str">
        <x:v>WPH13</x:v>
      </x:c>
      <x:c r="E69" s="21" t="str">
        <x:v>Unit 3 Practical Skills in Physics IAS</x:v>
      </x:c>
      <x:c r="F69" s="21" t="str">
        <x:v>1h20</x:v>
      </x:c>
      <x:c r="G69" s="21" t="str">
        <x:v>50</x:v>
      </x:c>
      <x:c r="H69" s="21" t="str">
        <x:v>XPH11 / YPH11</x:v>
      </x:c>
      <x:c r="I69" s="21" t="str">
        <x:v>WPH13</x:v>
      </x:c>
      <x:c r="J69" s="21" t="str">
        <x:v>Practical Skills in Physics I</x:v>
      </x:c>
      <x:c r="K69" s="21" t="str">
        <x:v>未核定（不从原表直接继承）</x:v>
      </x:c>
      <x:c r="L69" s="21" t="str">
        <x:v>未核定</x:v>
      </x:c>
      <x:c r="M69" s="21" t="str">
        <x:v>有差异，采用前确认</x:v>
      </x:c>
      <x:c r="N69" s="21" t="str">
        <x:v>保留原值供对照；候选英文名称、代码按当前列明来源统一，不推断课时或考试可用季。 原cash-in与核对值不同；IAS、IAL出口分别存储。</x:v>
      </x:c>
      <x:c r="O69" s="21" t="str">
        <x:v>P-MAN;P-UMS</x:v>
      </x:c>
    </x:row>
    <x:row r="70" ht="52" customHeight="1">
      <x:c r="A70" s="20" t="n">
        <x:v>70</x:v>
      </x:c>
      <x:c r="B70" s="21" t="str">
        <x:v>Physics</x:v>
      </x:c>
      <x:c r="C70" s="21" t="str">
        <x:v>XPH01 / YPH01</x:v>
      </x:c>
      <x:c r="D70" s="21" t="str">
        <x:v>WPH14</x:v>
      </x:c>
      <x:c r="E70" s="21" t="str">
        <x:v>Unit 4 Further Mechanics, Fields &amp; Particles</x:v>
      </x:c>
      <x:c r="F70" s="21" t="str">
        <x:v>1h45</x:v>
      </x:c>
      <x:c r="G70" s="21" t="str">
        <x:v>90</x:v>
      </x:c>
      <x:c r="H70" s="21" t="str">
        <x:v>XPH11 / YPH11</x:v>
      </x:c>
      <x:c r="I70" s="21" t="str">
        <x:v>WPH14</x:v>
      </x:c>
      <x:c r="J70" s="21" t="str">
        <x:v>Further Mechanics, Fields and Particles</x:v>
      </x:c>
      <x:c r="K70" s="21" t="str">
        <x:v>未核定（不从原表直接继承）</x:v>
      </x:c>
      <x:c r="L70" s="21" t="str">
        <x:v>未核定</x:v>
      </x:c>
      <x:c r="M70" s="21" t="str">
        <x:v>有差异，采用前确认</x:v>
      </x:c>
      <x:c r="N70" s="21" t="str">
        <x:v>保留原值供对照；候选英文名称、代码按当前列明来源统一，不推断课时或考试可用季。 原cash-in与核对值不同；IAS、IAL出口分别存储。</x:v>
      </x:c>
      <x:c r="O70" s="21" t="str">
        <x:v>P-MAN;P-UMS</x:v>
      </x:c>
    </x:row>
    <x:row r="71" ht="52" customHeight="1">
      <x:c r="A71" s="20" t="n">
        <x:v>71</x:v>
      </x:c>
      <x:c r="B71" s="21" t="str">
        <x:v>Physics</x:v>
      </x:c>
      <x:c r="C71" s="21" t="str">
        <x:v>XPH01 / YPH01</x:v>
      </x:c>
      <x:c r="D71" s="21" t="str">
        <x:v>WPH15</x:v>
      </x:c>
      <x:c r="E71" s="21" t="str">
        <x:v>Unit 5 Thermodynamics, Radiation, Oscillations &amp; Cosmology</x:v>
      </x:c>
      <x:c r="F71" s="21" t="str">
        <x:v>1h45</x:v>
      </x:c>
      <x:c r="G71" s="21" t="str">
        <x:v>90</x:v>
      </x:c>
      <x:c r="H71" s="21" t="str">
        <x:v>XPH11 / YPH11</x:v>
      </x:c>
      <x:c r="I71" s="21" t="str">
        <x:v>WPH15</x:v>
      </x:c>
      <x:c r="J71" s="21" t="str">
        <x:v>Thermodynamics, Radiation, Oscillations and Cosmology</x:v>
      </x:c>
      <x:c r="K71" s="21" t="str">
        <x:v>未核定（不从原表直接继承）</x:v>
      </x:c>
      <x:c r="L71" s="21" t="str">
        <x:v>未核定</x:v>
      </x:c>
      <x:c r="M71" s="21" t="str">
        <x:v>有差异，采用前确认</x:v>
      </x:c>
      <x:c r="N71" s="21" t="str">
        <x:v>保留原值供对照；候选英文名称、代码按当前列明来源统一，不推断课时或考试可用季。 原cash-in与核对值不同；IAS、IAL出口分别存储。</x:v>
      </x:c>
      <x:c r="O71" s="21" t="str">
        <x:v>P-MAN;P-UMS</x:v>
      </x:c>
    </x:row>
    <x:row r="72" ht="52" customHeight="1">
      <x:c r="A72" s="20" t="n">
        <x:v>72</x:v>
      </x:c>
      <x:c r="B72" s="21" t="str">
        <x:v>Physics</x:v>
      </x:c>
      <x:c r="C72" s="21" t="str">
        <x:v>XPH01 / YPH01</x:v>
      </x:c>
      <x:c r="D72" s="21" t="str">
        <x:v>WPH16</x:v>
      </x:c>
      <x:c r="E72" s="21" t="str">
        <x:v>Unit 6 Practical Skills in Physics A2</x:v>
      </x:c>
      <x:c r="F72" s="21" t="str">
        <x:v>1h20</x:v>
      </x:c>
      <x:c r="G72" s="21" t="str">
        <x:v>50</x:v>
      </x:c>
      <x:c r="H72" s="21" t="str">
        <x:v>XPH11 / YPH11</x:v>
      </x:c>
      <x:c r="I72" s="21" t="str">
        <x:v>WPH16</x:v>
      </x:c>
      <x:c r="J72" s="21" t="str">
        <x:v>Practical Skills in Physics II</x:v>
      </x:c>
      <x:c r="K72" s="21" t="str">
        <x:v>未核定（不从原表直接继承）</x:v>
      </x:c>
      <x:c r="L72" s="21" t="str">
        <x:v>未核定</x:v>
      </x:c>
      <x:c r="M72" s="21" t="str">
        <x:v>有差异，采用前确认</x:v>
      </x:c>
      <x:c r="N72" s="21" t="str">
        <x:v>保留原值供对照；候选英文名称、代码按当前列明来源统一，不推断课时或考试可用季。 原cash-in与核对值不同；IAS、IAL出口分别存储。</x:v>
      </x:c>
      <x:c r="O72" s="21" t="str">
        <x:v>P-MAN;P-UMS</x:v>
      </x:c>
    </x:row>
    <x:row r="73" ht="52" customHeight="1">
      <x:c r="A73" s="20" t="n">
        <x:v>73</x:v>
      </x:c>
      <x:c r="B73" s="21" t="str">
        <x:v>Psychology</x:v>
      </x:c>
      <x:c r="C73" s="21" t="str">
        <x:v>XPS01 / YPS01</x:v>
      </x:c>
      <x:c r="D73" s="21" t="str">
        <x:v>WPS11</x:v>
      </x:c>
      <x:c r="E73" s="21" t="str">
        <x:v>Unit 1 Social &amp; Cognitive Psychology</x:v>
      </x:c>
      <x:c r="F73" s="21" t="str">
        <x:v>1h30</x:v>
      </x:c>
      <x:c r="G73" s="21" t="str">
        <x:v>80</x:v>
      </x:c>
      <x:c r="H73" s="21" t="str">
        <x:v>XPS01 / YPS01</x:v>
      </x:c>
      <x:c r="I73" s="21" t="str">
        <x:v>WPS01</x:v>
      </x:c>
      <x:c r="J73" s="21" t="str">
        <x:v>Social and Cognitive Psychology</x:v>
      </x:c>
      <x:c r="K73" s="21" t="str">
        <x:v>未核定（不从原表直接继承）</x:v>
      </x:c>
      <x:c r="L73" s="21" t="str">
        <x:v>未核定</x:v>
      </x:c>
      <x:c r="M73" s="21" t="str">
        <x:v>有差异，采用前确认</x:v>
      </x:c>
      <x:c r="N73" s="21" t="str">
        <x:v>单元代码候选由WPS11改为WPS01；不把数字后缀当作跨学科通用规则。</x:v>
      </x:c>
      <x:c r="O73" s="21" t="str">
        <x:v>P-MAN;P-UMS</x:v>
      </x:c>
    </x:row>
    <x:row r="74" ht="52" customHeight="1">
      <x:c r="A74" s="20" t="n">
        <x:v>74</x:v>
      </x:c>
      <x:c r="B74" s="21" t="str">
        <x:v>Psychology</x:v>
      </x:c>
      <x:c r="C74" s="21" t="str">
        <x:v>XPS01 / YPS01</x:v>
      </x:c>
      <x:c r="D74" s="21" t="str">
        <x:v>WPS12</x:v>
      </x:c>
      <x:c r="E74" s="21" t="str">
        <x:v>Unit 2 Biological &amp; Learning Theories</x:v>
      </x:c>
      <x:c r="F74" s="21" t="str">
        <x:v>1h30</x:v>
      </x:c>
      <x:c r="G74" s="21" t="str">
        <x:v>80</x:v>
      </x:c>
      <x:c r="H74" s="21" t="str">
        <x:v>XPS01 / YPS01</x:v>
      </x:c>
      <x:c r="I74" s="21" t="str">
        <x:v>WPS02</x:v>
      </x:c>
      <x:c r="J74" s="21" t="str">
        <x:v>Biological Psychology, Learning Theories and Development</x:v>
      </x:c>
      <x:c r="K74" s="21" t="str">
        <x:v>未核定（不从原表直接继承）</x:v>
      </x:c>
      <x:c r="L74" s="21" t="str">
        <x:v>未核定</x:v>
      </x:c>
      <x:c r="M74" s="21" t="str">
        <x:v>有差异，采用前确认</x:v>
      </x:c>
      <x:c r="N74" s="21" t="str">
        <x:v>单元代码候选由WPS12改为WPS02；不把数字后缀当作跨学科通用规则。</x:v>
      </x:c>
      <x:c r="O74" s="21" t="str">
        <x:v>P-MAN;P-UMS</x:v>
      </x:c>
    </x:row>
    <x:row r="75" ht="52" customHeight="1">
      <x:c r="A75" s="20" t="n">
        <x:v>75</x:v>
      </x:c>
      <x:c r="B75" s="21" t="str">
        <x:v>Psychology</x:v>
      </x:c>
      <x:c r="C75" s="21" t="str">
        <x:v>XPS01 / YPS01</x:v>
      </x:c>
      <x:c r="D75" s="21" t="str">
        <x:v>WPS13</x:v>
      </x:c>
      <x:c r="E75" s="21" t="str">
        <x:v>Unit 3 Clinical &amp; Health Psychology</x:v>
      </x:c>
      <x:c r="F75" s="21" t="str">
        <x:v>2h</x:v>
      </x:c>
      <x:c r="G75" s="21" t="str">
        <x:v>100</x:v>
      </x:c>
      <x:c r="H75" s="21" t="str">
        <x:v>XPS01 / YPS01</x:v>
      </x:c>
      <x:c r="I75" s="21" t="str">
        <x:v>WPS03</x:v>
      </x:c>
      <x:c r="J75" s="21" t="str">
        <x:v>Applications of Psychology</x:v>
      </x:c>
      <x:c r="K75" s="21" t="str">
        <x:v>未核定（不从原表直接继承）</x:v>
      </x:c>
      <x:c r="L75" s="21" t="str">
        <x:v>未核定</x:v>
      </x:c>
      <x:c r="M75" s="21" t="str">
        <x:v>有差异，采用前确认</x:v>
      </x:c>
      <x:c r="N75" s="21" t="str">
        <x:v>单元代码候选由WPS13改为WPS03；不把数字后缀当作跨学科通用规则。</x:v>
      </x:c>
      <x:c r="O75" s="21" t="str">
        <x:v>P-MAN;P-UMS</x:v>
      </x:c>
    </x:row>
    <x:row r="76" ht="52" customHeight="1">
      <x:c r="A76" s="20" t="n">
        <x:v>76</x:v>
      </x:c>
      <x:c r="B76" s="21" t="str">
        <x:v>Psychology</x:v>
      </x:c>
      <x:c r="C76" s="21" t="str">
        <x:v>XPS01 / YPS01</x:v>
      </x:c>
      <x:c r="D76" s="21" t="str">
        <x:v>WPS14</x:v>
      </x:c>
      <x:c r="E76" s="21" t="str">
        <x:v>Unit 4 Criminological &amp; Child Psychology</x:v>
      </x:c>
      <x:c r="F76" s="21" t="str">
        <x:v>2h</x:v>
      </x:c>
      <x:c r="G76" s="21" t="str">
        <x:v>100</x:v>
      </x:c>
      <x:c r="H76" s="21" t="str">
        <x:v>XPS01 / YPS01</x:v>
      </x:c>
      <x:c r="I76" s="21" t="str">
        <x:v>WPS04</x:v>
      </x:c>
      <x:c r="J76" s="21" t="str">
        <x:v>Clinical Psychology and Psychological Skills</x:v>
      </x:c>
      <x:c r="K76" s="21" t="str">
        <x:v>未核定（不从原表直接继承）</x:v>
      </x:c>
      <x:c r="L76" s="21" t="str">
        <x:v>未核定</x:v>
      </x:c>
      <x:c r="M76" s="21" t="str">
        <x:v>有差异，采用前确认</x:v>
      </x:c>
      <x:c r="N76" s="21" t="str">
        <x:v>单元代码候选由WPS14改为WPS04；不把数字后缀当作跨学科通用规则。</x:v>
      </x:c>
      <x:c r="O76" s="21" t="str">
        <x:v>P-MAN;P-UMS</x:v>
      </x:c>
    </x:row>
    <x:row r="77" ht="52" customHeight="1">
      <x:c r="A77" s="20" t="n">
        <x:v>77</x:v>
      </x:c>
      <x:c r="B77" s="21" t="str">
        <x:v>Spanish</x:v>
      </x:c>
      <x:c r="C77" s="21" t="str">
        <x:v>XSP01 / YSP01</x:v>
      </x:c>
      <x:c r="D77" s="21" t="str">
        <x:v>WSP11</x:v>
      </x:c>
      <x:c r="E77" s="21" t="str">
        <x:v>Unit 1 Listening, Reading &amp; Writing</x:v>
      </x:c>
      <x:c r="F77" s="21" t="str">
        <x:v>2h</x:v>
      </x:c>
      <x:c r="G77" s="21" t="str">
        <x:v>80</x:v>
      </x:c>
      <x:c r="H77" s="21" t="str">
        <x:v>XSP01 / YSP01</x:v>
      </x:c>
      <x:c r="I77" s="21" t="str">
        <x:v>WSP01</x:v>
      </x:c>
      <x:c r="J77" s="21" t="str">
        <x:v>Spoken Expression and Response</x:v>
      </x:c>
      <x:c r="K77" s="21" t="str">
        <x:v>未核定（不从原表直接继承）</x:v>
      </x:c>
      <x:c r="L77" s="21" t="str">
        <x:v>未核定</x:v>
      </x:c>
      <x:c r="M77" s="21" t="str">
        <x:v>有差异，采用前确认</x:v>
      </x:c>
      <x:c r="N77" s="21" t="str">
        <x:v>单元代码候选由WSP11改为WSP01；不把数字后缀当作跨学科通用规则。</x:v>
      </x:c>
      <x:c r="O77" s="21" t="str">
        <x:v>P-MAN;P-UMS</x:v>
      </x:c>
    </x:row>
    <x:row r="78" ht="52" customHeight="1">
      <x:c r="A78" s="20" t="n">
        <x:v>78</x:v>
      </x:c>
      <x:c r="B78" s="21" t="str">
        <x:v>Spanish</x:v>
      </x:c>
      <x:c r="C78" s="21" t="str">
        <x:v>XSP01 / YSP01</x:v>
      </x:c>
      <x:c r="D78" s="21" t="str">
        <x:v>WSP12</x:v>
      </x:c>
      <x:c r="E78" s="21" t="str">
        <x:v>Unit 2 Speaking</x:v>
      </x:c>
      <x:c r="F78" s="21" t="str">
        <x:v>12–15 min</x:v>
      </x:c>
      <x:c r="G78" s="21" t="str">
        <x:v>40</x:v>
      </x:c>
      <x:c r="H78" s="21" t="str">
        <x:v>XSP01 / YSP01</x:v>
      </x:c>
      <x:c r="I78" s="21" t="str">
        <x:v>WSP02</x:v>
      </x:c>
      <x:c r="J78" s="21" t="str">
        <x:v>Understanding and Written Response</x:v>
      </x:c>
      <x:c r="K78" s="21" t="str">
        <x:v>未核定（不从原表直接继承）</x:v>
      </x:c>
      <x:c r="L78" s="21" t="str">
        <x:v>未核定</x:v>
      </x:c>
      <x:c r="M78" s="21" t="str">
        <x:v>有差异，采用前确认</x:v>
      </x:c>
      <x:c r="N78" s="21" t="str">
        <x:v>单元代码候选由WSP12改为WSP02；不把数字后缀当作跨学科通用规则。</x:v>
      </x:c>
      <x:c r="O78" s="21" t="str">
        <x:v>P-MAN;P-UMS</x:v>
      </x:c>
    </x:row>
    <x:row r="79" ht="52" customHeight="1">
      <x:c r="A79" s="20" t="n">
        <x:v>79</x:v>
      </x:c>
      <x:c r="B79" s="21" t="str">
        <x:v>Spanish</x:v>
      </x:c>
      <x:c r="C79" s="21" t="str">
        <x:v>XSP01 / YSP01</x:v>
      </x:c>
      <x:c r="D79" s="21" t="str">
        <x:v>WSP13</x:v>
      </x:c>
      <x:c r="E79" s="21" t="str">
        <x:v>Unit 3 Listening, Reading &amp; Writing</x:v>
      </x:c>
      <x:c r="F79" s="21" t="str">
        <x:v>2h</x:v>
      </x:c>
      <x:c r="G79" s="21" t="str">
        <x:v>80</x:v>
      </x:c>
      <x:c r="H79" s="21" t="str">
        <x:v>XSP01 / YSP01</x:v>
      </x:c>
      <x:c r="I79" s="21" t="str">
        <x:v>WSP03</x:v>
      </x:c>
      <x:c r="J79" s="21" t="str">
        <x:v>Understanding and Spoken Response</x:v>
      </x:c>
      <x:c r="K79" s="21" t="str">
        <x:v>未核定（不从原表直接继承）</x:v>
      </x:c>
      <x:c r="L79" s="21" t="str">
        <x:v>未核定</x:v>
      </x:c>
      <x:c r="M79" s="21" t="str">
        <x:v>有差异，采用前确认</x:v>
      </x:c>
      <x:c r="N79" s="21" t="str">
        <x:v>单元代码候选由WSP13改为WSP03；不把数字后缀当作跨学科通用规则。</x:v>
      </x:c>
      <x:c r="O79" s="21" t="str">
        <x:v>P-MAN;P-UMS</x:v>
      </x:c>
    </x:row>
    <x:row r="80" ht="52" customHeight="1">
      <x:c r="A80" s="20" t="n">
        <x:v>80</x:v>
      </x:c>
      <x:c r="B80" s="21" t="str">
        <x:v>Spanish</x:v>
      </x:c>
      <x:c r="C80" s="21" t="str">
        <x:v>XSP01 / YSP01</x:v>
      </x:c>
      <x:c r="D80" s="21" t="str">
        <x:v>WSP14</x:v>
      </x:c>
      <x:c r="E80" s="21" t="str">
        <x:v>Unit 4 Speaking</x:v>
      </x:c>
      <x:c r="F80" s="21" t="str">
        <x:v>12–15 min</x:v>
      </x:c>
      <x:c r="G80" s="21" t="str">
        <x:v>40</x:v>
      </x:c>
      <x:c r="H80" s="21" t="str">
        <x:v>XSP01 / YSP01</x:v>
      </x:c>
      <x:c r="I80" s="21" t="str">
        <x:v>WSP04</x:v>
      </x:c>
      <x:c r="J80" s="21" t="str">
        <x:v>Research, Understanding and Written Response</x:v>
      </x:c>
      <x:c r="K80" s="21" t="str">
        <x:v>未核定（不从原表直接继承）</x:v>
      </x:c>
      <x:c r="L80" s="21" t="str">
        <x:v>未核定</x:v>
      </x:c>
      <x:c r="M80" s="21" t="str">
        <x:v>有差异，采用前确认</x:v>
      </x:c>
      <x:c r="N80" s="21" t="str">
        <x:v>单元代码候选由WSP14改为WSP04；不把数字后缀当作跨学科通用规则。</x:v>
      </x:c>
      <x:c r="O80" s="21" t="str">
        <x:v>P-MAN;P-UMS</x:v>
      </x:c>
    </x:row>
  </x:sheetData>
  <x:pageMargins left="0.7" right="0.7" top="0.75" bottom="0.75" header="0.3" footer="0.3"/>
  <x:tableParts count="1">
    <x:tablePart xmlns:r="http://schemas.openxmlformats.org/officeDocument/2006/relationships" r:id="Rad212ec7ae05481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1" hidden="0" customWidth="1"/>
    <x:col min="4" max="4" width="22" hidden="0" customWidth="1"/>
    <x:col min="5" max="5" width="32" hidden="0" customWidth="1"/>
    <x:col min="6" max="6" width="40" hidden="0" customWidth="1"/>
    <x:col min="7" max="7" width="32" hidden="0" customWidth="1"/>
    <x:col min="8" max="8" width="36" hidden="0" customWidth="1"/>
    <x:col min="9" max="9" width="46" hidden="0" customWidth="1"/>
    <x:col min="10" max="10" width="26" hidden="0" customWidth="1"/>
    <x:col min="11" max="11" width="27" hidden="0" customWidth="1"/>
    <x:col min="12" max="12" width="25" hidden="0" customWidth="1"/>
    <x:col min="13" max="13" width="25" hidden="0" customWidth="1"/>
    <x:col min="14" max="14" width="48" hidden="0" customWidth="1"/>
  </x:cols>
  <x:sheetData>
    <x:row r="1" ht="38" customHeight="1">
      <x:c r="A1" s="76" t="str">
        <x:v>课程标记</x:v>
      </x:c>
      <x:c r="B1" s="76" t="str">
        <x:v>体系键</x:v>
      </x:c>
      <x:c r="C1" s="76" t="str">
        <x:v>记录类别</x:v>
      </x:c>
      <x:c r="D1" s="76" t="str">
        <x:v>层级／选项</x:v>
      </x:c>
      <x:c r="E1" s="76" t="str">
        <x:v>核对状态</x:v>
      </x:c>
      <x:c r="F1" s="76" t="str">
        <x:v>规范／版本</x:v>
      </x:c>
      <x:c r="G1" s="76" t="str">
        <x:v>适用年份约束</x:v>
      </x:c>
      <x:c r="H1" s="76" t="str">
        <x:v>明细深度</x:v>
      </x:c>
      <x:c r="I1" s="76" t="str">
        <x:v>GPA与成绩处理</x:v>
      </x:c>
      <x:c r="J1" s="76" t="str">
        <x:v>启用方式</x:v>
      </x:c>
      <x:c r="K1" s="76" t="str">
        <x:v>代码类型</x:v>
      </x:c>
      <x:c r="L1" s="76" t="str">
        <x:v>外部考试键</x:v>
      </x:c>
      <x:c r="M1" s="76" t="str">
        <x:v>来源编号</x:v>
      </x:c>
      <x:c r="N1" s="76" t="str">
        <x:v>官方来源URL</x:v>
      </x:c>
    </x:row>
    <x:row r="2" ht="72" customHeight="1">
      <x:c r="A2" s="71" t="str">
        <x:v>C001</x:v>
      </x:c>
      <x:c r="B2" s="70" t="str">
        <x:v>PEARSON-IAL</x:v>
      </x:c>
      <x:c r="C2" s="70" t="str">
        <x:v>学历学科</x:v>
      </x:c>
      <x:c r="D2" s="70" t="str">
        <x:v>International AS / A Level</x:v>
      </x:c>
      <x:c r="E2" s="70" t="str">
        <x:v>原版保留／未全面重审</x:v>
      </x:c>
      <x:c r="F2" s="70" t="str">
        <x:v>按2025/26目录；逐年启用前核对</x:v>
      </x:c>
      <x:c r="G2" s="70" t="str">
        <x:v>按原来源版本；开课前核考季</x:v>
      </x:c>
      <x:c r="H2" s="70" t="str">
        <x:v>原版详例</x:v>
      </x:c>
      <x:c r="I2" s="70" t="str">
        <x:v>校内成绩按学校规则；外考成绩不自动换GPA</x:v>
      </x:c>
      <x:c r="J2" s="70" t="str">
        <x:v>人工选择与审核</x:v>
      </x:c>
      <x:c r="K2" s="70" t="str">
        <x:v>原版代码类型见02/05</x:v>
      </x:c>
      <x:c r="L2" s="70" t="str"/>
      <x:c r="M2" s="70" t="str">
        <x:v>P-ACCOUNTING;P-MAN</x:v>
      </x:c>
      <x:c r="N2" s="70" t="str">
        <x:v>https://qualifications.pearson.com/content/dam/pdf/International%20Advanced%20Level/Accounting/2015/specification-and-sample-assessments/pearson-edexcel-ial-accounting-specification.pdf</x:v>
      </x:c>
    </x:row>
    <x:row r="3" ht="72" customHeight="1">
      <x:c r="A3" s="71" t="str">
        <x:v>C002</x:v>
      </x:c>
      <x:c r="B3" s="70" t="str">
        <x:v>PEARSON-IAL</x:v>
      </x:c>
      <x:c r="C3" s="70" t="str">
        <x:v>学历学科</x:v>
      </x:c>
      <x:c r="D3" s="70" t="str">
        <x:v>International AS / A Level</x:v>
      </x:c>
      <x:c r="E3" s="70" t="str">
        <x:v>原版保留／未全面重审</x:v>
      </x:c>
      <x:c r="F3" s="70" t="str">
        <x:v>按2025/26目录；逐年启用前核对</x:v>
      </x:c>
      <x:c r="G3" s="70" t="str">
        <x:v>按原来源版本；开课前核考季</x:v>
      </x:c>
      <x:c r="H3" s="70" t="str">
        <x:v>原版详例</x:v>
      </x:c>
      <x:c r="I3" s="70" t="str">
        <x:v>校内成绩按学校规则；外考成绩不自动换GPA</x:v>
      </x:c>
      <x:c r="J3" s="70" t="str">
        <x:v>人工选择与审核</x:v>
      </x:c>
      <x:c r="K3" s="70" t="str">
        <x:v>原版代码类型见02/05</x:v>
      </x:c>
      <x:c r="L3" s="70" t="str"/>
      <x:c r="M3" s="70" t="str">
        <x:v>P-ARABIC;P-MAN</x:v>
      </x:c>
      <x:c r="N3" s="70" t="str">
        <x:v>https://qualifications.pearson.com/content/dam/pdf/International%20Advanced%20Level/arabic/2016/specification-and-sample-assessments/ial-arabic-specification.pdf</x:v>
      </x:c>
    </x:row>
    <x:row r="4" ht="72" customHeight="1">
      <x:c r="A4" s="71" t="str">
        <x:v>C003</x:v>
      </x:c>
      <x:c r="B4" s="70" t="str">
        <x:v>PEARSON-IAL</x:v>
      </x:c>
      <x:c r="C4" s="70" t="str">
        <x:v>学历学科</x:v>
      </x:c>
      <x:c r="D4" s="70" t="str">
        <x:v>International AS / A Level</x:v>
      </x:c>
      <x:c r="E4" s="70" t="str">
        <x:v>原版保留／未全面重审</x:v>
      </x:c>
      <x:c r="F4" s="70" t="str">
        <x:v>按2025/26目录；逐年启用前核对</x:v>
      </x:c>
      <x:c r="G4" s="70" t="str">
        <x:v>按原来源版本；开课前核考季</x:v>
      </x:c>
      <x:c r="H4" s="70" t="str">
        <x:v>原版详例</x:v>
      </x:c>
      <x:c r="I4" s="70" t="str">
        <x:v>校内成绩按学校规则；外考成绩不自动换GPA</x:v>
      </x:c>
      <x:c r="J4" s="70" t="str">
        <x:v>人工选择与审核</x:v>
      </x:c>
      <x:c r="K4" s="70" t="str">
        <x:v>原版代码类型见02/05</x:v>
      </x:c>
      <x:c r="L4" s="70" t="str"/>
      <x:c r="M4" s="70" t="str">
        <x:v>P-BIOLOGY;P-MAN</x:v>
      </x:c>
      <x:c r="N4" s="70" t="str">
        <x:v>https://qualifications.pearson.com/content/dam/pdf/International%20Advanced%20Level/Biology/2018/Specification-and-Sample-Assessment/International-A-Level-Biology-Spec.pdf</x:v>
      </x:c>
    </x:row>
    <x:row r="5" ht="72" customHeight="1">
      <x:c r="A5" s="71" t="str">
        <x:v>C004</x:v>
      </x:c>
      <x:c r="B5" s="70" t="str">
        <x:v>PEARSON-IAL</x:v>
      </x:c>
      <x:c r="C5" s="70" t="str">
        <x:v>学历学科</x:v>
      </x:c>
      <x:c r="D5" s="70" t="str">
        <x:v>International AS / A Level</x:v>
      </x:c>
      <x:c r="E5" s="70" t="str">
        <x:v>原版保留／未全面重审</x:v>
      </x:c>
      <x:c r="F5" s="70" t="str">
        <x:v>按2025/26目录；逐年启用前核对</x:v>
      </x:c>
      <x:c r="G5" s="70" t="str">
        <x:v>按原来源版本；开课前核考季</x:v>
      </x:c>
      <x:c r="H5" s="70" t="str">
        <x:v>原版详例</x:v>
      </x:c>
      <x:c r="I5" s="70" t="str">
        <x:v>校内成绩按学校规则；外考成绩不自动换GPA</x:v>
      </x:c>
      <x:c r="J5" s="70" t="str">
        <x:v>人工选择与审核</x:v>
      </x:c>
      <x:c r="K5" s="70" t="str">
        <x:v>原版代码类型见02/05</x:v>
      </x:c>
      <x:c r="L5" s="70" t="str"/>
      <x:c r="M5" s="70" t="str">
        <x:v>P-BUSINESS;P-MAN</x:v>
      </x:c>
      <x:c r="N5" s="70" t="str">
        <x:v>https://qualifications.pearson.com/content/dam/pdf/International%20Advanced%20Level/Business/2018/Specification-and-Sample-Assessment/International-A-Level-Business-Spec.pdf</x:v>
      </x:c>
    </x:row>
    <x:row r="6" ht="72" customHeight="1">
      <x:c r="A6" s="71" t="str">
        <x:v>C005</x:v>
      </x:c>
      <x:c r="B6" s="70" t="str">
        <x:v>PEARSON-IAL</x:v>
      </x:c>
      <x:c r="C6" s="70" t="str">
        <x:v>学历学科</x:v>
      </x:c>
      <x:c r="D6" s="70" t="str">
        <x:v>International AS / A Level</x:v>
      </x:c>
      <x:c r="E6" s="70" t="str">
        <x:v>原版保留／未全面重审</x:v>
      </x:c>
      <x:c r="F6" s="70" t="str">
        <x:v>按2025/26目录；逐年启用前核对</x:v>
      </x:c>
      <x:c r="G6" s="70" t="str">
        <x:v>按原来源版本；开课前核考季</x:v>
      </x:c>
      <x:c r="H6" s="70" t="str">
        <x:v>原版详例</x:v>
      </x:c>
      <x:c r="I6" s="70" t="str">
        <x:v>校内成绩按学校规则；外考成绩不自动换GPA</x:v>
      </x:c>
      <x:c r="J6" s="70" t="str">
        <x:v>人工选择与审核</x:v>
      </x:c>
      <x:c r="K6" s="70" t="str">
        <x:v>原版代码类型见02/05</x:v>
      </x:c>
      <x:c r="L6" s="70" t="str"/>
      <x:c r="M6" s="70" t="str">
        <x:v>P-CHEMISTRY;P-MAN</x:v>
      </x:c>
      <x:c r="N6" s="70" t="str">
        <x:v>https://qualifications.pearson.com/content/dam/pdf/International%20Advanced%20Level/Chemistry/2018/Specification-and-Sample-Assessment/International-A-Level-Chemistry-Spec.pdf</x:v>
      </x:c>
    </x:row>
    <x:row r="7" ht="72" customHeight="1">
      <x:c r="A7" s="71" t="str">
        <x:v>C006</x:v>
      </x:c>
      <x:c r="B7" s="70" t="str">
        <x:v>PEARSON-IAL</x:v>
      </x:c>
      <x:c r="C7" s="70" t="str">
        <x:v>学历学科</x:v>
      </x:c>
      <x:c r="D7" s="70" t="str">
        <x:v>International AS / A Level</x:v>
      </x:c>
      <x:c r="E7" s="70" t="str">
        <x:v>原版保留／未全面重审</x:v>
      </x:c>
      <x:c r="F7" s="70" t="str">
        <x:v>按2025/26目录；逐年启用前核对</x:v>
      </x:c>
      <x:c r="G7" s="70" t="str">
        <x:v>按原来源版本；开课前核考季</x:v>
      </x:c>
      <x:c r="H7" s="70" t="str">
        <x:v>原版详例</x:v>
      </x:c>
      <x:c r="I7" s="70" t="str">
        <x:v>校内成绩按学校规则；外考成绩不自动换GPA</x:v>
      </x:c>
      <x:c r="J7" s="70" t="str">
        <x:v>人工选择与审核</x:v>
      </x:c>
      <x:c r="K7" s="70" t="str">
        <x:v>原版代码类型见02/05</x:v>
      </x:c>
      <x:c r="L7" s="70" t="str"/>
      <x:c r="M7" s="70" t="str">
        <x:v>P-ECONOMICS;P-MAN</x:v>
      </x:c>
      <x:c r="N7" s="70" t="str">
        <x:v>https://qualifications.pearson.com/content/dam/pdf/International%20Advanced%20Level/Economics/2018/Specification-and-Sample-Assessment/International-A-Level-Economics-spec.pdf</x:v>
      </x:c>
    </x:row>
    <x:row r="8" ht="72" customHeight="1">
      <x:c r="A8" s="71" t="str">
        <x:v>C007</x:v>
      </x:c>
      <x:c r="B8" s="70" t="str">
        <x:v>PEARSON-IAL</x:v>
      </x:c>
      <x:c r="C8" s="70" t="str">
        <x:v>学历学科</x:v>
      </x:c>
      <x:c r="D8" s="70" t="str">
        <x:v>International AS / A Level</x:v>
      </x:c>
      <x:c r="E8" s="70" t="str">
        <x:v>原版保留／未全面重审</x:v>
      </x:c>
      <x:c r="F8" s="70" t="str">
        <x:v>按2025/26目录；逐年启用前核对</x:v>
      </x:c>
      <x:c r="G8" s="70" t="str">
        <x:v>按原来源版本；开课前核考季</x:v>
      </x:c>
      <x:c r="H8" s="70" t="str">
        <x:v>原版详例</x:v>
      </x:c>
      <x:c r="I8" s="70" t="str">
        <x:v>校内成绩按学校规则；外考成绩不自动换GPA</x:v>
      </x:c>
      <x:c r="J8" s="70" t="str">
        <x:v>人工选择与审核</x:v>
      </x:c>
      <x:c r="K8" s="70" t="str">
        <x:v>原版代码类型见02/05</x:v>
      </x:c>
      <x:c r="L8" s="70" t="str"/>
      <x:c r="M8" s="70" t="str">
        <x:v>P-ENGLISHLANGUAGE;P-MAN</x:v>
      </x:c>
      <x:c r="N8" s="70" t="str">
        <x:v>https://qualifications.pearson.com/content/dam/pdf/International%20Advanced%20Level/english-language/2015/specification-and-sample-assessments/9781446954027-ial-englang-iss3.pdf</x:v>
      </x:c>
    </x:row>
    <x:row r="9" ht="72" customHeight="1">
      <x:c r="A9" s="71" t="str">
        <x:v>C008</x:v>
      </x:c>
      <x:c r="B9" s="70" t="str">
        <x:v>PEARSON-IAL</x:v>
      </x:c>
      <x:c r="C9" s="70" t="str">
        <x:v>学历学科</x:v>
      </x:c>
      <x:c r="D9" s="70" t="str">
        <x:v>International AS / A Level</x:v>
      </x:c>
      <x:c r="E9" s="70" t="str">
        <x:v>原版保留／未全面重审</x:v>
      </x:c>
      <x:c r="F9" s="70" t="str">
        <x:v>按2025/26目录；逐年启用前核对</x:v>
      </x:c>
      <x:c r="G9" s="70" t="str">
        <x:v>按原来源版本；开课前核考季</x:v>
      </x:c>
      <x:c r="H9" s="70" t="str">
        <x:v>原版详例</x:v>
      </x:c>
      <x:c r="I9" s="70" t="str">
        <x:v>校内成绩按学校规则；外考成绩不自动换GPA</x:v>
      </x:c>
      <x:c r="J9" s="70" t="str">
        <x:v>人工选择与审核</x:v>
      </x:c>
      <x:c r="K9" s="70" t="str">
        <x:v>原版代码类型见02/05</x:v>
      </x:c>
      <x:c r="L9" s="70" t="str"/>
      <x:c r="M9" s="70" t="str">
        <x:v>P-ENGLISHLITERATURE;P-MAN</x:v>
      </x:c>
      <x:c r="N9" s="70" t="str">
        <x:v>https://qualifications.pearson.com/content/dam/pdf/International%20Advanced%20Level/english-literature/2015/specification-and-sample-assessments/9781446954058-ial-englit-iss6-9-spec-240521pm.pdf</x:v>
      </x:c>
    </x:row>
    <x:row r="10" ht="72" customHeight="1">
      <x:c r="A10" s="71" t="str">
        <x:v>C009</x:v>
      </x:c>
      <x:c r="B10" s="70" t="str">
        <x:v>PEARSON-IAL</x:v>
      </x:c>
      <x:c r="C10" s="70" t="str">
        <x:v>学历学科</x:v>
      </x:c>
      <x:c r="D10" s="70" t="str">
        <x:v>International AS / A Level</x:v>
      </x:c>
      <x:c r="E10" s="70" t="str">
        <x:v>原版保留／未全面重审</x:v>
      </x:c>
      <x:c r="F10" s="70" t="str">
        <x:v>按2025/26目录；逐年启用前核对</x:v>
      </x:c>
      <x:c r="G10" s="70" t="str">
        <x:v>按原来源版本；开课前核考季</x:v>
      </x:c>
      <x:c r="H10" s="70" t="str">
        <x:v>原版详例</x:v>
      </x:c>
      <x:c r="I10" s="70" t="str">
        <x:v>校内成绩按学校规则；外考成绩不自动换GPA</x:v>
      </x:c>
      <x:c r="J10" s="70" t="str">
        <x:v>人工选择与审核</x:v>
      </x:c>
      <x:c r="K10" s="70" t="str">
        <x:v>原版代码类型见02/05</x:v>
      </x:c>
      <x:c r="L10" s="70" t="str"/>
      <x:c r="M10" s="70" t="str">
        <x:v>P-MAN</x:v>
      </x:c>
      <x:c r="N10" s="70" t="str">
        <x:v>https://qualifications.pearson.com/content/dam/pdf/Support/Information-manual/4-ial-2025-2026.pdf</x:v>
      </x:c>
    </x:row>
    <x:row r="11" ht="72" customHeight="1">
      <x:c r="A11" s="71" t="str">
        <x:v>C010</x:v>
      </x:c>
      <x:c r="B11" s="70" t="str">
        <x:v>PEARSON-IAL</x:v>
      </x:c>
      <x:c r="C11" s="70" t="str">
        <x:v>学历学科</x:v>
      </x:c>
      <x:c r="D11" s="70" t="str">
        <x:v>International AS / A Level</x:v>
      </x:c>
      <x:c r="E11" s="70" t="str">
        <x:v>原版保留／未全面重审</x:v>
      </x:c>
      <x:c r="F11" s="70" t="str">
        <x:v>按2025/26目录；逐年启用前核对</x:v>
      </x:c>
      <x:c r="G11" s="70" t="str">
        <x:v>按原来源版本；开课前核考季</x:v>
      </x:c>
      <x:c r="H11" s="70" t="str">
        <x:v>原版详例</x:v>
      </x:c>
      <x:c r="I11" s="70" t="str">
        <x:v>校内成绩按学校规则；外考成绩不自动换GPA</x:v>
      </x:c>
      <x:c r="J11" s="70" t="str">
        <x:v>人工选择与审核</x:v>
      </x:c>
      <x:c r="K11" s="70" t="str">
        <x:v>原版代码类型见02/05</x:v>
      </x:c>
      <x:c r="L11" s="70" t="str"/>
      <x:c r="M11" s="70" t="str">
        <x:v>P-MAN</x:v>
      </x:c>
      <x:c r="N11" s="70" t="str">
        <x:v>https://qualifications.pearson.com/content/dam/pdf/Support/Information-manual/4-ial-2025-2026.pdf</x:v>
      </x:c>
    </x:row>
    <x:row r="12" ht="72" customHeight="1">
      <x:c r="A12" s="71" t="str">
        <x:v>C011</x:v>
      </x:c>
      <x:c r="B12" s="70" t="str">
        <x:v>PEARSON-IAL</x:v>
      </x:c>
      <x:c r="C12" s="70" t="str">
        <x:v>学历学科</x:v>
      </x:c>
      <x:c r="D12" s="70" t="str">
        <x:v>International AS / A Level</x:v>
      </x:c>
      <x:c r="E12" s="70" t="str">
        <x:v>原版保留／未全面重审</x:v>
      </x:c>
      <x:c r="F12" s="70" t="str">
        <x:v>按2025/26目录；逐年启用前核对</x:v>
      </x:c>
      <x:c r="G12" s="70" t="str">
        <x:v>按原来源版本；开课前核考季</x:v>
      </x:c>
      <x:c r="H12" s="70" t="str">
        <x:v>原版详例</x:v>
      </x:c>
      <x:c r="I12" s="70" t="str">
        <x:v>校内成绩按学校规则；外考成绩不自动换GPA</x:v>
      </x:c>
      <x:c r="J12" s="70" t="str">
        <x:v>人工选择与审核</x:v>
      </x:c>
      <x:c r="K12" s="70" t="str">
        <x:v>原版代码类型见02/05</x:v>
      </x:c>
      <x:c r="L12" s="70" t="str"/>
      <x:c r="M12" s="70" t="str">
        <x:v>P-MAN</x:v>
      </x:c>
      <x:c r="N12" s="70" t="str">
        <x:v>https://qualifications.pearson.com/content/dam/pdf/Support/Information-manual/4-ial-2025-2026.pdf</x:v>
      </x:c>
    </x:row>
    <x:row r="13" ht="72" customHeight="1">
      <x:c r="A13" s="71" t="str">
        <x:v>C012</x:v>
      </x:c>
      <x:c r="B13" s="70" t="str">
        <x:v>PEARSON-IAL</x:v>
      </x:c>
      <x:c r="C13" s="70" t="str">
        <x:v>学历学科</x:v>
      </x:c>
      <x:c r="D13" s="70" t="str">
        <x:v>International AS / A Level</x:v>
      </x:c>
      <x:c r="E13" s="70" t="str">
        <x:v>原版保留／未全面重审</x:v>
      </x:c>
      <x:c r="F13" s="70" t="str">
        <x:v>按2025/26目录；逐年启用前核对</x:v>
      </x:c>
      <x:c r="G13" s="70" t="str">
        <x:v>按原来源版本；开课前核考季</x:v>
      </x:c>
      <x:c r="H13" s="70" t="str">
        <x:v>原版详例</x:v>
      </x:c>
      <x:c r="I13" s="70" t="str">
        <x:v>校内成绩按学校规则；外考成绩不自动换GPA</x:v>
      </x:c>
      <x:c r="J13" s="70" t="str">
        <x:v>人工选择与审核</x:v>
      </x:c>
      <x:c r="K13" s="70" t="str">
        <x:v>原版代码类型见02/05</x:v>
      </x:c>
      <x:c r="L13" s="70" t="str"/>
      <x:c r="M13" s="70" t="str">
        <x:v>P-MAN</x:v>
      </x:c>
      <x:c r="N13" s="70" t="str">
        <x:v>https://qualifications.pearson.com/content/dam/pdf/Support/Information-manual/4-ial-2025-2026.pdf</x:v>
      </x:c>
    </x:row>
    <x:row r="14" ht="72" customHeight="1">
      <x:c r="A14" s="71" t="str">
        <x:v>C013</x:v>
      </x:c>
      <x:c r="B14" s="70" t="str">
        <x:v>PEARSON-IAL</x:v>
      </x:c>
      <x:c r="C14" s="70" t="str">
        <x:v>学历学科</x:v>
      </x:c>
      <x:c r="D14" s="70" t="str">
        <x:v>International AS / A Level</x:v>
      </x:c>
      <x:c r="E14" s="70" t="str">
        <x:v>原版保留／未全面重审</x:v>
      </x:c>
      <x:c r="F14" s="70" t="str">
        <x:v>按2025/26目录；逐年启用前核对</x:v>
      </x:c>
      <x:c r="G14" s="70" t="str">
        <x:v>按原来源版本；开课前核考季</x:v>
      </x:c>
      <x:c r="H14" s="70" t="str">
        <x:v>原版详例</x:v>
      </x:c>
      <x:c r="I14" s="70" t="str">
        <x:v>校内成绩按学校规则；外考成绩不自动换GPA</x:v>
      </x:c>
      <x:c r="J14" s="70" t="str">
        <x:v>人工选择与审核</x:v>
      </x:c>
      <x:c r="K14" s="70" t="str">
        <x:v>原版代码类型见02/05</x:v>
      </x:c>
      <x:c r="L14" s="70" t="str"/>
      <x:c r="M14" s="70" t="str">
        <x:v>P-INFORMATIONTECHNOLOGY;P-MAN</x:v>
      </x:c>
      <x:c r="N14" s="70" t="str">
        <x:v>https://qualifications.pearson.com/content/dam/pdf/International%20Advanced%20Level/Information-Technology/2018/specification-and-sample-assessment/International-AL-Information-Technology-Spec.pdf</x:v>
      </x:c>
    </x:row>
    <x:row r="15" ht="72" customHeight="1">
      <x:c r="A15" s="71" t="str">
        <x:v>C014</x:v>
      </x:c>
      <x:c r="B15" s="70" t="str">
        <x:v>PEARSON-IAL</x:v>
      </x:c>
      <x:c r="C15" s="70" t="str">
        <x:v>学历学科</x:v>
      </x:c>
      <x:c r="D15" s="70" t="str">
        <x:v>International AS / A Level</x:v>
      </x:c>
      <x:c r="E15" s="70" t="str">
        <x:v>原版保留／未全面重审</x:v>
      </x:c>
      <x:c r="F15" s="70" t="str">
        <x:v>按2025/26目录；逐年启用前核对</x:v>
      </x:c>
      <x:c r="G15" s="70" t="str">
        <x:v>按原来源版本；开课前核考季</x:v>
      </x:c>
      <x:c r="H15" s="70" t="str">
        <x:v>原版详例</x:v>
      </x:c>
      <x:c r="I15" s="70" t="str">
        <x:v>校内成绩按学校规则；外考成绩不自动换GPA</x:v>
      </x:c>
      <x:c r="J15" s="70" t="str">
        <x:v>人工选择与审核</x:v>
      </x:c>
      <x:c r="K15" s="70" t="str">
        <x:v>原版代码类型见02/05</x:v>
      </x:c>
      <x:c r="L15" s="70" t="str"/>
      <x:c r="M15" s="70" t="str">
        <x:v>P-MAN</x:v>
      </x:c>
      <x:c r="N15" s="70" t="str">
        <x:v>https://qualifications.pearson.com/content/dam/pdf/Support/Information-manual/4-ial-2025-2026.pdf</x:v>
      </x:c>
    </x:row>
    <x:row r="16" ht="72" customHeight="1">
      <x:c r="A16" s="71" t="str">
        <x:v>C015</x:v>
      </x:c>
      <x:c r="B16" s="70" t="str">
        <x:v>PEARSON-IAL</x:v>
      </x:c>
      <x:c r="C16" s="70" t="str">
        <x:v>学历学科</x:v>
      </x:c>
      <x:c r="D16" s="70" t="str">
        <x:v>International AS / A Level</x:v>
      </x:c>
      <x:c r="E16" s="70" t="str">
        <x:v>原版保留／未全面重审</x:v>
      </x:c>
      <x:c r="F16" s="70" t="str">
        <x:v>按2025/26目录；逐年启用前核对</x:v>
      </x:c>
      <x:c r="G16" s="70" t="str">
        <x:v>按原来源版本；开课前核考季</x:v>
      </x:c>
      <x:c r="H16" s="70" t="str">
        <x:v>原版详例</x:v>
      </x:c>
      <x:c r="I16" s="70" t="str">
        <x:v>校内成绩按学校规则；外考成绩不自动换GPA</x:v>
      </x:c>
      <x:c r="J16" s="70" t="str">
        <x:v>人工选择与审核</x:v>
      </x:c>
      <x:c r="K16" s="70" t="str">
        <x:v>原版代码类型见02/05</x:v>
      </x:c>
      <x:c r="L16" s="70" t="str"/>
      <x:c r="M16" s="70" t="str">
        <x:v>P-MAN</x:v>
      </x:c>
      <x:c r="N16" s="70" t="str">
        <x:v>https://qualifications.pearson.com/content/dam/pdf/Support/Information-manual/4-ial-2025-2026.pdf</x:v>
      </x:c>
    </x:row>
    <x:row r="17" ht="72" customHeight="1">
      <x:c r="A17" s="71" t="str">
        <x:v>C016</x:v>
      </x:c>
      <x:c r="B17" s="70" t="str">
        <x:v>PEARSON-IAL</x:v>
      </x:c>
      <x:c r="C17" s="70" t="str">
        <x:v>学历学科</x:v>
      </x:c>
      <x:c r="D17" s="70" t="str">
        <x:v>International AS / A Level</x:v>
      </x:c>
      <x:c r="E17" s="70" t="str">
        <x:v>原版保留／未全面重审</x:v>
      </x:c>
      <x:c r="F17" s="70" t="str">
        <x:v>按2025/26目录；逐年启用前核对</x:v>
      </x:c>
      <x:c r="G17" s="70" t="str">
        <x:v>按原来源版本；开课前核考季</x:v>
      </x:c>
      <x:c r="H17" s="70" t="str">
        <x:v>原版详例</x:v>
      </x:c>
      <x:c r="I17" s="70" t="str">
        <x:v>校内成绩按学校规则；外考成绩不自动换GPA</x:v>
      </x:c>
      <x:c r="J17" s="70" t="str">
        <x:v>人工选择与审核</x:v>
      </x:c>
      <x:c r="K17" s="70" t="str">
        <x:v>原版代码类型见02/05</x:v>
      </x:c>
      <x:c r="L17" s="70" t="str"/>
      <x:c r="M17" s="70" t="str">
        <x:v>P-MAN</x:v>
      </x:c>
      <x:c r="N17" s="70" t="str">
        <x:v>https://qualifications.pearson.com/content/dam/pdf/Support/Information-manual/4-ial-2025-2026.pdf</x:v>
      </x:c>
    </x:row>
    <x:row r="18" ht="72" customHeight="1">
      <x:c r="A18" s="71" t="str">
        <x:v>C017</x:v>
      </x:c>
      <x:c r="B18" s="70" t="str">
        <x:v>PEARSON-IAL</x:v>
      </x:c>
      <x:c r="C18" s="70" t="str">
        <x:v>学历学科</x:v>
      </x:c>
      <x:c r="D18" s="70" t="str">
        <x:v>International AS / A Level</x:v>
      </x:c>
      <x:c r="E18" s="70" t="str">
        <x:v>原版保留／未全面重审</x:v>
      </x:c>
      <x:c r="F18" s="70" t="str">
        <x:v>按2025/26目录；逐年启用前核对</x:v>
      </x:c>
      <x:c r="G18" s="70" t="str">
        <x:v>按原来源版本；开课前核考季</x:v>
      </x:c>
      <x:c r="H18" s="70" t="str">
        <x:v>原版详例</x:v>
      </x:c>
      <x:c r="I18" s="70" t="str">
        <x:v>校内成绩按学校规则；外考成绩不自动换GPA</x:v>
      </x:c>
      <x:c r="J18" s="70" t="str">
        <x:v>人工选择与审核</x:v>
      </x:c>
      <x:c r="K18" s="70" t="str">
        <x:v>原版代码类型见02/05</x:v>
      </x:c>
      <x:c r="L18" s="70" t="str"/>
      <x:c r="M18" s="70" t="str">
        <x:v>P-MAN</x:v>
      </x:c>
      <x:c r="N18" s="70" t="str">
        <x:v>https://qualifications.pearson.com/content/dam/pdf/Support/Information-manual/4-ial-2025-2026.pdf</x:v>
      </x:c>
    </x:row>
    <x:row r="19" ht="72" customHeight="1">
      <x:c r="A19" s="71" t="str">
        <x:v>C018</x:v>
      </x:c>
      <x:c r="B19" s="70" t="str">
        <x:v>PEARSON-IAL</x:v>
      </x:c>
      <x:c r="C19" s="70" t="str">
        <x:v>学历学科</x:v>
      </x:c>
      <x:c r="D19" s="70" t="str">
        <x:v>International AS / A Level</x:v>
      </x:c>
      <x:c r="E19" s="70" t="str">
        <x:v>原版保留／未全面重审</x:v>
      </x:c>
      <x:c r="F19" s="70" t="str">
        <x:v>2018数学体系；2025/26目录</x:v>
      </x:c>
      <x:c r="G19" s="70" t="str">
        <x:v>按原来源版本；开课前核考季</x:v>
      </x:c>
      <x:c r="H19" s="70" t="str">
        <x:v>原版详例</x:v>
      </x:c>
      <x:c r="I19" s="70" t="str">
        <x:v>校内成绩按学校规则；外考成绩不自动换GPA</x:v>
      </x:c>
      <x:c r="J19" s="70" t="str">
        <x:v>人工选择与审核</x:v>
      </x:c>
      <x:c r="K19" s="70" t="str">
        <x:v>原版代码类型见02/05</x:v>
      </x:c>
      <x:c r="L19" s="70" t="str"/>
      <x:c r="M19" s="70" t="str">
        <x:v>P-MATH;P-MAN</x:v>
      </x:c>
      <x:c r="N19" s="70" t="str">
        <x:v>https://qualifications.pearson.com/content/dam/pdf/International%20Advanced%20Level/Mathematics/2018/Specification-and-Sample-Assessment/international-a-level-maths-spec.pdf</x:v>
      </x:c>
    </x:row>
    <x:row r="20" ht="72" customHeight="1">
      <x:c r="A20" s="71" t="str">
        <x:v>C019</x:v>
      </x:c>
      <x:c r="B20" s="70" t="str">
        <x:v>PEARSON-IAL</x:v>
      </x:c>
      <x:c r="C20" s="70" t="str">
        <x:v>学历学科</x:v>
      </x:c>
      <x:c r="D20" s="70" t="str">
        <x:v>International AS / A Level</x:v>
      </x:c>
      <x:c r="E20" s="70" t="str">
        <x:v>原版保留／未全面重审</x:v>
      </x:c>
      <x:c r="F20" s="70" t="str">
        <x:v>2018数学体系；2025/26目录</x:v>
      </x:c>
      <x:c r="G20" s="70" t="str">
        <x:v>按原来源版本；开课前核考季</x:v>
      </x:c>
      <x:c r="H20" s="70" t="str">
        <x:v>原版详例</x:v>
      </x:c>
      <x:c r="I20" s="70" t="str">
        <x:v>校内成绩按学校规则；外考成绩不自动换GPA</x:v>
      </x:c>
      <x:c r="J20" s="70" t="str">
        <x:v>人工选择与审核</x:v>
      </x:c>
      <x:c r="K20" s="70" t="str">
        <x:v>原版代码类型见02/05</x:v>
      </x:c>
      <x:c r="L20" s="70" t="str"/>
      <x:c r="M20" s="70" t="str">
        <x:v>P-MATH;P-MAN</x:v>
      </x:c>
      <x:c r="N20" s="70" t="str">
        <x:v>https://qualifications.pearson.com/content/dam/pdf/International%20Advanced%20Level/Mathematics/2018/Specification-and-Sample-Assessment/international-a-level-maths-spec.pdf</x:v>
      </x:c>
    </x:row>
    <x:row r="21" ht="72" customHeight="1">
      <x:c r="A21" s="71" t="str">
        <x:v>C020</x:v>
      </x:c>
      <x:c r="B21" s="70" t="str">
        <x:v>PEARSON-IAL</x:v>
      </x:c>
      <x:c r="C21" s="70" t="str">
        <x:v>学历学科</x:v>
      </x:c>
      <x:c r="D21" s="70" t="str">
        <x:v>International AS / A Level</x:v>
      </x:c>
      <x:c r="E21" s="70" t="str">
        <x:v>原版保留／未全面重审</x:v>
      </x:c>
      <x:c r="F21" s="70" t="str">
        <x:v>2018数学体系；2025/26目录</x:v>
      </x:c>
      <x:c r="G21" s="70" t="str">
        <x:v>按原来源版本；开课前核考季</x:v>
      </x:c>
      <x:c r="H21" s="70" t="str">
        <x:v>原版详例</x:v>
      </x:c>
      <x:c r="I21" s="70" t="str">
        <x:v>校内成绩按学校规则；外考成绩不自动换GPA</x:v>
      </x:c>
      <x:c r="J21" s="70" t="str">
        <x:v>人工选择与审核</x:v>
      </x:c>
      <x:c r="K21" s="70" t="str">
        <x:v>原版代码类型见02/05</x:v>
      </x:c>
      <x:c r="L21" s="70" t="str"/>
      <x:c r="M21" s="70" t="str">
        <x:v>P-MATH;P-MAN</x:v>
      </x:c>
      <x:c r="N21" s="70" t="str">
        <x:v>https://qualifications.pearson.com/content/dam/pdf/International%20Advanced%20Level/Mathematics/2018/Specification-and-Sample-Assessment/international-a-level-maths-spec.pdf</x:v>
      </x:c>
    </x:row>
    <x:row r="22" ht="72" customHeight="1">
      <x:c r="A22" s="71" t="str">
        <x:v>C021</x:v>
      </x:c>
      <x:c r="B22" s="70" t="str">
        <x:v>PEARSON-IAL</x:v>
      </x:c>
      <x:c r="C22" s="70" t="str">
        <x:v>学历学科</x:v>
      </x:c>
      <x:c r="D22" s="70" t="str">
        <x:v>International A Level</x:v>
      </x:c>
      <x:c r="E22" s="70" t="str">
        <x:v>原版保留／未全面重审</x:v>
      </x:c>
      <x:c r="F22" s="70" t="str">
        <x:v>2015体系；2025/26目录</x:v>
      </x:c>
      <x:c r="G22" s="70" t="str">
        <x:v>按原来源版本；开课前核考季</x:v>
      </x:c>
      <x:c r="H22" s="70" t="str">
        <x:v>原版详例</x:v>
      </x:c>
      <x:c r="I22" s="70" t="str">
        <x:v>校内成绩按学校规则；外考成绩不自动换GPA</x:v>
      </x:c>
      <x:c r="J22" s="70" t="str">
        <x:v>人工选择与审核</x:v>
      </x:c>
      <x:c r="K22" s="70" t="str">
        <x:v>原版代码类型见02/05</x:v>
      </x:c>
      <x:c r="L22" s="70" t="str"/>
      <x:c r="M22" s="70" t="str">
        <x:v>P-MAN</x:v>
      </x:c>
      <x:c r="N22" s="70" t="str">
        <x:v>https://qualifications.pearson.com/content/dam/pdf/Support/Information-manual/4-ial-2025-2026.pdf</x:v>
      </x:c>
    </x:row>
    <x:row r="23" ht="72" customHeight="1">
      <x:c r="A23" s="71" t="str">
        <x:v>C022</x:v>
      </x:c>
      <x:c r="B23" s="70" t="str">
        <x:v>CAIE-AL</x:v>
      </x:c>
      <x:c r="C23" s="70" t="str">
        <x:v>学历学科</x:v>
      </x:c>
      <x:c r="D23" s="70" t="str">
        <x:v>International AS / A Level</x:v>
      </x:c>
      <x:c r="E23" s="70" t="str">
        <x:v>原版保留／未全面重审</x:v>
      </x:c>
      <x:c r="F23" s="70" t="str">
        <x:v>2026–2027大纲</x:v>
      </x:c>
      <x:c r="G23" s="70" t="str">
        <x:v>按原来源版本；开课前核考季</x:v>
      </x:c>
      <x:c r="H23" s="70" t="str">
        <x:v>原版详例</x:v>
      </x:c>
      <x:c r="I23" s="70" t="str">
        <x:v>校内成绩按学校规则；外考成绩不自动换GPA</x:v>
      </x:c>
      <x:c r="J23" s="70" t="str">
        <x:v>人工选择与审核</x:v>
      </x:c>
      <x:c r="K23" s="70" t="str">
        <x:v>原版代码类型见02/05</x:v>
      </x:c>
      <x:c r="L23" s="70" t="str"/>
      <x:c r="M23" s="70" t="str">
        <x:v>C-9709-PDF</x:v>
      </x:c>
      <x:c r="N23" s="70" t="str">
        <x:v>https://www.cambridgeinternational.org/programmes-and-qualifications/cambridge-international-as-and-a-level-mathematics-9709/</x:v>
      </x:c>
    </x:row>
    <x:row r="24" ht="72" customHeight="1">
      <x:c r="A24" s="71" t="str">
        <x:v>C023</x:v>
      </x:c>
      <x:c r="B24" s="70" t="str">
        <x:v>CAIE-AL</x:v>
      </x:c>
      <x:c r="C24" s="70" t="str">
        <x:v>学历学科</x:v>
      </x:c>
      <x:c r="D24" s="70" t="str">
        <x:v>International AS / A Level</x:v>
      </x:c>
      <x:c r="E24" s="70" t="str">
        <x:v>原版保留／未全面重审</x:v>
      </x:c>
      <x:c r="F24" s="70" t="str">
        <x:v>2026–2027大纲</x:v>
      </x:c>
      <x:c r="G24" s="70" t="str">
        <x:v>按原来源版本；开课前核考季</x:v>
      </x:c>
      <x:c r="H24" s="70" t="str">
        <x:v>原版详例</x:v>
      </x:c>
      <x:c r="I24" s="70" t="str">
        <x:v>校内成绩按学校规则；外考成绩不自动换GPA</x:v>
      </x:c>
      <x:c r="J24" s="70" t="str">
        <x:v>人工选择与审核</x:v>
      </x:c>
      <x:c r="K24" s="70" t="str">
        <x:v>原版代码类型见02/05</x:v>
      </x:c>
      <x:c r="L24" s="70" t="str"/>
      <x:c r="M24" s="70" t="str">
        <x:v>C-9231-PDF</x:v>
      </x:c>
      <x:c r="N24" s="70" t="str">
        <x:v>https://www.cambridgeinternational.org/Images/697357-2026-2027-syllabus.pdf</x:v>
      </x:c>
    </x:row>
    <x:row r="25" ht="72" customHeight="1">
      <x:c r="A25" s="71" t="str">
        <x:v>C024</x:v>
      </x:c>
      <x:c r="B25" s="70" t="str">
        <x:v>CAIE-AL</x:v>
      </x:c>
      <x:c r="C25" s="70" t="str">
        <x:v>学历学科</x:v>
      </x:c>
      <x:c r="D25" s="70" t="str">
        <x:v>International AS / A Level</x:v>
      </x:c>
      <x:c r="E25" s="70" t="str">
        <x:v>原版保留／未全面重审</x:v>
      </x:c>
      <x:c r="F25" s="70" t="str">
        <x:v>官网课程目录快照；教学块为校内示例</x:v>
      </x:c>
      <x:c r="G25" s="70" t="str">
        <x:v>按原来源版本；开课前核考季</x:v>
      </x:c>
      <x:c r="H25" s="70" t="str">
        <x:v>原版详例</x:v>
      </x:c>
      <x:c r="I25" s="70" t="str">
        <x:v>校内成绩按学校规则；外考成绩不自动换GPA</x:v>
      </x:c>
      <x:c r="J25" s="70" t="str">
        <x:v>人工选择与审核</x:v>
      </x:c>
      <x:c r="K25" s="70" t="str">
        <x:v>原版代码类型见02/05</x:v>
      </x:c>
      <x:c r="L25" s="70" t="str"/>
      <x:c r="M25" s="70" t="str">
        <x:v>C-9618</x:v>
      </x:c>
      <x:c r="N25" s="70" t="str">
        <x:v>https://www.cambridgeinternational.org/programmes-and-qualifications/cambridge-international-as-and-a-level-computer-science-9618/</x:v>
      </x:c>
    </x:row>
    <x:row r="26" ht="72" customHeight="1">
      <x:c r="A26" s="71" t="str">
        <x:v>C025</x:v>
      </x:c>
      <x:c r="B26" s="70" t="str">
        <x:v>CAIE-AL</x:v>
      </x:c>
      <x:c r="C26" s="70" t="str">
        <x:v>学历学科</x:v>
      </x:c>
      <x:c r="D26" s="70" t="str">
        <x:v>International AS / A Level</x:v>
      </x:c>
      <x:c r="E26" s="70" t="str">
        <x:v>原版保留／未全面重审</x:v>
      </x:c>
      <x:c r="F26" s="70" t="str">
        <x:v>官网课程目录快照；教学块为校内示例</x:v>
      </x:c>
      <x:c r="G26" s="70" t="str">
        <x:v>按原来源版本；开课前核考季</x:v>
      </x:c>
      <x:c r="H26" s="70" t="str">
        <x:v>原版详例</x:v>
      </x:c>
      <x:c r="I26" s="70" t="str">
        <x:v>校内成绩按学校规则；外考成绩不自动换GPA</x:v>
      </x:c>
      <x:c r="J26" s="70" t="str">
        <x:v>人工选择与审核</x:v>
      </x:c>
      <x:c r="K26" s="70" t="str">
        <x:v>原版代码类型见02/05</x:v>
      </x:c>
      <x:c r="L26" s="70" t="str"/>
      <x:c r="M26" s="70" t="str">
        <x:v>C-9702</x:v>
      </x:c>
      <x:c r="N26" s="70" t="str">
        <x:v>https://www.cambridgeinternational.org/programmes-and-qualifications/cambridge-international-as-and-a-level-physics-9702/</x:v>
      </x:c>
    </x:row>
    <x:row r="27" ht="72" customHeight="1">
      <x:c r="A27" s="71" t="str">
        <x:v>C026</x:v>
      </x:c>
      <x:c r="B27" s="70" t="str">
        <x:v>CAIE-AL</x:v>
      </x:c>
      <x:c r="C27" s="70" t="str">
        <x:v>学历学科</x:v>
      </x:c>
      <x:c r="D27" s="70" t="str">
        <x:v>International AS / A Level</x:v>
      </x:c>
      <x:c r="E27" s="70" t="str">
        <x:v>原版保留／未全面重审</x:v>
      </x:c>
      <x:c r="F27" s="70" t="str">
        <x:v>官网课程目录快照；教学块为校内示例</x:v>
      </x:c>
      <x:c r="G27" s="70" t="str">
        <x:v>按原来源版本；开课前核考季</x:v>
      </x:c>
      <x:c r="H27" s="70" t="str">
        <x:v>原版详例</x:v>
      </x:c>
      <x:c r="I27" s="70" t="str">
        <x:v>校内成绩按学校规则；外考成绩不自动换GPA</x:v>
      </x:c>
      <x:c r="J27" s="70" t="str">
        <x:v>人工选择与审核</x:v>
      </x:c>
      <x:c r="K27" s="70" t="str">
        <x:v>原版代码类型见02/05</x:v>
      </x:c>
      <x:c r="L27" s="70" t="str"/>
      <x:c r="M27" s="70" t="str">
        <x:v>C-9701</x:v>
      </x:c>
      <x:c r="N27" s="70" t="str">
        <x:v>https://www.cambridgeinternational.org/programmes-and-qualifications/cambridge-international-as-and-a-level-chemistry-9701/</x:v>
      </x:c>
    </x:row>
    <x:row r="28" ht="72" customHeight="1">
      <x:c r="A28" s="71" t="str">
        <x:v>C027</x:v>
      </x:c>
      <x:c r="B28" s="70" t="str">
        <x:v>CAIE-AL</x:v>
      </x:c>
      <x:c r="C28" s="70" t="str">
        <x:v>学历学科</x:v>
      </x:c>
      <x:c r="D28" s="70" t="str">
        <x:v>International AS / A Level</x:v>
      </x:c>
      <x:c r="E28" s="70" t="str">
        <x:v>原版保留／未全面重审</x:v>
      </x:c>
      <x:c r="F28" s="70" t="str">
        <x:v>官网课程目录快照；教学块为校内示例</x:v>
      </x:c>
      <x:c r="G28" s="70" t="str">
        <x:v>按原来源版本；开课前核考季</x:v>
      </x:c>
      <x:c r="H28" s="70" t="str">
        <x:v>原版详例</x:v>
      </x:c>
      <x:c r="I28" s="70" t="str">
        <x:v>校内成绩按学校规则；外考成绩不自动换GPA</x:v>
      </x:c>
      <x:c r="J28" s="70" t="str">
        <x:v>人工选择与审核</x:v>
      </x:c>
      <x:c r="K28" s="70" t="str">
        <x:v>原版代码类型见02/05</x:v>
      </x:c>
      <x:c r="L28" s="70" t="str"/>
      <x:c r="M28" s="70" t="str">
        <x:v>C-9700</x:v>
      </x:c>
      <x:c r="N28" s="70" t="str">
        <x:v>https://www.cambridgeinternational.org/programmes-and-qualifications/cambridge-international-as-and-a-level-biology-9700/</x:v>
      </x:c>
    </x:row>
    <x:row r="29" ht="72" customHeight="1">
      <x:c r="A29" s="71" t="str">
        <x:v>C028</x:v>
      </x:c>
      <x:c r="B29" s="70" t="str">
        <x:v>CAIE-AL</x:v>
      </x:c>
      <x:c r="C29" s="70" t="str">
        <x:v>学历学科</x:v>
      </x:c>
      <x:c r="D29" s="70" t="str">
        <x:v>International AS / A Level</x:v>
      </x:c>
      <x:c r="E29" s="70" t="str">
        <x:v>原版保留／未全面重审</x:v>
      </x:c>
      <x:c r="F29" s="70" t="str">
        <x:v>官网课程目录快照；教学块为校内示例</x:v>
      </x:c>
      <x:c r="G29" s="70" t="str">
        <x:v>按原来源版本；开课前核考季</x:v>
      </x:c>
      <x:c r="H29" s="70" t="str">
        <x:v>原版详例</x:v>
      </x:c>
      <x:c r="I29" s="70" t="str">
        <x:v>校内成绩按学校规则；外考成绩不自动换GPA</x:v>
      </x:c>
      <x:c r="J29" s="70" t="str">
        <x:v>人工选择与审核</x:v>
      </x:c>
      <x:c r="K29" s="70" t="str">
        <x:v>原版代码类型见02/05</x:v>
      </x:c>
      <x:c r="L29" s="70" t="str"/>
      <x:c r="M29" s="70" t="str">
        <x:v>C-9609</x:v>
      </x:c>
      <x:c r="N29" s="70" t="str">
        <x:v>https://www.cambridgeinternational.org/programmes-and-qualifications/cambridge-international-as-and-a-level-business-9609/</x:v>
      </x:c>
    </x:row>
    <x:row r="30" ht="72" customHeight="1">
      <x:c r="A30" s="71" t="str">
        <x:v>C029</x:v>
      </x:c>
      <x:c r="B30" s="70" t="str">
        <x:v>CAIE-AL</x:v>
      </x:c>
      <x:c r="C30" s="70" t="str">
        <x:v>学历学科</x:v>
      </x:c>
      <x:c r="D30" s="70" t="str">
        <x:v>International AS / A Level</x:v>
      </x:c>
      <x:c r="E30" s="70" t="str">
        <x:v>原版保留／未全面重审</x:v>
      </x:c>
      <x:c r="F30" s="70" t="str">
        <x:v>官网课程目录快照；教学块为校内示例</x:v>
      </x:c>
      <x:c r="G30" s="70" t="str">
        <x:v>按原来源版本；开课前核考季</x:v>
      </x:c>
      <x:c r="H30" s="70" t="str">
        <x:v>原版详例</x:v>
      </x:c>
      <x:c r="I30" s="70" t="str">
        <x:v>校内成绩按学校规则；外考成绩不自动换GPA</x:v>
      </x:c>
      <x:c r="J30" s="70" t="str">
        <x:v>人工选择与审核</x:v>
      </x:c>
      <x:c r="K30" s="70" t="str">
        <x:v>原版代码类型见02/05</x:v>
      </x:c>
      <x:c r="L30" s="70" t="str"/>
      <x:c r="M30" s="70" t="str">
        <x:v>C-9708</x:v>
      </x:c>
      <x:c r="N30" s="70" t="str">
        <x:v>https://www.cambridgeinternational.org/programmes-and-qualifications/cambridge-international-as-and-a-level-economics-9708/</x:v>
      </x:c>
    </x:row>
    <x:row r="31" ht="72" customHeight="1">
      <x:c r="A31" s="71" t="str">
        <x:v>C030</x:v>
      </x:c>
      <x:c r="B31" s="70" t="str">
        <x:v>CAIE-AL</x:v>
      </x:c>
      <x:c r="C31" s="70" t="str">
        <x:v>学历学科</x:v>
      </x:c>
      <x:c r="D31" s="70" t="str">
        <x:v>International AS / A Level</x:v>
      </x:c>
      <x:c r="E31" s="70" t="str">
        <x:v>原版保留／未全面重审</x:v>
      </x:c>
      <x:c r="F31" s="70" t="str">
        <x:v>官网课程目录快照；教学块为校内示例</x:v>
      </x:c>
      <x:c r="G31" s="70" t="str">
        <x:v>按原来源版本；开课前核考季</x:v>
      </x:c>
      <x:c r="H31" s="70" t="str">
        <x:v>原版详例</x:v>
      </x:c>
      <x:c r="I31" s="70" t="str">
        <x:v>校内成绩按学校规则；外考成绩不自动换GPA</x:v>
      </x:c>
      <x:c r="J31" s="70" t="str">
        <x:v>人工选择与审核</x:v>
      </x:c>
      <x:c r="K31" s="70" t="str">
        <x:v>原版代码类型见02/05</x:v>
      </x:c>
      <x:c r="L31" s="70" t="str"/>
      <x:c r="M31" s="70" t="str">
        <x:v>C-9626</x:v>
      </x:c>
      <x:c r="N31" s="70" t="str">
        <x:v>https://www.cambridgeinternational.org/programmes-and-qualifications/cambridge-international-as-and-a-level-information-technology-9626/</x:v>
      </x:c>
    </x:row>
    <x:row r="32" ht="72" customHeight="1">
      <x:c r="A32" s="71" t="str">
        <x:v>C031</x:v>
      </x:c>
      <x:c r="B32" s="70" t="str">
        <x:v>CAIE-AL</x:v>
      </x:c>
      <x:c r="C32" s="70" t="str">
        <x:v>学历学科</x:v>
      </x:c>
      <x:c r="D32" s="70" t="str">
        <x:v>International AS / A Level</x:v>
      </x:c>
      <x:c r="E32" s="70" t="str">
        <x:v>原版保留／未全面重审</x:v>
      </x:c>
      <x:c r="F32" s="70" t="str">
        <x:v>官网课程目录快照；教学块为校内示例</x:v>
      </x:c>
      <x:c r="G32" s="70" t="str">
        <x:v>按原来源版本；开课前核考季</x:v>
      </x:c>
      <x:c r="H32" s="70" t="str">
        <x:v>原版详例</x:v>
      </x:c>
      <x:c r="I32" s="70" t="str">
        <x:v>校内成绩按学校规则；外考成绩不自动换GPA</x:v>
      </x:c>
      <x:c r="J32" s="70" t="str">
        <x:v>人工选择与审核</x:v>
      </x:c>
      <x:c r="K32" s="70" t="str">
        <x:v>原版代码类型见02/05</x:v>
      </x:c>
      <x:c r="L32" s="70" t="str"/>
      <x:c r="M32" s="70" t="str">
        <x:v>C-9706</x:v>
      </x:c>
      <x:c r="N32" s="70" t="str">
        <x:v>https://www.cambridgeinternational.org/programmes-and-qualifications/cambridge-international-as-and-a-level-accounting-9706/</x:v>
      </x:c>
    </x:row>
    <x:row r="33" ht="72" customHeight="1">
      <x:c r="A33" s="71" t="str">
        <x:v>C032</x:v>
      </x:c>
      <x:c r="B33" s="70" t="str">
        <x:v>OXFORD-AL</x:v>
      </x:c>
      <x:c r="C33" s="70" t="str">
        <x:v>学历学科</x:v>
      </x:c>
      <x:c r="D33" s="70" t="str">
        <x:v>International AS / A Level</x:v>
      </x:c>
      <x:c r="E33" s="70" t="str">
        <x:v>原版保留／未全面重审</x:v>
      </x:c>
      <x:c r="F33" s="70" t="str">
        <x:v>官网课程结构快照</x:v>
      </x:c>
      <x:c r="G33" s="70" t="str">
        <x:v>按原来源版本；开课前核考季</x:v>
      </x:c>
      <x:c r="H33" s="70" t="str">
        <x:v>原版详例</x:v>
      </x:c>
      <x:c r="I33" s="70" t="str">
        <x:v>校内成绩按学校规则；外考成绩不自动换GPA</x:v>
      </x:c>
      <x:c r="J33" s="70" t="str">
        <x:v>人工选择与审核</x:v>
      </x:c>
      <x:c r="K33" s="70" t="str">
        <x:v>原版代码类型见02/05</x:v>
      </x:c>
      <x:c r="L33" s="70" t="str"/>
      <x:c r="M33" s="70" t="str">
        <x:v>OA-MATH</x:v>
      </x:c>
      <x:c r="N33" s="70" t="str">
        <x:v>https://www.oxfordaqa.com/qualifications/international-as-a-level-mathematics/</x:v>
      </x:c>
    </x:row>
    <x:row r="34" ht="72" customHeight="1">
      <x:c r="A34" s="71" t="str">
        <x:v>C033</x:v>
      </x:c>
      <x:c r="B34" s="70" t="str">
        <x:v>OXFORD-AL</x:v>
      </x:c>
      <x:c r="C34" s="70" t="str">
        <x:v>学历学科</x:v>
      </x:c>
      <x:c r="D34" s="70" t="str">
        <x:v>International AS / A Level</x:v>
      </x:c>
      <x:c r="E34" s="70" t="str">
        <x:v>原版保留／未全面重审</x:v>
      </x:c>
      <x:c r="F34" s="70" t="str">
        <x:v>官网课程结构快照</x:v>
      </x:c>
      <x:c r="G34" s="70" t="str">
        <x:v>按原来源版本；开课前核考季</x:v>
      </x:c>
      <x:c r="H34" s="70" t="str">
        <x:v>原版详例</x:v>
      </x:c>
      <x:c r="I34" s="70" t="str">
        <x:v>校内成绩按学校规则；外考成绩不自动换GPA</x:v>
      </x:c>
      <x:c r="J34" s="70" t="str">
        <x:v>人工选择与审核</x:v>
      </x:c>
      <x:c r="K34" s="70" t="str">
        <x:v>原版代码类型见02/05</x:v>
      </x:c>
      <x:c r="L34" s="70" t="str"/>
      <x:c r="M34" s="70" t="str">
        <x:v>OA-PHYSICS</x:v>
      </x:c>
      <x:c r="N34" s="70" t="str">
        <x:v>https://www.oxfordaqa.com/qualifications/international-as-a-level-physics/</x:v>
      </x:c>
    </x:row>
    <x:row r="35" ht="72" customHeight="1">
      <x:c r="A35" s="71" t="str">
        <x:v>C034</x:v>
      </x:c>
      <x:c r="B35" s="70" t="str">
        <x:v>OXFORD-AL</x:v>
      </x:c>
      <x:c r="C35" s="70" t="str">
        <x:v>学历学科</x:v>
      </x:c>
      <x:c r="D35" s="70" t="str">
        <x:v>International AS / A Level</x:v>
      </x:c>
      <x:c r="E35" s="70" t="str">
        <x:v>原版保留／未全面重审</x:v>
      </x:c>
      <x:c r="F35" s="70" t="str">
        <x:v>官网课程结构快照</x:v>
      </x:c>
      <x:c r="G35" s="70" t="str">
        <x:v>按原来源版本；开课前核考季</x:v>
      </x:c>
      <x:c r="H35" s="70" t="str">
        <x:v>原版详例</x:v>
      </x:c>
      <x:c r="I35" s="70" t="str">
        <x:v>校内成绩按学校规则；外考成绩不自动换GPA</x:v>
      </x:c>
      <x:c r="J35" s="70" t="str">
        <x:v>人工选择与审核</x:v>
      </x:c>
      <x:c r="K35" s="70" t="str">
        <x:v>原版代码类型见02/05</x:v>
      </x:c>
      <x:c r="L35" s="70" t="str"/>
      <x:c r="M35" s="70" t="str">
        <x:v>OA-BIOLOGY</x:v>
      </x:c>
      <x:c r="N35" s="70" t="str">
        <x:v>https://www.oxfordaqa.com/qualifications/international-as-a-level-biology/</x:v>
      </x:c>
    </x:row>
    <x:row r="36" ht="72" customHeight="1">
      <x:c r="A36" s="71" t="str">
        <x:v>C035</x:v>
      </x:c>
      <x:c r="B36" s="70" t="str">
        <x:v>OXFORD-AL</x:v>
      </x:c>
      <x:c r="C36" s="70" t="str">
        <x:v>学历学科</x:v>
      </x:c>
      <x:c r="D36" s="70" t="str">
        <x:v>International AS / A Level</x:v>
      </x:c>
      <x:c r="E36" s="70" t="str">
        <x:v>原版保留／未全面重审</x:v>
      </x:c>
      <x:c r="F36" s="70" t="str">
        <x:v>官网课程结构快照</x:v>
      </x:c>
      <x:c r="G36" s="70" t="str">
        <x:v>按原来源版本；开课前核考季</x:v>
      </x:c>
      <x:c r="H36" s="70" t="str">
        <x:v>原版详例</x:v>
      </x:c>
      <x:c r="I36" s="70" t="str">
        <x:v>校内成绩按学校规则；外考成绩不自动换GPA</x:v>
      </x:c>
      <x:c r="J36" s="70" t="str">
        <x:v>人工选择与审核</x:v>
      </x:c>
      <x:c r="K36" s="70" t="str">
        <x:v>原版代码类型见02/05</x:v>
      </x:c>
      <x:c r="L36" s="70" t="str"/>
      <x:c r="M36" s="70" t="str">
        <x:v>OA-CHEMISTRY</x:v>
      </x:c>
      <x:c r="N36" s="70" t="str">
        <x:v>https://www.oxfordaqa.com/qualifications/international-as-a-level-chemistry/</x:v>
      </x:c>
    </x:row>
    <x:row r="37" ht="72" customHeight="1">
      <x:c r="A37" s="71" t="str">
        <x:v>C036</x:v>
      </x:c>
      <x:c r="B37" s="70" t="str">
        <x:v>AQA-UK</x:v>
      </x:c>
      <x:c r="C37" s="70" t="str">
        <x:v>学历学科</x:v>
      </x:c>
      <x:c r="D37" s="70" t="str">
        <x:v>GCE A Level</x:v>
      </x:c>
      <x:c r="E37" s="70" t="str">
        <x:v>原版保留／未全面重审</x:v>
      </x:c>
      <x:c r="F37" s="70" t="str">
        <x:v>来源规范快照；代码区分AS与AL</x:v>
      </x:c>
      <x:c r="G37" s="70" t="str">
        <x:v>按原来源版本；开课前核考季</x:v>
      </x:c>
      <x:c r="H37" s="70" t="str">
        <x:v>原版详例</x:v>
      </x:c>
      <x:c r="I37" s="70" t="str">
        <x:v>校内成绩按学校规则；外考成绩不自动换GPA</x:v>
      </x:c>
      <x:c r="J37" s="70" t="str">
        <x:v>人工选择与审核</x:v>
      </x:c>
      <x:c r="K37" s="70" t="str">
        <x:v>原版代码类型见02/05</x:v>
      </x:c>
      <x:c r="L37" s="70" t="str"/>
      <x:c r="M37" s="70" t="str">
        <x:v>AQ-MATH</x:v>
      </x:c>
      <x:c r="N37" s="70" t="str">
        <x:v>https://www.aqa.org.uk/subjects/mathematics/a-level/mathematics-7357/specification/specification-at-a-glance</x:v>
      </x:c>
    </x:row>
    <x:row r="38" ht="72" customHeight="1">
      <x:c r="A38" s="71" t="str">
        <x:v>C037</x:v>
      </x:c>
      <x:c r="B38" s="70" t="str">
        <x:v>AQA-UK</x:v>
      </x:c>
      <x:c r="C38" s="70" t="str">
        <x:v>学历学科</x:v>
      </x:c>
      <x:c r="D38" s="70" t="str">
        <x:v>GCE A Level</x:v>
      </x:c>
      <x:c r="E38" s="70" t="str">
        <x:v>原版保留／未全面重审</x:v>
      </x:c>
      <x:c r="F38" s="70" t="str">
        <x:v>来源规范快照；代码区分AS与AL</x:v>
      </x:c>
      <x:c r="G38" s="70" t="str">
        <x:v>按原来源版本；开课前核考季</x:v>
      </x:c>
      <x:c r="H38" s="70" t="str">
        <x:v>原版详例</x:v>
      </x:c>
      <x:c r="I38" s="70" t="str">
        <x:v>校内成绩按学校规则；外考成绩不自动换GPA</x:v>
      </x:c>
      <x:c r="J38" s="70" t="str">
        <x:v>人工选择与审核</x:v>
      </x:c>
      <x:c r="K38" s="70" t="str">
        <x:v>原版代码类型见02/05</x:v>
      </x:c>
      <x:c r="L38" s="70" t="str"/>
      <x:c r="M38" s="70" t="str">
        <x:v>AQ-PHYSICS</x:v>
      </x:c>
      <x:c r="N38" s="70" t="str">
        <x:v>https://www.aqa.org.uk/subjects/physics/a-level/physics-7408/specification/specification-at-a-glance</x:v>
      </x:c>
    </x:row>
    <x:row r="39" ht="72" customHeight="1">
      <x:c r="A39" s="71" t="str">
        <x:v>C038</x:v>
      </x:c>
      <x:c r="B39" s="70" t="str">
        <x:v>AQA-UK</x:v>
      </x:c>
      <x:c r="C39" s="70" t="str">
        <x:v>学历学科</x:v>
      </x:c>
      <x:c r="D39" s="70" t="str">
        <x:v>GCE A Level</x:v>
      </x:c>
      <x:c r="E39" s="70" t="str">
        <x:v>原版保留／未全面重审</x:v>
      </x:c>
      <x:c r="F39" s="70" t="str">
        <x:v>来源规范快照；代码区分AS与AL</x:v>
      </x:c>
      <x:c r="G39" s="70" t="str">
        <x:v>按原来源版本；开课前核考季</x:v>
      </x:c>
      <x:c r="H39" s="70" t="str">
        <x:v>原版详例</x:v>
      </x:c>
      <x:c r="I39" s="70" t="str">
        <x:v>校内成绩按学校规则；外考成绩不自动换GPA</x:v>
      </x:c>
      <x:c r="J39" s="70" t="str">
        <x:v>人工选择与审核</x:v>
      </x:c>
      <x:c r="K39" s="70" t="str">
        <x:v>原版代码类型见02/05</x:v>
      </x:c>
      <x:c r="L39" s="70" t="str"/>
      <x:c r="M39" s="70" t="str">
        <x:v>AQ-CHEMISTRY</x:v>
      </x:c>
      <x:c r="N39" s="70" t="str">
        <x:v>https://www.aqa.org.uk/subjects/chemistry/a-level/chemistry-7405/specification/specification-at-a-glance</x:v>
      </x:c>
    </x:row>
    <x:row r="40" ht="72" customHeight="1">
      <x:c r="A40" s="71" t="str">
        <x:v>C039</x:v>
      </x:c>
      <x:c r="B40" s="70" t="str">
        <x:v>AQA-UK</x:v>
      </x:c>
      <x:c r="C40" s="70" t="str">
        <x:v>学历学科</x:v>
      </x:c>
      <x:c r="D40" s="70" t="str">
        <x:v>GCE A Level</x:v>
      </x:c>
      <x:c r="E40" s="70" t="str">
        <x:v>原版保留／未全面重审</x:v>
      </x:c>
      <x:c r="F40" s="70" t="str">
        <x:v>来源规范快照；代码区分AS与AL</x:v>
      </x:c>
      <x:c r="G40" s="70" t="str">
        <x:v>按原来源版本；开课前核考季</x:v>
      </x:c>
      <x:c r="H40" s="70" t="str">
        <x:v>原版详例</x:v>
      </x:c>
      <x:c r="I40" s="70" t="str">
        <x:v>校内成绩按学校规则；外考成绩不自动换GPA</x:v>
      </x:c>
      <x:c r="J40" s="70" t="str">
        <x:v>人工选择与审核</x:v>
      </x:c>
      <x:c r="K40" s="70" t="str">
        <x:v>原版代码类型见02/05</x:v>
      </x:c>
      <x:c r="L40" s="70" t="str"/>
      <x:c r="M40" s="70" t="str">
        <x:v>AQ-BIOLOGY</x:v>
      </x:c>
      <x:c r="N40" s="70" t="str">
        <x:v>https://www.aqa.org.uk/subjects/biology/a-level/biology-7402/specification/specification-at-a-glance</x:v>
      </x:c>
    </x:row>
    <x:row r="41" ht="72" customHeight="1">
      <x:c r="A41" s="71" t="str">
        <x:v>C040</x:v>
      </x:c>
      <x:c r="B41" s="70" t="str">
        <x:v>PEARSON-UK</x:v>
      </x:c>
      <x:c r="C41" s="70" t="str">
        <x:v>学历学科</x:v>
      </x:c>
      <x:c r="D41" s="70" t="str">
        <x:v>GCE A Level</x:v>
      </x:c>
      <x:c r="E41" s="70" t="str">
        <x:v>原版保留／未全面重审</x:v>
      </x:c>
      <x:c r="F41" s="70" t="str">
        <x:v>来源规范快照；代码区分AS与AL</x:v>
      </x:c>
      <x:c r="G41" s="70" t="str">
        <x:v>按原来源版本；开课前核考季</x:v>
      </x:c>
      <x:c r="H41" s="70" t="str">
        <x:v>原版详例</x:v>
      </x:c>
      <x:c r="I41" s="70" t="str">
        <x:v>校内成绩按学校规则；外考成绩不自动换GPA</x:v>
      </x:c>
      <x:c r="J41" s="70" t="str">
        <x:v>人工选择与审核</x:v>
      </x:c>
      <x:c r="K41" s="70" t="str">
        <x:v>原版代码类型见02/05</x:v>
      </x:c>
      <x:c r="L41" s="70" t="str"/>
      <x:c r="M41" s="70" t="str">
        <x:v>P-UK-AL</x:v>
      </x:c>
      <x:c r="N41" s="70" t="str">
        <x:v>https://qualifications.pearson.com/content/dam/pdf/A%20Level/Mathematics/2017/specification-and-sample-assesment/a-level-l3-mathematics-specification-issue4.pdf</x:v>
      </x:c>
    </x:row>
    <x:row r="42" ht="72" customHeight="1">
      <x:c r="A42" s="71" t="str">
        <x:v>C041</x:v>
      </x:c>
      <x:c r="B42" s="70" t="str">
        <x:v>PEARSON-UK</x:v>
      </x:c>
      <x:c r="C42" s="70" t="str">
        <x:v>学历学科</x:v>
      </x:c>
      <x:c r="D42" s="70" t="str">
        <x:v>GCE AS Level</x:v>
      </x:c>
      <x:c r="E42" s="70" t="str">
        <x:v>原版保留／未全面重审</x:v>
      </x:c>
      <x:c r="F42" s="70" t="str">
        <x:v>来源规范快照；代码区分AS与AL</x:v>
      </x:c>
      <x:c r="G42" s="70" t="str">
        <x:v>按原来源版本；开课前核考季</x:v>
      </x:c>
      <x:c r="H42" s="70" t="str">
        <x:v>原版详例</x:v>
      </x:c>
      <x:c r="I42" s="70" t="str">
        <x:v>校内成绩按学校规则；外考成绩不自动换GPA</x:v>
      </x:c>
      <x:c r="J42" s="70" t="str">
        <x:v>人工选择与审核</x:v>
      </x:c>
      <x:c r="K42" s="70" t="str">
        <x:v>原版代码类型见02/05</x:v>
      </x:c>
      <x:c r="L42" s="70" t="str"/>
      <x:c r="M42" s="70" t="str">
        <x:v>P-UK-AS</x:v>
      </x:c>
      <x:c r="N42" s="70" t="str">
        <x:v>https://qualifications.pearson.com/content/dam/pdf/A%20Level/Mathematics/2017/specification-and-sample-assesment/as-l3-mathematics-specification.pdf</x:v>
      </x:c>
    </x:row>
    <x:row r="43" ht="72" customHeight="1">
      <x:c r="A43" s="71" t="str">
        <x:v>C042</x:v>
      </x:c>
      <x:c r="B43" s="70" t="str">
        <x:v>OCR-UK</x:v>
      </x:c>
      <x:c r="C43" s="70" t="str">
        <x:v>学历学科</x:v>
      </x:c>
      <x:c r="D43" s="70" t="str">
        <x:v>GCE A Level</x:v>
      </x:c>
      <x:c r="E43" s="70" t="str">
        <x:v>原版保留／未全面重审</x:v>
      </x:c>
      <x:c r="F43" s="70" t="str">
        <x:v>来源规范快照；代码区分AS与AL</x:v>
      </x:c>
      <x:c r="G43" s="70" t="str">
        <x:v>按原来源版本；开课前核考季</x:v>
      </x:c>
      <x:c r="H43" s="70" t="str">
        <x:v>原版详例</x:v>
      </x:c>
      <x:c r="I43" s="70" t="str">
        <x:v>校内成绩按学校规则；外考成绩不自动换GPA</x:v>
      </x:c>
      <x:c r="J43" s="70" t="str">
        <x:v>人工选择与审核</x:v>
      </x:c>
      <x:c r="K43" s="70" t="str">
        <x:v>原版代码类型见02/05</x:v>
      </x:c>
      <x:c r="L43" s="70" t="str"/>
      <x:c r="M43" s="70" t="str">
        <x:v>OCR-A</x:v>
      </x:c>
      <x:c r="N43" s="70" t="str">
        <x:v>https://www.ocr.org.uk/qualifications/as-and-a-level/mathematics-a-h230-h240-from-2017/specification-at-a-glance/</x:v>
      </x:c>
    </x:row>
    <x:row r="44" ht="72" customHeight="1">
      <x:c r="A44" s="71" t="str">
        <x:v>C043</x:v>
      </x:c>
      <x:c r="B44" s="70" t="str">
        <x:v>OCR-UK</x:v>
      </x:c>
      <x:c r="C44" s="70" t="str">
        <x:v>学历学科</x:v>
      </x:c>
      <x:c r="D44" s="70" t="str">
        <x:v>GCE AS Level</x:v>
      </x:c>
      <x:c r="E44" s="70" t="str">
        <x:v>原版保留／未全面重审</x:v>
      </x:c>
      <x:c r="F44" s="70" t="str">
        <x:v>来源规范快照；代码区分AS与AL</x:v>
      </x:c>
      <x:c r="G44" s="70" t="str">
        <x:v>按原来源版本；开课前核考季</x:v>
      </x:c>
      <x:c r="H44" s="70" t="str">
        <x:v>原版详例</x:v>
      </x:c>
      <x:c r="I44" s="70" t="str">
        <x:v>校内成绩按学校规则；外考成绩不自动换GPA</x:v>
      </x:c>
      <x:c r="J44" s="70" t="str">
        <x:v>人工选择与审核</x:v>
      </x:c>
      <x:c r="K44" s="70" t="str">
        <x:v>原版代码类型见02/05</x:v>
      </x:c>
      <x:c r="L44" s="70" t="str"/>
      <x:c r="M44" s="70" t="str">
        <x:v>OCR-A</x:v>
      </x:c>
      <x:c r="N44" s="70" t="str">
        <x:v>https://www.ocr.org.uk/qualifications/as-and-a-level/mathematics-a-h230-h240-from-2017/specification-at-a-glance/</x:v>
      </x:c>
    </x:row>
    <x:row r="45" ht="72" customHeight="1">
      <x:c r="A45" s="71" t="str">
        <x:v>C044</x:v>
      </x:c>
      <x:c r="B45" s="70" t="str">
        <x:v>OCR-UK</x:v>
      </x:c>
      <x:c r="C45" s="70" t="str">
        <x:v>学历学科</x:v>
      </x:c>
      <x:c r="D45" s="70" t="str">
        <x:v>GCE A Level</x:v>
      </x:c>
      <x:c r="E45" s="70" t="str">
        <x:v>原版保留／未全面重审</x:v>
      </x:c>
      <x:c r="F45" s="70" t="str">
        <x:v>来源规范快照；代码区分AS与AL</x:v>
      </x:c>
      <x:c r="G45" s="70" t="str">
        <x:v>按原来源版本；开课前核考季</x:v>
      </x:c>
      <x:c r="H45" s="70" t="str">
        <x:v>原版详例</x:v>
      </x:c>
      <x:c r="I45" s="70" t="str">
        <x:v>校内成绩按学校规则；外考成绩不自动换GPA</x:v>
      </x:c>
      <x:c r="J45" s="70" t="str">
        <x:v>人工选择与审核</x:v>
      </x:c>
      <x:c r="K45" s="70" t="str">
        <x:v>原版代码类型见02/05</x:v>
      </x:c>
      <x:c r="L45" s="70" t="str"/>
      <x:c r="M45" s="70" t="str">
        <x:v>OCR-B</x:v>
      </x:c>
      <x:c r="N45" s="70" t="str">
        <x:v>https://www.ocr.org.uk/qualifications/as-and-a-level/mathematics-b-mei-h630-h640-from-2017/specification-at-a-glance/</x:v>
      </x:c>
    </x:row>
    <x:row r="46" ht="72" customHeight="1">
      <x:c r="A46" s="71" t="str">
        <x:v>C045</x:v>
      </x:c>
      <x:c r="B46" s="70" t="str">
        <x:v>OCR-UK</x:v>
      </x:c>
      <x:c r="C46" s="70" t="str">
        <x:v>学历学科</x:v>
      </x:c>
      <x:c r="D46" s="70" t="str">
        <x:v>GCE AS Level</x:v>
      </x:c>
      <x:c r="E46" s="70" t="str">
        <x:v>原版保留／未全面重审</x:v>
      </x:c>
      <x:c r="F46" s="70" t="str">
        <x:v>来源规范快照；代码区分AS与AL</x:v>
      </x:c>
      <x:c r="G46" s="70" t="str">
        <x:v>按原来源版本；开课前核考季</x:v>
      </x:c>
      <x:c r="H46" s="70" t="str">
        <x:v>原版详例</x:v>
      </x:c>
      <x:c r="I46" s="70" t="str">
        <x:v>校内成绩按学校规则；外考成绩不自动换GPA</x:v>
      </x:c>
      <x:c r="J46" s="70" t="str">
        <x:v>人工选择与审核</x:v>
      </x:c>
      <x:c r="K46" s="70" t="str">
        <x:v>原版代码类型见02/05</x:v>
      </x:c>
      <x:c r="L46" s="70" t="str"/>
      <x:c r="M46" s="70" t="str">
        <x:v>OCR-B</x:v>
      </x:c>
      <x:c r="N46" s="70" t="str">
        <x:v>https://www.ocr.org.uk/qualifications/as-and-a-level/mathematics-b-mei-h630-h640-from-2017/specification-at-a-glance/</x:v>
      </x:c>
    </x:row>
    <x:row r="47" ht="72" customHeight="1">
      <x:c r="A47" s="71" t="str">
        <x:v>C046</x:v>
      </x:c>
      <x:c r="B47" s="70" t="str">
        <x:v>WJEC-WALES</x:v>
      </x:c>
      <x:c r="C47" s="70" t="str">
        <x:v>学历学科</x:v>
      </x:c>
      <x:c r="D47" s="70" t="str">
        <x:v>GCE AS / A Level</x:v>
      </x:c>
      <x:c r="E47" s="70" t="str">
        <x:v>原版保留／未全面重审</x:v>
      </x:c>
      <x:c r="F47" s="70" t="str">
        <x:v>2017起教学规范</x:v>
      </x:c>
      <x:c r="G47" s="70" t="str">
        <x:v>按原来源版本；开课前核考季</x:v>
      </x:c>
      <x:c r="H47" s="70" t="str">
        <x:v>原版详例</x:v>
      </x:c>
      <x:c r="I47" s="70" t="str">
        <x:v>校内成绩按学校规则；外考成绩不自动换GPA</x:v>
      </x:c>
      <x:c r="J47" s="70" t="str">
        <x:v>人工选择与审核</x:v>
      </x:c>
      <x:c r="K47" s="70" t="str">
        <x:v>原版代码类型见02/05</x:v>
      </x:c>
      <x:c r="L47" s="70" t="str"/>
      <x:c r="M47" s="70" t="str">
        <x:v>WJ-MATH;WJ-PAGE</x:v>
      </x:c>
      <x:c r="N47" s="70" t="str">
        <x:v>https://www.wjec.co.uk/media/lm3fegtu/wjec-gce-maths-spec-from-2017-e.pdf</x:v>
      </x:c>
    </x:row>
    <x:row r="48" ht="72" customHeight="1">
      <x:c r="A48" s="71" t="str">
        <x:v>C047</x:v>
      </x:c>
      <x:c r="B48" s="70" t="str">
        <x:v>CCEA-NI</x:v>
      </x:c>
      <x:c r="C48" s="70" t="str">
        <x:v>学历学科</x:v>
      </x:c>
      <x:c r="D48" s="70" t="str">
        <x:v>GCE AS / A Level</x:v>
      </x:c>
      <x:c r="E48" s="70" t="str">
        <x:v>原版保留／未全面重审</x:v>
      </x:c>
      <x:c r="F48" s="70" t="str">
        <x:v>2018起教学规范摘录</x:v>
      </x:c>
      <x:c r="G48" s="70" t="str">
        <x:v>按原来源版本；开课前核考季</x:v>
      </x:c>
      <x:c r="H48" s="70" t="str">
        <x:v>原版详例</x:v>
      </x:c>
      <x:c r="I48" s="70" t="str">
        <x:v>校内成绩按学校规则；外考成绩不自动换GPA</x:v>
      </x:c>
      <x:c r="J48" s="70" t="str">
        <x:v>人工选择与审核</x:v>
      </x:c>
      <x:c r="K48" s="70" t="str">
        <x:v>原版代码类型见02/05</x:v>
      </x:c>
      <x:c r="L48" s="70" t="str"/>
      <x:c r="M48" s="70" t="str">
        <x:v>CCEA-MATH;CCEA-SCHOOL</x:v>
      </x:c>
      <x:c r="N48" s="70" t="str">
        <x:v>https://www.studocu.com/en-gb/document/bangor-university/mathematics-1/specification/90410310</x:v>
      </x:c>
    </x:row>
    <x:row r="49" ht="72" customHeight="1">
      <x:c r="A49" s="71" t="str">
        <x:v>C048</x:v>
      </x:c>
      <x:c r="B49" s="70" t="str">
        <x:v>EDUQAS-UK</x:v>
      </x:c>
      <x:c r="C49" s="70" t="str">
        <x:v>学历学科</x:v>
      </x:c>
      <x:c r="D49" s="70" t="str">
        <x:v>GCE A Level</x:v>
      </x:c>
      <x:c r="E49" s="70" t="str">
        <x:v>原版保留／未全面重审</x:v>
      </x:c>
      <x:c r="F49" s="70" t="str">
        <x:v>官网AL课程快照；不创建已宣布退场的AS新开课</x:v>
      </x:c>
      <x:c r="G49" s="70" t="str">
        <x:v>按原来源版本；开课前核考季</x:v>
      </x:c>
      <x:c r="H49" s="70" t="str">
        <x:v>原版详例</x:v>
      </x:c>
      <x:c r="I49" s="70" t="str">
        <x:v>校内成绩按学校规则；外考成绩不自动换GPA</x:v>
      </x:c>
      <x:c r="J49" s="70" t="str">
        <x:v>人工选择与审核</x:v>
      </x:c>
      <x:c r="K49" s="70" t="str">
        <x:v>原版代码类型见02/05</x:v>
      </x:c>
      <x:c r="L49" s="70" t="str"/>
      <x:c r="M49" s="70" t="str">
        <x:v>EDU-BUS</x:v>
      </x:c>
      <x:c r="N49" s="70" t="str">
        <x:v>https://www.eduqas.co.uk/qualifications/business-asa-level/</x:v>
      </x:c>
    </x:row>
    <x:row r="50" ht="72" customHeight="1">
      <x:c r="A50" s="71" t="str">
        <x:v>C049</x:v>
      </x:c>
      <x:c r="B50" s="70" t="str">
        <x:v>EDUQAS-UK</x:v>
      </x:c>
      <x:c r="C50" s="70" t="str">
        <x:v>学历学科</x:v>
      </x:c>
      <x:c r="D50" s="70" t="str">
        <x:v>GCE A Level</x:v>
      </x:c>
      <x:c r="E50" s="70" t="str">
        <x:v>原版保留／未全面重审</x:v>
      </x:c>
      <x:c r="F50" s="70" t="str">
        <x:v>官网AL课程快照；不创建已宣布退场的AS新开课</x:v>
      </x:c>
      <x:c r="G50" s="70" t="str">
        <x:v>按原来源版本；开课前核考季</x:v>
      </x:c>
      <x:c r="H50" s="70" t="str">
        <x:v>原版详例</x:v>
      </x:c>
      <x:c r="I50" s="70" t="str">
        <x:v>校内成绩按学校规则；外考成绩不自动换GPA</x:v>
      </x:c>
      <x:c r="J50" s="70" t="str">
        <x:v>人工选择与审核</x:v>
      </x:c>
      <x:c r="K50" s="70" t="str">
        <x:v>原版代码类型见02/05</x:v>
      </x:c>
      <x:c r="L50" s="70" t="str"/>
      <x:c r="M50" s="70" t="str">
        <x:v>EDU-CS</x:v>
      </x:c>
      <x:c r="N50" s="70" t="str">
        <x:v>https://www.eduqas.co.uk/qualifications/computer-science-asa-level/</x:v>
      </x:c>
    </x:row>
    <x:row r="51" ht="72" customHeight="1">
      <x:c r="A51" s="71" t="str">
        <x:v>C050</x:v>
      </x:c>
      <x:c r="B51" s="70" t="str">
        <x:v>SCHOOL</x:v>
      </x:c>
      <x:c r="C51" s="70" t="str">
        <x:v>校本课程</x:v>
      </x:c>
      <x:c r="D51" s="70" t="str">
        <x:v>校本课程</x:v>
      </x:c>
      <x:c r="E51" s="70" t="str">
        <x:v>原版保留／未全面重审</x:v>
      </x:c>
      <x:c r="F51" s="70" t="str">
        <x:v>校内示例 v1</x:v>
      </x:c>
      <x:c r="G51" s="70" t="str">
        <x:v>按原来源版本；开课前核考季</x:v>
      </x:c>
      <x:c r="H51" s="70" t="str">
        <x:v>原版详例</x:v>
      </x:c>
      <x:c r="I51" s="70" t="str">
        <x:v>校内成绩按学校规则；外考成绩不自动换GPA</x:v>
      </x:c>
      <x:c r="J51" s="70" t="str">
        <x:v>人工选择与审核</x:v>
      </x:c>
      <x:c r="K51" s="70" t="str">
        <x:v>原版代码类型见02/05</x:v>
      </x:c>
      <x:c r="L51" s="70" t="str"/>
      <x:c r="M51" s="70" t="str">
        <x:v>SCHOOL</x:v>
      </x:c>
      <x:c r="N51" s="70" t="str">
        <x:v>校内示例，无外部官方网址</x:v>
      </x:c>
    </x:row>
    <x:row r="52" ht="72" customHeight="1">
      <x:c r="A52" s="71" t="str">
        <x:v>C051</x:v>
      </x:c>
      <x:c r="B52" s="70" t="str">
        <x:v>AQA-UK</x:v>
      </x:c>
      <x:c r="C52" s="70" t="str">
        <x:v>学历学科</x:v>
      </x:c>
      <x:c r="D52" s="70" t="str">
        <x:v>GCE A Level</x:v>
      </x:c>
      <x:c r="E52" s="70" t="str">
        <x:v>原版保留／未全面重审</x:v>
      </x:c>
      <x:c r="F52" s="70" t="str">
        <x:v>官网规范快照</x:v>
      </x:c>
      <x:c r="G52" s="70" t="str">
        <x:v>按原来源版本；开课前核考季</x:v>
      </x:c>
      <x:c r="H52" s="70" t="str">
        <x:v>原版详例</x:v>
      </x:c>
      <x:c r="I52" s="70" t="str">
        <x:v>校内成绩按学校规则；外考成绩不自动换GPA</x:v>
      </x:c>
      <x:c r="J52" s="70" t="str">
        <x:v>人工选择与审核</x:v>
      </x:c>
      <x:c r="K52" s="70" t="str">
        <x:v>原版代码类型见02/05</x:v>
      </x:c>
      <x:c r="L52" s="70" t="str"/>
      <x:c r="M52" s="70" t="str">
        <x:v>AQ-CS</x:v>
      </x:c>
      <x:c r="N52" s="70" t="str">
        <x:v>https://www.aqa.org.uk/subjects/computer-science/a-level/computer-science-7517/specification/specification-at-a-glance</x:v>
      </x:c>
    </x:row>
    <x:row r="53" ht="72" customHeight="1">
      <x:c r="A53" s="71" t="str">
        <x:v>C052</x:v>
      </x:c>
      <x:c r="B53" s="70" t="str">
        <x:v>CAIE-AL</x:v>
      </x:c>
      <x:c r="C53" s="70" t="str">
        <x:v>学历学科</x:v>
      </x:c>
      <x:c r="D53" s="70" t="str">
        <x:v>AS only</x:v>
      </x:c>
      <x:c r="E53" s="70" t="str">
        <x:v>目录层核对</x:v>
      </x:c>
      <x:c r="F53" s="70" t="str">
        <x:v>2026-09-17目录快照；按开课/考试年份复核</x:v>
      </x:c>
      <x:c r="G53" s="70" t="str">
        <x:v>启用前按年份和本校授权复核</x:v>
      </x:c>
      <x:c r="H53" s="70" t="str">
        <x:v>课程目录层</x:v>
      </x:c>
      <x:c r="I53" s="70" t="str">
        <x:v>校内成绩按学校规则；外考成绩不自动换GPA</x:v>
      </x:c>
      <x:c r="J53" s="70" t="str">
        <x:v>人工选择与审核</x:v>
      </x:c>
      <x:c r="K53" s="70" t="str">
        <x:v>官方大纲/课程代码</x:v>
      </x:c>
      <x:c r="L53" s="70" t="str"/>
      <x:c r="M53" s="70" t="str">
        <x:v>V3-CAIE-AL</x:v>
      </x:c>
      <x:c r="N53" s="70" t="str">
        <x:v>https://www.cambridgeinternational.org/programmes-and-qualifications/cambridge-advanced/cambridge-international-as-and-a-levels/subjects/</x:v>
      </x:c>
    </x:row>
    <x:row r="54" ht="72" customHeight="1">
      <x:c r="A54" s="71" t="str">
        <x:v>C053</x:v>
      </x:c>
      <x:c r="B54" s="70" t="str">
        <x:v>CAIE-AL</x:v>
      </x:c>
      <x:c r="C54" s="70" t="str">
        <x:v>学历学科</x:v>
      </x:c>
      <x:c r="D54" s="70" t="str">
        <x:v>AS / A Level</x:v>
      </x:c>
      <x:c r="E54" s="70" t="str">
        <x:v>目录层核对</x:v>
      </x:c>
      <x:c r="F54" s="70" t="str">
        <x:v>2026-09-17目录快照；按开课/考试年份复核</x:v>
      </x:c>
      <x:c r="G54" s="70" t="str">
        <x:v>启用前按年份和本校授权复核</x:v>
      </x:c>
      <x:c r="H54" s="70" t="str">
        <x:v>课程目录层</x:v>
      </x:c>
      <x:c r="I54" s="70" t="str">
        <x:v>校内成绩按学校规则；外考成绩不自动换GPA</x:v>
      </x:c>
      <x:c r="J54" s="70" t="str">
        <x:v>人工选择与审核</x:v>
      </x:c>
      <x:c r="K54" s="70" t="str">
        <x:v>官方大纲/课程代码</x:v>
      </x:c>
      <x:c r="L54" s="70" t="str"/>
      <x:c r="M54" s="70" t="str">
        <x:v>V3-CAIE-AL</x:v>
      </x:c>
      <x:c r="N54" s="70" t="str">
        <x:v>https://www.cambridgeinternational.org/programmes-and-qualifications/cambridge-advanced/cambridge-international-as-and-a-levels/subjects/</x:v>
      </x:c>
    </x:row>
    <x:row r="55" ht="72" customHeight="1">
      <x:c r="A55" s="71" t="str">
        <x:v>C054</x:v>
      </x:c>
      <x:c r="B55" s="70" t="str">
        <x:v>CAIE-AL</x:v>
      </x:c>
      <x:c r="C55" s="70" t="str">
        <x:v>学历学科</x:v>
      </x:c>
      <x:c r="D55" s="70" t="str">
        <x:v>AS only</x:v>
      </x:c>
      <x:c r="E55" s="70" t="str">
        <x:v>目录层核对</x:v>
      </x:c>
      <x:c r="F55" s="70" t="str">
        <x:v>2026-09-17目录快照；按开课/考试年份复核</x:v>
      </x:c>
      <x:c r="G55" s="70" t="str">
        <x:v>启用前按年份和本校授权复核</x:v>
      </x:c>
      <x:c r="H55" s="70" t="str">
        <x:v>课程目录层</x:v>
      </x:c>
      <x:c r="I55" s="70" t="str">
        <x:v>校内成绩按学校规则；外考成绩不自动换GPA</x:v>
      </x:c>
      <x:c r="J55" s="70" t="str">
        <x:v>人工选择与审核</x:v>
      </x:c>
      <x:c r="K55" s="70" t="str">
        <x:v>官方大纲/课程代码</x:v>
      </x:c>
      <x:c r="L55" s="70" t="str"/>
      <x:c r="M55" s="70" t="str">
        <x:v>V3-CAIE-AL</x:v>
      </x:c>
      <x:c r="N55" s="70" t="str">
        <x:v>https://www.cambridgeinternational.org/programmes-and-qualifications/cambridge-advanced/cambridge-international-as-and-a-levels/subjects/</x:v>
      </x:c>
    </x:row>
    <x:row r="56" ht="72" customHeight="1">
      <x:c r="A56" s="71" t="str">
        <x:v>C055</x:v>
      </x:c>
      <x:c r="B56" s="70" t="str">
        <x:v>CAIE-AL</x:v>
      </x:c>
      <x:c r="C56" s="70" t="str">
        <x:v>学历学科</x:v>
      </x:c>
      <x:c r="D56" s="70" t="str">
        <x:v>AS / A Level</x:v>
      </x:c>
      <x:c r="E56" s="70" t="str">
        <x:v>目录层核对</x:v>
      </x:c>
      <x:c r="F56" s="70" t="str">
        <x:v>2026-09-17目录快照；按开课/考试年份复核</x:v>
      </x:c>
      <x:c r="G56" s="70" t="str">
        <x:v>启用前按年份和本校授权复核</x:v>
      </x:c>
      <x:c r="H56" s="70" t="str">
        <x:v>课程目录层</x:v>
      </x:c>
      <x:c r="I56" s="70" t="str">
        <x:v>校内成绩按学校规则；外考成绩不自动换GPA</x:v>
      </x:c>
      <x:c r="J56" s="70" t="str">
        <x:v>人工选择与审核</x:v>
      </x:c>
      <x:c r="K56" s="70" t="str">
        <x:v>官方大纲/课程代码</x:v>
      </x:c>
      <x:c r="L56" s="70" t="str"/>
      <x:c r="M56" s="70" t="str">
        <x:v>V3-CAIE-AL</x:v>
      </x:c>
      <x:c r="N56" s="70" t="str">
        <x:v>https://www.cambridgeinternational.org/programmes-and-qualifications/cambridge-advanced/cambridge-international-as-and-a-levels/subjects/</x:v>
      </x:c>
    </x:row>
    <x:row r="57" ht="72" customHeight="1">
      <x:c r="A57" s="71" t="str">
        <x:v>C056</x:v>
      </x:c>
      <x:c r="B57" s="70" t="str">
        <x:v>CAIE-AL</x:v>
      </x:c>
      <x:c r="C57" s="70" t="str">
        <x:v>学历学科</x:v>
      </x:c>
      <x:c r="D57" s="70" t="str">
        <x:v>AS / A Level</x:v>
      </x:c>
      <x:c r="E57" s="70" t="str">
        <x:v>目录层核对</x:v>
      </x:c>
      <x:c r="F57" s="70" t="str">
        <x:v>2026-09-17目录快照；按开课/考试年份复核</x:v>
      </x:c>
      <x:c r="G57" s="70" t="str">
        <x:v>启用前按年份和本校授权复核</x:v>
      </x:c>
      <x:c r="H57" s="70" t="str">
        <x:v>课程目录层</x:v>
      </x:c>
      <x:c r="I57" s="70" t="str">
        <x:v>校内成绩按学校规则；外考成绩不自动换GPA</x:v>
      </x:c>
      <x:c r="J57" s="70" t="str">
        <x:v>人工选择与审核</x:v>
      </x:c>
      <x:c r="K57" s="70" t="str">
        <x:v>官方大纲/课程代码</x:v>
      </x:c>
      <x:c r="L57" s="70" t="str"/>
      <x:c r="M57" s="70" t="str">
        <x:v>V3-CAIE-AL</x:v>
      </x:c>
      <x:c r="N57" s="70" t="str">
        <x:v>https://www.cambridgeinternational.org/programmes-and-qualifications/cambridge-advanced/cambridge-international-as-and-a-levels/subjects/</x:v>
      </x:c>
    </x:row>
    <x:row r="58" ht="72" customHeight="1">
      <x:c r="A58" s="71" t="str">
        <x:v>C057</x:v>
      </x:c>
      <x:c r="B58" s="70" t="str">
        <x:v>CAIE-AL</x:v>
      </x:c>
      <x:c r="C58" s="70" t="str">
        <x:v>学历学科</x:v>
      </x:c>
      <x:c r="D58" s="70" t="str">
        <x:v>AS / A Level</x:v>
      </x:c>
      <x:c r="E58" s="70" t="str">
        <x:v>目录层核对</x:v>
      </x:c>
      <x:c r="F58" s="70" t="str">
        <x:v>2026-09-17目录快照；按开课/考试年份复核</x:v>
      </x:c>
      <x:c r="G58" s="70" t="str">
        <x:v>启用前按年份和本校授权复核</x:v>
      </x:c>
      <x:c r="H58" s="70" t="str">
        <x:v>课程目录层</x:v>
      </x:c>
      <x:c r="I58" s="70" t="str">
        <x:v>校内成绩按学校规则；外考成绩不自动换GPA</x:v>
      </x:c>
      <x:c r="J58" s="70" t="str">
        <x:v>人工选择与审核</x:v>
      </x:c>
      <x:c r="K58" s="70" t="str">
        <x:v>官方大纲/课程代码</x:v>
      </x:c>
      <x:c r="L58" s="70" t="str"/>
      <x:c r="M58" s="70" t="str">
        <x:v>V3-CAIE-AL</x:v>
      </x:c>
      <x:c r="N58" s="70" t="str">
        <x:v>https://www.cambridgeinternational.org/programmes-and-qualifications/cambridge-advanced/cambridge-international-as-and-a-levels/subjects/</x:v>
      </x:c>
    </x:row>
    <x:row r="59" ht="72" customHeight="1">
      <x:c r="A59" s="71" t="str">
        <x:v>C058</x:v>
      </x:c>
      <x:c r="B59" s="70" t="str">
        <x:v>CAIE-AL</x:v>
      </x:c>
      <x:c r="C59" s="70" t="str">
        <x:v>学历学科</x:v>
      </x:c>
      <x:c r="D59" s="70" t="str">
        <x:v>AS / A Level</x:v>
      </x:c>
      <x:c r="E59" s="70" t="str">
        <x:v>目录层核对</x:v>
      </x:c>
      <x:c r="F59" s="70" t="str">
        <x:v>2026-09-17目录快照；按开课/考试年份复核</x:v>
      </x:c>
      <x:c r="G59" s="70" t="str">
        <x:v>启用前按年份和本校授权复核</x:v>
      </x:c>
      <x:c r="H59" s="70" t="str">
        <x:v>课程目录层</x:v>
      </x:c>
      <x:c r="I59" s="70" t="str">
        <x:v>校内成绩按学校规则；外考成绩不自动换GPA</x:v>
      </x:c>
      <x:c r="J59" s="70" t="str">
        <x:v>人工选择与审核</x:v>
      </x:c>
      <x:c r="K59" s="70" t="str">
        <x:v>官方大纲/课程代码</x:v>
      </x:c>
      <x:c r="L59" s="70" t="str"/>
      <x:c r="M59" s="70" t="str">
        <x:v>V3-CAIE-AL</x:v>
      </x:c>
      <x:c r="N59" s="70" t="str">
        <x:v>https://www.cambridgeinternational.org/programmes-and-qualifications/cambridge-advanced/cambridge-international-as-and-a-levels/subjects/</x:v>
      </x:c>
    </x:row>
    <x:row r="60" ht="72" customHeight="1">
      <x:c r="A60" s="71" t="str">
        <x:v>C059</x:v>
      </x:c>
      <x:c r="B60" s="70" t="str">
        <x:v>CAIE-AL</x:v>
      </x:c>
      <x:c r="C60" s="70" t="str">
        <x:v>学历学科</x:v>
      </x:c>
      <x:c r="D60" s="70" t="str">
        <x:v>AS / A Level</x:v>
      </x:c>
      <x:c r="E60" s="70" t="str">
        <x:v>目录层核对</x:v>
      </x:c>
      <x:c r="F60" s="70" t="str">
        <x:v>2026-09-17目录快照；按开课/考试年份复核</x:v>
      </x:c>
      <x:c r="G60" s="70" t="str">
        <x:v>启用前按年份和本校授权复核</x:v>
      </x:c>
      <x:c r="H60" s="70" t="str">
        <x:v>课程目录层</x:v>
      </x:c>
      <x:c r="I60" s="70" t="str">
        <x:v>校内成绩按学校规则；外考成绩不自动换GPA</x:v>
      </x:c>
      <x:c r="J60" s="70" t="str">
        <x:v>人工选择与审核</x:v>
      </x:c>
      <x:c r="K60" s="70" t="str">
        <x:v>官方大纲/课程代码</x:v>
      </x:c>
      <x:c r="L60" s="70" t="str"/>
      <x:c r="M60" s="70" t="str">
        <x:v>V3-CAIE-AL</x:v>
      </x:c>
      <x:c r="N60" s="70" t="str">
        <x:v>https://www.cambridgeinternational.org/programmes-and-qualifications/cambridge-advanced/cambridge-international-as-and-a-levels/subjects/</x:v>
      </x:c>
    </x:row>
    <x:row r="61" ht="72" customHeight="1">
      <x:c r="A61" s="71" t="str">
        <x:v>C060</x:v>
      </x:c>
      <x:c r="B61" s="70" t="str">
        <x:v>CAIE-AL</x:v>
      </x:c>
      <x:c r="C61" s="70" t="str">
        <x:v>学历学科</x:v>
      </x:c>
      <x:c r="D61" s="70" t="str">
        <x:v>AS only</x:v>
      </x:c>
      <x:c r="E61" s="70" t="str">
        <x:v>目录层核对</x:v>
      </x:c>
      <x:c r="F61" s="70" t="str">
        <x:v>2026-09-17目录快照；按开课/考试年份复核</x:v>
      </x:c>
      <x:c r="G61" s="70" t="str">
        <x:v>启用前按年份和本校授权复核</x:v>
      </x:c>
      <x:c r="H61" s="70" t="str">
        <x:v>课程目录层</x:v>
      </x:c>
      <x:c r="I61" s="70" t="str">
        <x:v>校内成绩按学校规则；外考成绩不自动换GPA</x:v>
      </x:c>
      <x:c r="J61" s="70" t="str">
        <x:v>人工选择与审核</x:v>
      </x:c>
      <x:c r="K61" s="70" t="str">
        <x:v>官方大纲/课程代码</x:v>
      </x:c>
      <x:c r="L61" s="70" t="str"/>
      <x:c r="M61" s="70" t="str">
        <x:v>V3-CAIE-AL</x:v>
      </x:c>
      <x:c r="N61" s="70" t="str">
        <x:v>https://www.cambridgeinternational.org/programmes-and-qualifications/cambridge-advanced/cambridge-international-as-and-a-levels/subjects/</x:v>
      </x:c>
    </x:row>
    <x:row r="62" ht="72" customHeight="1">
      <x:c r="A62" s="71" t="str">
        <x:v>C061</x:v>
      </x:c>
      <x:c r="B62" s="70" t="str">
        <x:v>CAIE-AL</x:v>
      </x:c>
      <x:c r="C62" s="70" t="str">
        <x:v>学历学科</x:v>
      </x:c>
      <x:c r="D62" s="70" t="str">
        <x:v>AS / A Level</x:v>
      </x:c>
      <x:c r="E62" s="70" t="str">
        <x:v>目录层核对</x:v>
      </x:c>
      <x:c r="F62" s="70" t="str">
        <x:v>2026-09-17目录快照；按开课/考试年份复核</x:v>
      </x:c>
      <x:c r="G62" s="70" t="str">
        <x:v>启用前按年份和本校授权复核</x:v>
      </x:c>
      <x:c r="H62" s="70" t="str">
        <x:v>课程目录层</x:v>
      </x:c>
      <x:c r="I62" s="70" t="str">
        <x:v>校内成绩按学校规则；外考成绩不自动换GPA</x:v>
      </x:c>
      <x:c r="J62" s="70" t="str">
        <x:v>人工选择与审核</x:v>
      </x:c>
      <x:c r="K62" s="70" t="str">
        <x:v>官方大纲/课程代码</x:v>
      </x:c>
      <x:c r="L62" s="70" t="str"/>
      <x:c r="M62" s="70" t="str">
        <x:v>V3-CAIE-AL</x:v>
      </x:c>
      <x:c r="N62" s="70" t="str">
        <x:v>https://www.cambridgeinternational.org/programmes-and-qualifications/cambridge-advanced/cambridge-international-as-and-a-levels/subjects/</x:v>
      </x:c>
    </x:row>
    <x:row r="63" ht="72" customHeight="1">
      <x:c r="A63" s="71" t="str">
        <x:v>C062</x:v>
      </x:c>
      <x:c r="B63" s="70" t="str">
        <x:v>CAIE-AL</x:v>
      </x:c>
      <x:c r="C63" s="70" t="str">
        <x:v>学历学科</x:v>
      </x:c>
      <x:c r="D63" s="70" t="str">
        <x:v>AS only</x:v>
      </x:c>
      <x:c r="E63" s="70" t="str">
        <x:v>目录层核对</x:v>
      </x:c>
      <x:c r="F63" s="70" t="str">
        <x:v>2026-09-17目录快照；按开课/考试年份复核</x:v>
      </x:c>
      <x:c r="G63" s="70" t="str">
        <x:v>启用前按年份和本校授权复核</x:v>
      </x:c>
      <x:c r="H63" s="70" t="str">
        <x:v>课程目录层</x:v>
      </x:c>
      <x:c r="I63" s="70" t="str">
        <x:v>校内成绩按学校规则；外考成绩不自动换GPA</x:v>
      </x:c>
      <x:c r="J63" s="70" t="str">
        <x:v>人工选择与审核</x:v>
      </x:c>
      <x:c r="K63" s="70" t="str">
        <x:v>官方大纲/课程代码</x:v>
      </x:c>
      <x:c r="L63" s="70" t="str"/>
      <x:c r="M63" s="70" t="str">
        <x:v>V3-CAIE-AL</x:v>
      </x:c>
      <x:c r="N63" s="70" t="str">
        <x:v>https://www.cambridgeinternational.org/programmes-and-qualifications/cambridge-advanced/cambridge-international-as-and-a-levels/subjects/</x:v>
      </x:c>
    </x:row>
    <x:row r="64" ht="72" customHeight="1">
      <x:c r="A64" s="71" t="str">
        <x:v>C063</x:v>
      </x:c>
      <x:c r="B64" s="70" t="str">
        <x:v>CAIE-AL</x:v>
      </x:c>
      <x:c r="C64" s="70" t="str">
        <x:v>学历学科</x:v>
      </x:c>
      <x:c r="D64" s="70" t="str">
        <x:v>AS / A Level</x:v>
      </x:c>
      <x:c r="E64" s="70" t="str">
        <x:v>目录层核对</x:v>
      </x:c>
      <x:c r="F64" s="70" t="str">
        <x:v>2026-09-17目录快照；按开课/考试年份复核</x:v>
      </x:c>
      <x:c r="G64" s="70" t="str">
        <x:v>启用前按年份和本校授权复核</x:v>
      </x:c>
      <x:c r="H64" s="70" t="str">
        <x:v>课程目录层</x:v>
      </x:c>
      <x:c r="I64" s="70" t="str">
        <x:v>校内成绩按学校规则；外考成绩不自动换GPA</x:v>
      </x:c>
      <x:c r="J64" s="70" t="str">
        <x:v>人工选择与审核</x:v>
      </x:c>
      <x:c r="K64" s="70" t="str">
        <x:v>官方大纲/课程代码</x:v>
      </x:c>
      <x:c r="L64" s="70" t="str"/>
      <x:c r="M64" s="70" t="str">
        <x:v>V3-CAIE-AL</x:v>
      </x:c>
      <x:c r="N64" s="70" t="str">
        <x:v>https://www.cambridgeinternational.org/programmes-and-qualifications/cambridge-advanced/cambridge-international-as-and-a-levels/subjects/</x:v>
      </x:c>
    </x:row>
    <x:row r="65" ht="72" customHeight="1">
      <x:c r="A65" s="71" t="str">
        <x:v>C064</x:v>
      </x:c>
      <x:c r="B65" s="70" t="str">
        <x:v>CAIE-AL</x:v>
      </x:c>
      <x:c r="C65" s="70" t="str">
        <x:v>学历学科</x:v>
      </x:c>
      <x:c r="D65" s="70" t="str">
        <x:v>AS only</x:v>
      </x:c>
      <x:c r="E65" s="70" t="str">
        <x:v>目录层核对</x:v>
      </x:c>
      <x:c r="F65" s="70" t="str">
        <x:v>2026-09-17目录快照；按开课/考试年份复核</x:v>
      </x:c>
      <x:c r="G65" s="70" t="str">
        <x:v>启用前按年份和本校授权复核</x:v>
      </x:c>
      <x:c r="H65" s="70" t="str">
        <x:v>课程目录层</x:v>
      </x:c>
      <x:c r="I65" s="70" t="str">
        <x:v>校内成绩按学校规则；外考成绩不自动换GPA</x:v>
      </x:c>
      <x:c r="J65" s="70" t="str">
        <x:v>人工选择与审核</x:v>
      </x:c>
      <x:c r="K65" s="70" t="str">
        <x:v>官方大纲/课程代码</x:v>
      </x:c>
      <x:c r="L65" s="70" t="str"/>
      <x:c r="M65" s="70" t="str">
        <x:v>V3-CAIE-AL</x:v>
      </x:c>
      <x:c r="N65" s="70" t="str">
        <x:v>https://www.cambridgeinternational.org/programmes-and-qualifications/cambridge-advanced/cambridge-international-as-and-a-levels/subjects/</x:v>
      </x:c>
    </x:row>
    <x:row r="66" ht="72" customHeight="1">
      <x:c r="A66" s="71" t="str">
        <x:v>C065</x:v>
      </x:c>
      <x:c r="B66" s="70" t="str">
        <x:v>CAIE-AL</x:v>
      </x:c>
      <x:c r="C66" s="70" t="str">
        <x:v>学历学科</x:v>
      </x:c>
      <x:c r="D66" s="70" t="str">
        <x:v>A Level only</x:v>
      </x:c>
      <x:c r="E66" s="70" t="str">
        <x:v>目录层核对</x:v>
      </x:c>
      <x:c r="F66" s="70" t="str">
        <x:v>2026-09-17目录快照；按开课/考试年份复核</x:v>
      </x:c>
      <x:c r="G66" s="70" t="str">
        <x:v>启用前按年份和本校授权复核</x:v>
      </x:c>
      <x:c r="H66" s="70" t="str">
        <x:v>课程目录层</x:v>
      </x:c>
      <x:c r="I66" s="70" t="str">
        <x:v>校内成绩按学校规则；外考成绩不自动换GPA</x:v>
      </x:c>
      <x:c r="J66" s="70" t="str">
        <x:v>人工选择与审核</x:v>
      </x:c>
      <x:c r="K66" s="70" t="str">
        <x:v>官方大纲/课程代码</x:v>
      </x:c>
      <x:c r="L66" s="70" t="str"/>
      <x:c r="M66" s="70" t="str">
        <x:v>V3-CAIE-AL</x:v>
      </x:c>
      <x:c r="N66" s="70" t="str">
        <x:v>https://www.cambridgeinternational.org/programmes-and-qualifications/cambridge-advanced/cambridge-international-as-and-a-levels/subjects/</x:v>
      </x:c>
    </x:row>
    <x:row r="67" ht="72" customHeight="1">
      <x:c r="A67" s="71" t="str">
        <x:v>C066</x:v>
      </x:c>
      <x:c r="B67" s="70" t="str">
        <x:v>CAIE-AL</x:v>
      </x:c>
      <x:c r="C67" s="70" t="str">
        <x:v>学历学科</x:v>
      </x:c>
      <x:c r="D67" s="70" t="str">
        <x:v>AS only</x:v>
      </x:c>
      <x:c r="E67" s="70" t="str">
        <x:v>目录层核对</x:v>
      </x:c>
      <x:c r="F67" s="70" t="str">
        <x:v>2026-09-17目录快照；按开课/考试年份复核</x:v>
      </x:c>
      <x:c r="G67" s="70" t="str">
        <x:v>启用前按年份和本校授权复核</x:v>
      </x:c>
      <x:c r="H67" s="70" t="str">
        <x:v>课程目录层</x:v>
      </x:c>
      <x:c r="I67" s="70" t="str">
        <x:v>校内成绩按学校规则；外考成绩不自动换GPA</x:v>
      </x:c>
      <x:c r="J67" s="70" t="str">
        <x:v>人工选择与审核</x:v>
      </x:c>
      <x:c r="K67" s="70" t="str">
        <x:v>官方大纲/课程代码</x:v>
      </x:c>
      <x:c r="L67" s="70" t="str"/>
      <x:c r="M67" s="70" t="str">
        <x:v>V3-CAIE-AL</x:v>
      </x:c>
      <x:c r="N67" s="70" t="str">
        <x:v>https://www.cambridgeinternational.org/programmes-and-qualifications/cambridge-advanced/cambridge-international-as-and-a-levels/subjects/</x:v>
      </x:c>
    </x:row>
    <x:row r="68" ht="72" customHeight="1">
      <x:c r="A68" s="71" t="str">
        <x:v>C067</x:v>
      </x:c>
      <x:c r="B68" s="70" t="str">
        <x:v>CAIE-AL</x:v>
      </x:c>
      <x:c r="C68" s="70" t="str">
        <x:v>学历学科</x:v>
      </x:c>
      <x:c r="D68" s="70" t="str">
        <x:v>AS / A Level</x:v>
      </x:c>
      <x:c r="E68" s="70" t="str">
        <x:v>目录层核对</x:v>
      </x:c>
      <x:c r="F68" s="70" t="str">
        <x:v>2026-09-17目录快照；按开课/考试年份复核</x:v>
      </x:c>
      <x:c r="G68" s="70" t="str">
        <x:v>启用前按年份和本校授权复核</x:v>
      </x:c>
      <x:c r="H68" s="70" t="str">
        <x:v>课程目录层</x:v>
      </x:c>
      <x:c r="I68" s="70" t="str">
        <x:v>校内成绩按学校规则；外考成绩不自动换GPA</x:v>
      </x:c>
      <x:c r="J68" s="70" t="str">
        <x:v>人工选择与审核</x:v>
      </x:c>
      <x:c r="K68" s="70" t="str">
        <x:v>官方大纲/课程代码</x:v>
      </x:c>
      <x:c r="L68" s="70" t="str"/>
      <x:c r="M68" s="70" t="str">
        <x:v>V3-CAIE-AL</x:v>
      </x:c>
      <x:c r="N68" s="70" t="str">
        <x:v>https://www.cambridgeinternational.org/programmes-and-qualifications/cambridge-advanced/cambridge-international-as-and-a-levels/subjects/</x:v>
      </x:c>
    </x:row>
    <x:row r="69" ht="72" customHeight="1">
      <x:c r="A69" s="71" t="str">
        <x:v>C068</x:v>
      </x:c>
      <x:c r="B69" s="70" t="str">
        <x:v>CAIE-AL</x:v>
      </x:c>
      <x:c r="C69" s="70" t="str">
        <x:v>学历学科</x:v>
      </x:c>
      <x:c r="D69" s="70" t="str">
        <x:v>AS only</x:v>
      </x:c>
      <x:c r="E69" s="70" t="str">
        <x:v>目录层核对</x:v>
      </x:c>
      <x:c r="F69" s="70" t="str">
        <x:v>2026-09-17目录快照；按开课/考试年份复核</x:v>
      </x:c>
      <x:c r="G69" s="70" t="str">
        <x:v>启用前按年份和本校授权复核</x:v>
      </x:c>
      <x:c r="H69" s="70" t="str">
        <x:v>课程目录层</x:v>
      </x:c>
      <x:c r="I69" s="70" t="str">
        <x:v>校内成绩按学校规则；外考成绩不自动换GPA</x:v>
      </x:c>
      <x:c r="J69" s="70" t="str">
        <x:v>人工选择与审核</x:v>
      </x:c>
      <x:c r="K69" s="70" t="str">
        <x:v>官方大纲/课程代码</x:v>
      </x:c>
      <x:c r="L69" s="70" t="str"/>
      <x:c r="M69" s="70" t="str">
        <x:v>V3-CAIE-AL</x:v>
      </x:c>
      <x:c r="N69" s="70" t="str">
        <x:v>https://www.cambridgeinternational.org/programmes-and-qualifications/cambridge-advanced/cambridge-international-as-and-a-levels/subjects/</x:v>
      </x:c>
    </x:row>
    <x:row r="70" ht="72" customHeight="1">
      <x:c r="A70" s="71" t="str">
        <x:v>C069</x:v>
      </x:c>
      <x:c r="B70" s="70" t="str">
        <x:v>CAIE-AL</x:v>
      </x:c>
      <x:c r="C70" s="70" t="str">
        <x:v>学历学科</x:v>
      </x:c>
      <x:c r="D70" s="70" t="str">
        <x:v>A Level only</x:v>
      </x:c>
      <x:c r="E70" s="70" t="str">
        <x:v>目录层核对</x:v>
      </x:c>
      <x:c r="F70" s="70" t="str">
        <x:v>2026-09-17目录快照；按开课/考试年份复核</x:v>
      </x:c>
      <x:c r="G70" s="70" t="str">
        <x:v>启用前按年份和本校授权复核</x:v>
      </x:c>
      <x:c r="H70" s="70" t="str">
        <x:v>课程目录层</x:v>
      </x:c>
      <x:c r="I70" s="70" t="str">
        <x:v>校内成绩按学校规则；外考成绩不自动换GPA</x:v>
      </x:c>
      <x:c r="J70" s="70" t="str">
        <x:v>人工选择与审核</x:v>
      </x:c>
      <x:c r="K70" s="70" t="str">
        <x:v>官方大纲/课程代码</x:v>
      </x:c>
      <x:c r="L70" s="70" t="str"/>
      <x:c r="M70" s="70" t="str">
        <x:v>V3-CAIE-AL</x:v>
      </x:c>
      <x:c r="N70" s="70" t="str">
        <x:v>https://www.cambridgeinternational.org/programmes-and-qualifications/cambridge-advanced/cambridge-international-as-and-a-levels/subjects/</x:v>
      </x:c>
    </x:row>
    <x:row r="71" ht="72" customHeight="1">
      <x:c r="A71" s="71" t="str">
        <x:v>C070</x:v>
      </x:c>
      <x:c r="B71" s="70" t="str">
        <x:v>CAIE-AL</x:v>
      </x:c>
      <x:c r="C71" s="70" t="str">
        <x:v>学历学科</x:v>
      </x:c>
      <x:c r="D71" s="70" t="str">
        <x:v>AS / A Level</x:v>
      </x:c>
      <x:c r="E71" s="70" t="str">
        <x:v>目录层核对</x:v>
      </x:c>
      <x:c r="F71" s="70" t="str">
        <x:v>2026-09-17目录快照；按开课/考试年份复核</x:v>
      </x:c>
      <x:c r="G71" s="70" t="str">
        <x:v>启用前按年份和本校授权复核</x:v>
      </x:c>
      <x:c r="H71" s="70" t="str">
        <x:v>课程目录层</x:v>
      </x:c>
      <x:c r="I71" s="70" t="str">
        <x:v>校内成绩按学校规则；外考成绩不自动换GPA</x:v>
      </x:c>
      <x:c r="J71" s="70" t="str">
        <x:v>人工选择与审核</x:v>
      </x:c>
      <x:c r="K71" s="70" t="str">
        <x:v>官方大纲/课程代码</x:v>
      </x:c>
      <x:c r="L71" s="70" t="str"/>
      <x:c r="M71" s="70" t="str">
        <x:v>V3-CAIE-AL</x:v>
      </x:c>
      <x:c r="N71" s="70" t="str">
        <x:v>https://www.cambridgeinternational.org/programmes-and-qualifications/cambridge-advanced/cambridge-international-as-and-a-levels/subjects/</x:v>
      </x:c>
    </x:row>
    <x:row r="72" ht="72" customHeight="1">
      <x:c r="A72" s="71" t="str">
        <x:v>C071</x:v>
      </x:c>
      <x:c r="B72" s="70" t="str">
        <x:v>CAIE-AL</x:v>
      </x:c>
      <x:c r="C72" s="70" t="str">
        <x:v>学历学科</x:v>
      </x:c>
      <x:c r="D72" s="70" t="str">
        <x:v>AS / A Level</x:v>
      </x:c>
      <x:c r="E72" s="70" t="str">
        <x:v>目录层核对</x:v>
      </x:c>
      <x:c r="F72" s="70" t="str">
        <x:v>2026-09-17目录快照；按开课/考试年份复核</x:v>
      </x:c>
      <x:c r="G72" s="70" t="str">
        <x:v>启用前按年份和本校授权复核</x:v>
      </x:c>
      <x:c r="H72" s="70" t="str">
        <x:v>课程目录层</x:v>
      </x:c>
      <x:c r="I72" s="70" t="str">
        <x:v>校内成绩按学校规则；外考成绩不自动换GPA</x:v>
      </x:c>
      <x:c r="J72" s="70" t="str">
        <x:v>人工选择与审核</x:v>
      </x:c>
      <x:c r="K72" s="70" t="str">
        <x:v>官方大纲/课程代码</x:v>
      </x:c>
      <x:c r="L72" s="70" t="str"/>
      <x:c r="M72" s="70" t="str">
        <x:v>V3-CAIE-AL</x:v>
      </x:c>
      <x:c r="N72" s="70" t="str">
        <x:v>https://www.cambridgeinternational.org/programmes-and-qualifications/cambridge-advanced/cambridge-international-as-and-a-levels/subjects/</x:v>
      </x:c>
    </x:row>
    <x:row r="73" ht="72" customHeight="1">
      <x:c r="A73" s="71" t="str">
        <x:v>C072</x:v>
      </x:c>
      <x:c r="B73" s="70" t="str">
        <x:v>CAIE-AL</x:v>
      </x:c>
      <x:c r="C73" s="70" t="str">
        <x:v>学历学科</x:v>
      </x:c>
      <x:c r="D73" s="70" t="str">
        <x:v>AS / A Level</x:v>
      </x:c>
      <x:c r="E73" s="70" t="str">
        <x:v>目录层核对</x:v>
      </x:c>
      <x:c r="F73" s="70" t="str">
        <x:v>2026-09-17目录快照；按开课/考试年份复核</x:v>
      </x:c>
      <x:c r="G73" s="70" t="str">
        <x:v>启用前按年份和本校授权复核</x:v>
      </x:c>
      <x:c r="H73" s="70" t="str">
        <x:v>课程目录层</x:v>
      </x:c>
      <x:c r="I73" s="70" t="str">
        <x:v>校内成绩按学校规则；外考成绩不自动换GPA</x:v>
      </x:c>
      <x:c r="J73" s="70" t="str">
        <x:v>人工选择与审核</x:v>
      </x:c>
      <x:c r="K73" s="70" t="str">
        <x:v>官方大纲/课程代码</x:v>
      </x:c>
      <x:c r="L73" s="70" t="str"/>
      <x:c r="M73" s="70" t="str">
        <x:v>V3-CAIE-AL</x:v>
      </x:c>
      <x:c r="N73" s="70" t="str">
        <x:v>https://www.cambridgeinternational.org/programmes-and-qualifications/cambridge-advanced/cambridge-international-as-and-a-levels/subjects/</x:v>
      </x:c>
    </x:row>
    <x:row r="74" ht="72" customHeight="1">
      <x:c r="A74" s="71" t="str">
        <x:v>C073</x:v>
      </x:c>
      <x:c r="B74" s="70" t="str">
        <x:v>CAIE-AL</x:v>
      </x:c>
      <x:c r="C74" s="70" t="str">
        <x:v>学历学科</x:v>
      </x:c>
      <x:c r="D74" s="70" t="str">
        <x:v>AS / A Level</x:v>
      </x:c>
      <x:c r="E74" s="70" t="str">
        <x:v>目录层核对</x:v>
      </x:c>
      <x:c r="F74" s="70" t="str">
        <x:v>2026-09-17目录快照；按开课/考试年份复核</x:v>
      </x:c>
      <x:c r="G74" s="70" t="str">
        <x:v>启用前按年份和本校授权复核</x:v>
      </x:c>
      <x:c r="H74" s="70" t="str">
        <x:v>课程目录层</x:v>
      </x:c>
      <x:c r="I74" s="70" t="str">
        <x:v>校内成绩按学校规则；外考成绩不自动换GPA</x:v>
      </x:c>
      <x:c r="J74" s="70" t="str">
        <x:v>人工选择与审核</x:v>
      </x:c>
      <x:c r="K74" s="70" t="str">
        <x:v>官方大纲/课程代码</x:v>
      </x:c>
      <x:c r="L74" s="70" t="str"/>
      <x:c r="M74" s="70" t="str">
        <x:v>V3-CAIE-AL</x:v>
      </x:c>
      <x:c r="N74" s="70" t="str">
        <x:v>https://www.cambridgeinternational.org/programmes-and-qualifications/cambridge-advanced/cambridge-international-as-and-a-levels/subjects/</x:v>
      </x:c>
    </x:row>
    <x:row r="75" ht="72" customHeight="1">
      <x:c r="A75" s="71" t="str">
        <x:v>C074</x:v>
      </x:c>
      <x:c r="B75" s="70" t="str">
        <x:v>CAIE-AL</x:v>
      </x:c>
      <x:c r="C75" s="70" t="str">
        <x:v>学历学科</x:v>
      </x:c>
      <x:c r="D75" s="70" t="str">
        <x:v>AS / A Level</x:v>
      </x:c>
      <x:c r="E75" s="70" t="str">
        <x:v>目录层核对</x:v>
      </x:c>
      <x:c r="F75" s="70" t="str">
        <x:v>2026-09-17目录快照；按开课/考试年份复核</x:v>
      </x:c>
      <x:c r="G75" s="70" t="str">
        <x:v>启用前按年份和本校授权复核</x:v>
      </x:c>
      <x:c r="H75" s="70" t="str">
        <x:v>课程目录层</x:v>
      </x:c>
      <x:c r="I75" s="70" t="str">
        <x:v>校内成绩按学校规则；外考成绩不自动换GPA</x:v>
      </x:c>
      <x:c r="J75" s="70" t="str">
        <x:v>人工选择与审核</x:v>
      </x:c>
      <x:c r="K75" s="70" t="str">
        <x:v>官方大纲/课程代码</x:v>
      </x:c>
      <x:c r="L75" s="70" t="str"/>
      <x:c r="M75" s="70" t="str">
        <x:v>V3-CAIE-AL</x:v>
      </x:c>
      <x:c r="N75" s="70" t="str">
        <x:v>https://www.cambridgeinternational.org/programmes-and-qualifications/cambridge-advanced/cambridge-international-as-and-a-levels/subjects/</x:v>
      </x:c>
    </x:row>
    <x:row r="76" ht="72" customHeight="1">
      <x:c r="A76" s="71" t="str">
        <x:v>C075</x:v>
      </x:c>
      <x:c r="B76" s="70" t="str">
        <x:v>CAIE-AL</x:v>
      </x:c>
      <x:c r="C76" s="70" t="str">
        <x:v>学历学科</x:v>
      </x:c>
      <x:c r="D76" s="70" t="str">
        <x:v>AS / A Level</x:v>
      </x:c>
      <x:c r="E76" s="70" t="str">
        <x:v>目录层核对</x:v>
      </x:c>
      <x:c r="F76" s="70" t="str">
        <x:v>2026-09-17目录快照；按开课/考试年份复核</x:v>
      </x:c>
      <x:c r="G76" s="70" t="str">
        <x:v>启用前按年份和本校授权复核</x:v>
      </x:c>
      <x:c r="H76" s="70" t="str">
        <x:v>课程目录层</x:v>
      </x:c>
      <x:c r="I76" s="70" t="str">
        <x:v>校内成绩按学校规则；外考成绩不自动换GPA</x:v>
      </x:c>
      <x:c r="J76" s="70" t="str">
        <x:v>人工选择与审核</x:v>
      </x:c>
      <x:c r="K76" s="70" t="str">
        <x:v>官方大纲/课程代码</x:v>
      </x:c>
      <x:c r="L76" s="70" t="str"/>
      <x:c r="M76" s="70" t="str">
        <x:v>V3-CAIE-AL</x:v>
      </x:c>
      <x:c r="N76" s="70" t="str">
        <x:v>https://www.cambridgeinternational.org/programmes-and-qualifications/cambridge-advanced/cambridge-international-as-and-a-levels/subjects/</x:v>
      </x:c>
    </x:row>
    <x:row r="77" ht="72" customHeight="1">
      <x:c r="A77" s="71" t="str">
        <x:v>C076</x:v>
      </x:c>
      <x:c r="B77" s="70" t="str">
        <x:v>CAIE-AL</x:v>
      </x:c>
      <x:c r="C77" s="70" t="str">
        <x:v>学历学科</x:v>
      </x:c>
      <x:c r="D77" s="70" t="str">
        <x:v>AS / A Level</x:v>
      </x:c>
      <x:c r="E77" s="70" t="str">
        <x:v>目录层核对</x:v>
      </x:c>
      <x:c r="F77" s="70" t="str">
        <x:v>2026-09-17目录快照；按开课/考试年份复核</x:v>
      </x:c>
      <x:c r="G77" s="70" t="str">
        <x:v>启用前按年份和本校授权复核</x:v>
      </x:c>
      <x:c r="H77" s="70" t="str">
        <x:v>课程目录层</x:v>
      </x:c>
      <x:c r="I77" s="70" t="str">
        <x:v>校内成绩按学校规则；外考成绩不自动换GPA</x:v>
      </x:c>
      <x:c r="J77" s="70" t="str">
        <x:v>人工选择与审核</x:v>
      </x:c>
      <x:c r="K77" s="70" t="str">
        <x:v>官方大纲/课程代码</x:v>
      </x:c>
      <x:c r="L77" s="70" t="str"/>
      <x:c r="M77" s="70" t="str">
        <x:v>V3-CAIE-AL</x:v>
      </x:c>
      <x:c r="N77" s="70" t="str">
        <x:v>https://www.cambridgeinternational.org/programmes-and-qualifications/cambridge-advanced/cambridge-international-as-and-a-levels/subjects/</x:v>
      </x:c>
    </x:row>
    <x:row r="78" ht="72" customHeight="1">
      <x:c r="A78" s="71" t="str">
        <x:v>C077</x:v>
      </x:c>
      <x:c r="B78" s="70" t="str">
        <x:v>CAIE-AL</x:v>
      </x:c>
      <x:c r="C78" s="70" t="str">
        <x:v>学历学科</x:v>
      </x:c>
      <x:c r="D78" s="70" t="str">
        <x:v>AS / A Level</x:v>
      </x:c>
      <x:c r="E78" s="70" t="str">
        <x:v>目录层核对</x:v>
      </x:c>
      <x:c r="F78" s="70" t="str">
        <x:v>2026-09-17目录快照；按开课/考试年份复核</x:v>
      </x:c>
      <x:c r="G78" s="70" t="str">
        <x:v>启用前按年份和本校授权复核</x:v>
      </x:c>
      <x:c r="H78" s="70" t="str">
        <x:v>课程目录层</x:v>
      </x:c>
      <x:c r="I78" s="70" t="str">
        <x:v>校内成绩按学校规则；外考成绩不自动换GPA</x:v>
      </x:c>
      <x:c r="J78" s="70" t="str">
        <x:v>人工选择与审核</x:v>
      </x:c>
      <x:c r="K78" s="70" t="str">
        <x:v>官方大纲/课程代码</x:v>
      </x:c>
      <x:c r="L78" s="70" t="str"/>
      <x:c r="M78" s="70" t="str">
        <x:v>V3-CAIE-AL</x:v>
      </x:c>
      <x:c r="N78" s="70" t="str">
        <x:v>https://www.cambridgeinternational.org/programmes-and-qualifications/cambridge-advanced/cambridge-international-as-and-a-levels/subjects/</x:v>
      </x:c>
    </x:row>
    <x:row r="79" ht="72" customHeight="1">
      <x:c r="A79" s="71" t="str">
        <x:v>C078</x:v>
      </x:c>
      <x:c r="B79" s="70" t="str">
        <x:v>CAIE-AL</x:v>
      </x:c>
      <x:c r="C79" s="70" t="str">
        <x:v>学历学科</x:v>
      </x:c>
      <x:c r="D79" s="70" t="str">
        <x:v>AS only</x:v>
      </x:c>
      <x:c r="E79" s="70" t="str">
        <x:v>目录层核对</x:v>
      </x:c>
      <x:c r="F79" s="70" t="str">
        <x:v>2026-09-17目录快照；按开课/考试年份复核</x:v>
      </x:c>
      <x:c r="G79" s="70" t="str">
        <x:v>启用前按年份和本校授权复核</x:v>
      </x:c>
      <x:c r="H79" s="70" t="str">
        <x:v>课程目录层</x:v>
      </x:c>
      <x:c r="I79" s="70" t="str">
        <x:v>校内成绩按学校规则；外考成绩不自动换GPA</x:v>
      </x:c>
      <x:c r="J79" s="70" t="str">
        <x:v>人工选择与审核</x:v>
      </x:c>
      <x:c r="K79" s="70" t="str">
        <x:v>官方大纲/课程代码</x:v>
      </x:c>
      <x:c r="L79" s="70" t="str"/>
      <x:c r="M79" s="70" t="str">
        <x:v>V3-CAIE-AL</x:v>
      </x:c>
      <x:c r="N79" s="70" t="str">
        <x:v>https://www.cambridgeinternational.org/programmes-and-qualifications/cambridge-advanced/cambridge-international-as-and-a-levels/subjects/</x:v>
      </x:c>
    </x:row>
    <x:row r="80" ht="72" customHeight="1">
      <x:c r="A80" s="71" t="str">
        <x:v>C079</x:v>
      </x:c>
      <x:c r="B80" s="70" t="str">
        <x:v>CAIE-AL</x:v>
      </x:c>
      <x:c r="C80" s="70" t="str">
        <x:v>学历学科</x:v>
      </x:c>
      <x:c r="D80" s="70" t="str">
        <x:v>A Level only</x:v>
      </x:c>
      <x:c r="E80" s="70" t="str">
        <x:v>目录层核对</x:v>
      </x:c>
      <x:c r="F80" s="70" t="str">
        <x:v>2026-09-17目录快照；按开课/考试年份复核</x:v>
      </x:c>
      <x:c r="G80" s="70" t="str">
        <x:v>启用前按年份和本校授权复核</x:v>
      </x:c>
      <x:c r="H80" s="70" t="str">
        <x:v>课程目录层</x:v>
      </x:c>
      <x:c r="I80" s="70" t="str">
        <x:v>校内成绩按学校规则；外考成绩不自动换GPA</x:v>
      </x:c>
      <x:c r="J80" s="70" t="str">
        <x:v>人工选择与审核</x:v>
      </x:c>
      <x:c r="K80" s="70" t="str">
        <x:v>官方大纲/课程代码</x:v>
      </x:c>
      <x:c r="L80" s="70" t="str"/>
      <x:c r="M80" s="70" t="str">
        <x:v>V3-CAIE-AL</x:v>
      </x:c>
      <x:c r="N80" s="70" t="str">
        <x:v>https://www.cambridgeinternational.org/programmes-and-qualifications/cambridge-advanced/cambridge-international-as-and-a-levels/subjects/</x:v>
      </x:c>
    </x:row>
    <x:row r="81" ht="72" customHeight="1">
      <x:c r="A81" s="71" t="str">
        <x:v>C080</x:v>
      </x:c>
      <x:c r="B81" s="70" t="str">
        <x:v>CAIE-AL</x:v>
      </x:c>
      <x:c r="C81" s="70" t="str">
        <x:v>学历学科</x:v>
      </x:c>
      <x:c r="D81" s="70" t="str">
        <x:v>AS / A Level</x:v>
      </x:c>
      <x:c r="E81" s="70" t="str">
        <x:v>目录层核对</x:v>
      </x:c>
      <x:c r="F81" s="70" t="str">
        <x:v>2026-09-17目录快照；按开课/考试年份复核</x:v>
      </x:c>
      <x:c r="G81" s="70" t="str">
        <x:v>启用前按年份和本校授权复核</x:v>
      </x:c>
      <x:c r="H81" s="70" t="str">
        <x:v>课程目录层</x:v>
      </x:c>
      <x:c r="I81" s="70" t="str">
        <x:v>校内成绩按学校规则；外考成绩不自动换GPA</x:v>
      </x:c>
      <x:c r="J81" s="70" t="str">
        <x:v>人工选择与审核</x:v>
      </x:c>
      <x:c r="K81" s="70" t="str">
        <x:v>官方大纲/课程代码</x:v>
      </x:c>
      <x:c r="L81" s="70" t="str"/>
      <x:c r="M81" s="70" t="str">
        <x:v>V3-CAIE-AL</x:v>
      </x:c>
      <x:c r="N81" s="70" t="str">
        <x:v>https://www.cambridgeinternational.org/programmes-and-qualifications/cambridge-advanced/cambridge-international-as-and-a-levels/subjects/</x:v>
      </x:c>
    </x:row>
    <x:row r="82" ht="72" customHeight="1">
      <x:c r="A82" s="71" t="str">
        <x:v>C081</x:v>
      </x:c>
      <x:c r="B82" s="70" t="str">
        <x:v>CAIE-AL</x:v>
      </x:c>
      <x:c r="C82" s="70" t="str">
        <x:v>学历学科</x:v>
      </x:c>
      <x:c r="D82" s="70" t="str">
        <x:v>AS / A Level</x:v>
      </x:c>
      <x:c r="E82" s="70" t="str">
        <x:v>目录层核对</x:v>
      </x:c>
      <x:c r="F82" s="70" t="str">
        <x:v>2026-09-17目录快照；按开课/考试年份复核</x:v>
      </x:c>
      <x:c r="G82" s="70" t="str">
        <x:v>启用前按年份和本校授权复核</x:v>
      </x:c>
      <x:c r="H82" s="70" t="str">
        <x:v>课程目录层</x:v>
      </x:c>
      <x:c r="I82" s="70" t="str">
        <x:v>校内成绩按学校规则；外考成绩不自动换GPA</x:v>
      </x:c>
      <x:c r="J82" s="70" t="str">
        <x:v>人工选择与审核</x:v>
      </x:c>
      <x:c r="K82" s="70" t="str">
        <x:v>官方大纲/课程代码</x:v>
      </x:c>
      <x:c r="L82" s="70" t="str"/>
      <x:c r="M82" s="70" t="str">
        <x:v>V3-CAIE-AL</x:v>
      </x:c>
      <x:c r="N82" s="70" t="str">
        <x:v>https://www.cambridgeinternational.org/programmes-and-qualifications/cambridge-advanced/cambridge-international-as-and-a-levels/subjects/</x:v>
      </x:c>
    </x:row>
    <x:row r="83" ht="72" customHeight="1">
      <x:c r="A83" s="71" t="str">
        <x:v>C082</x:v>
      </x:c>
      <x:c r="B83" s="70" t="str">
        <x:v>CAIE-AL</x:v>
      </x:c>
      <x:c r="C83" s="70" t="str">
        <x:v>学历学科</x:v>
      </x:c>
      <x:c r="D83" s="70" t="str">
        <x:v>A Level only</x:v>
      </x:c>
      <x:c r="E83" s="70" t="str">
        <x:v>目录层核对</x:v>
      </x:c>
      <x:c r="F83" s="70" t="str">
        <x:v>2026-09-17目录快照；按开课/考试年份复核</x:v>
      </x:c>
      <x:c r="G83" s="70" t="str">
        <x:v>启用前按年份和本校授权复核</x:v>
      </x:c>
      <x:c r="H83" s="70" t="str">
        <x:v>课程目录层</x:v>
      </x:c>
      <x:c r="I83" s="70" t="str">
        <x:v>校内成绩按学校规则；外考成绩不自动换GPA</x:v>
      </x:c>
      <x:c r="J83" s="70" t="str">
        <x:v>人工选择与审核</x:v>
      </x:c>
      <x:c r="K83" s="70" t="str">
        <x:v>官方大纲/课程代码</x:v>
      </x:c>
      <x:c r="L83" s="70" t="str"/>
      <x:c r="M83" s="70" t="str">
        <x:v>V3-CAIE-AL</x:v>
      </x:c>
      <x:c r="N83" s="70" t="str">
        <x:v>https://www.cambridgeinternational.org/programmes-and-qualifications/cambridge-advanced/cambridge-international-as-and-a-levels/subjects/</x:v>
      </x:c>
    </x:row>
    <x:row r="84" ht="72" customHeight="1">
      <x:c r="A84" s="71" t="str">
        <x:v>C083</x:v>
      </x:c>
      <x:c r="B84" s="70" t="str">
        <x:v>CAIE-AL</x:v>
      </x:c>
      <x:c r="C84" s="70" t="str">
        <x:v>学历学科</x:v>
      </x:c>
      <x:c r="D84" s="70" t="str">
        <x:v>AS only</x:v>
      </x:c>
      <x:c r="E84" s="70" t="str">
        <x:v>目录层核对</x:v>
      </x:c>
      <x:c r="F84" s="70" t="str">
        <x:v>2026-09-17目录快照；按开课/考试年份复核</x:v>
      </x:c>
      <x:c r="G84" s="70" t="str">
        <x:v>启用前按年份和本校授权复核</x:v>
      </x:c>
      <x:c r="H84" s="70" t="str">
        <x:v>课程目录层</x:v>
      </x:c>
      <x:c r="I84" s="70" t="str">
        <x:v>校内成绩按学校规则；外考成绩不自动换GPA</x:v>
      </x:c>
      <x:c r="J84" s="70" t="str">
        <x:v>人工选择与审核</x:v>
      </x:c>
      <x:c r="K84" s="70" t="str">
        <x:v>官方大纲/课程代码</x:v>
      </x:c>
      <x:c r="L84" s="70" t="str"/>
      <x:c r="M84" s="70" t="str">
        <x:v>V3-CAIE-AL</x:v>
      </x:c>
      <x:c r="N84" s="70" t="str">
        <x:v>https://www.cambridgeinternational.org/programmes-and-qualifications/cambridge-advanced/cambridge-international-as-and-a-levels/subjects/</x:v>
      </x:c>
    </x:row>
    <x:row r="85" ht="72" customHeight="1">
      <x:c r="A85" s="71" t="str">
        <x:v>C084</x:v>
      </x:c>
      <x:c r="B85" s="70" t="str">
        <x:v>CAIE-AL</x:v>
      </x:c>
      <x:c r="C85" s="70" t="str">
        <x:v>学历学科</x:v>
      </x:c>
      <x:c r="D85" s="70" t="str">
        <x:v>AS / A Level</x:v>
      </x:c>
      <x:c r="E85" s="70" t="str">
        <x:v>目录层核对</x:v>
      </x:c>
      <x:c r="F85" s="70" t="str">
        <x:v>2026-09-17目录快照；按开课/考试年份复核</x:v>
      </x:c>
      <x:c r="G85" s="70" t="str">
        <x:v>启用前按年份和本校授权复核</x:v>
      </x:c>
      <x:c r="H85" s="70" t="str">
        <x:v>课程目录层</x:v>
      </x:c>
      <x:c r="I85" s="70" t="str">
        <x:v>校内成绩按学校规则；外考成绩不自动换GPA</x:v>
      </x:c>
      <x:c r="J85" s="70" t="str">
        <x:v>人工选择与审核</x:v>
      </x:c>
      <x:c r="K85" s="70" t="str">
        <x:v>官方大纲/课程代码</x:v>
      </x:c>
      <x:c r="L85" s="70" t="str"/>
      <x:c r="M85" s="70" t="str">
        <x:v>V3-CAIE-AL</x:v>
      </x:c>
      <x:c r="N85" s="70" t="str">
        <x:v>https://www.cambridgeinternational.org/programmes-and-qualifications/cambridge-advanced/cambridge-international-as-and-a-levels/subjects/</x:v>
      </x:c>
    </x:row>
    <x:row r="86" ht="72" customHeight="1">
      <x:c r="A86" s="71" t="str">
        <x:v>C085</x:v>
      </x:c>
      <x:c r="B86" s="70" t="str">
        <x:v>CAIE-AL</x:v>
      </x:c>
      <x:c r="C86" s="70" t="str">
        <x:v>学历学科</x:v>
      </x:c>
      <x:c r="D86" s="70" t="str">
        <x:v>AS / A Level</x:v>
      </x:c>
      <x:c r="E86" s="70" t="str">
        <x:v>目录层核对</x:v>
      </x:c>
      <x:c r="F86" s="70" t="str">
        <x:v>2026-09-17目录快照；按开课/考试年份复核</x:v>
      </x:c>
      <x:c r="G86" s="70" t="str">
        <x:v>启用前按年份和本校授权复核</x:v>
      </x:c>
      <x:c r="H86" s="70" t="str">
        <x:v>课程目录层</x:v>
      </x:c>
      <x:c r="I86" s="70" t="str">
        <x:v>校内成绩按学校规则；外考成绩不自动换GPA</x:v>
      </x:c>
      <x:c r="J86" s="70" t="str">
        <x:v>人工选择与审核</x:v>
      </x:c>
      <x:c r="K86" s="70" t="str">
        <x:v>官方大纲/课程代码</x:v>
      </x:c>
      <x:c r="L86" s="70" t="str"/>
      <x:c r="M86" s="70" t="str">
        <x:v>V3-CAIE-AL</x:v>
      </x:c>
      <x:c r="N86" s="70" t="str">
        <x:v>https://www.cambridgeinternational.org/programmes-and-qualifications/cambridge-advanced/cambridge-international-as-and-a-levels/subjects/</x:v>
      </x:c>
    </x:row>
    <x:row r="87" ht="72" customHeight="1">
      <x:c r="A87" s="71" t="str">
        <x:v>C086</x:v>
      </x:c>
      <x:c r="B87" s="70" t="str">
        <x:v>CAIE-AL</x:v>
      </x:c>
      <x:c r="C87" s="70" t="str">
        <x:v>学历学科</x:v>
      </x:c>
      <x:c r="D87" s="70" t="str">
        <x:v>AS only</x:v>
      </x:c>
      <x:c r="E87" s="70" t="str">
        <x:v>目录层核对</x:v>
      </x:c>
      <x:c r="F87" s="70" t="str">
        <x:v>2026-09-17目录快照；按开课/考试年份复核</x:v>
      </x:c>
      <x:c r="G87" s="70" t="str">
        <x:v>启用前按年份和本校授权复核</x:v>
      </x:c>
      <x:c r="H87" s="70" t="str">
        <x:v>课程目录层</x:v>
      </x:c>
      <x:c r="I87" s="70" t="str">
        <x:v>校内成绩按学校规则；外考成绩不自动换GPA</x:v>
      </x:c>
      <x:c r="J87" s="70" t="str">
        <x:v>人工选择与审核</x:v>
      </x:c>
      <x:c r="K87" s="70" t="str">
        <x:v>官方大纲/课程代码</x:v>
      </x:c>
      <x:c r="L87" s="70" t="str"/>
      <x:c r="M87" s="70" t="str">
        <x:v>V3-CAIE-AL</x:v>
      </x:c>
      <x:c r="N87" s="70" t="str">
        <x:v>https://www.cambridgeinternational.org/programmes-and-qualifications/cambridge-advanced/cambridge-international-as-and-a-levels/subjects/</x:v>
      </x:c>
    </x:row>
    <x:row r="88" ht="72" customHeight="1">
      <x:c r="A88" s="71" t="str">
        <x:v>C087</x:v>
      </x:c>
      <x:c r="B88" s="70" t="str">
        <x:v>CAIE-AL</x:v>
      </x:c>
      <x:c r="C88" s="70" t="str">
        <x:v>学历学科</x:v>
      </x:c>
      <x:c r="D88" s="70" t="str">
        <x:v>A Level only</x:v>
      </x:c>
      <x:c r="E88" s="70" t="str">
        <x:v>目录层核对</x:v>
      </x:c>
      <x:c r="F88" s="70" t="str">
        <x:v>2026-09-17目录快照；按开课/考试年份复核</x:v>
      </x:c>
      <x:c r="G88" s="70" t="str">
        <x:v>启用前按年份和本校授权复核</x:v>
      </x:c>
      <x:c r="H88" s="70" t="str">
        <x:v>课程目录层</x:v>
      </x:c>
      <x:c r="I88" s="70" t="str">
        <x:v>校内成绩按学校规则；外考成绩不自动换GPA</x:v>
      </x:c>
      <x:c r="J88" s="70" t="str">
        <x:v>人工选择与审核</x:v>
      </x:c>
      <x:c r="K88" s="70" t="str">
        <x:v>官方大纲/课程代码</x:v>
      </x:c>
      <x:c r="L88" s="70" t="str"/>
      <x:c r="M88" s="70" t="str">
        <x:v>V3-CAIE-AL</x:v>
      </x:c>
      <x:c r="N88" s="70" t="str">
        <x:v>https://www.cambridgeinternational.org/programmes-and-qualifications/cambridge-advanced/cambridge-international-as-and-a-levels/subjects/</x:v>
      </x:c>
    </x:row>
    <x:row r="89" ht="72" customHeight="1">
      <x:c r="A89" s="71" t="str">
        <x:v>C088</x:v>
      </x:c>
      <x:c r="B89" s="70" t="str">
        <x:v>OXFORD-AL</x:v>
      </x:c>
      <x:c r="C89" s="70" t="str">
        <x:v>学历学科</x:v>
      </x:c>
      <x:c r="D89" s="70" t="str">
        <x:v>AS / A Level</x:v>
      </x:c>
      <x:c r="E89" s="70" t="str">
        <x:v>目录列示／转版待核</x:v>
      </x:c>
      <x:c r="F89" s="70" t="str">
        <x:v>2026-09-17目录快照；按开课/考试年份复核</x:v>
      </x:c>
      <x:c r="G89" s="70" t="str">
        <x:v>启用前按年份和本校授权复核</x:v>
      </x:c>
      <x:c r="H89" s="70" t="str">
        <x:v>课程目录层</x:v>
      </x:c>
      <x:c r="I89" s="70" t="str">
        <x:v>校内成绩按学校规则；外考成绩不自动换GPA</x:v>
      </x:c>
      <x:c r="J89" s="70" t="str">
        <x:v>人工选择与审核</x:v>
      </x:c>
      <x:c r="K89" s="70" t="str">
        <x:v>官方大纲/课程代码</x:v>
      </x:c>
      <x:c r="L89" s="70" t="str"/>
      <x:c r="M89" s="70" t="str">
        <x:v>V3-OXFORD</x:v>
      </x:c>
      <x:c r="N89" s="70" t="str">
        <x:v>https://www.oxfordaqa.com/</x:v>
      </x:c>
    </x:row>
    <x:row r="90" ht="72" customHeight="1">
      <x:c r="A90" s="71" t="str">
        <x:v>C089</x:v>
      </x:c>
      <x:c r="B90" s="70" t="str">
        <x:v>OXFORD-AL</x:v>
      </x:c>
      <x:c r="C90" s="70" t="str">
        <x:v>学历学科</x:v>
      </x:c>
      <x:c r="D90" s="70" t="str">
        <x:v>AS / A Level</x:v>
      </x:c>
      <x:c r="E90" s="70" t="str">
        <x:v>目录列示／转版待核</x:v>
      </x:c>
      <x:c r="F90" s="70" t="str">
        <x:v>2026-09-17目录快照；按开课/考试年份复核</x:v>
      </x:c>
      <x:c r="G90" s="70" t="str">
        <x:v>启用前按年份和本校授权复核</x:v>
      </x:c>
      <x:c r="H90" s="70" t="str">
        <x:v>课程目录层</x:v>
      </x:c>
      <x:c r="I90" s="70" t="str">
        <x:v>校内成绩按学校规则；外考成绩不自动换GPA</x:v>
      </x:c>
      <x:c r="J90" s="70" t="str">
        <x:v>人工选择与审核</x:v>
      </x:c>
      <x:c r="K90" s="70" t="str">
        <x:v>官方大纲/课程代码</x:v>
      </x:c>
      <x:c r="L90" s="70" t="str"/>
      <x:c r="M90" s="70" t="str">
        <x:v>V3-OXFORD</x:v>
      </x:c>
      <x:c r="N90" s="70" t="str">
        <x:v>https://www.oxfordaqa.com/</x:v>
      </x:c>
    </x:row>
    <x:row r="91" ht="72" customHeight="1">
      <x:c r="A91" s="71" t="str">
        <x:v>C090</x:v>
      </x:c>
      <x:c r="B91" s="70" t="str">
        <x:v>OXFORD-AL</x:v>
      </x:c>
      <x:c r="C91" s="70" t="str">
        <x:v>学历学科</x:v>
      </x:c>
      <x:c r="D91" s="70" t="str">
        <x:v>AS / A Level</x:v>
      </x:c>
      <x:c r="E91" s="70" t="str">
        <x:v>目录列示／转版待核</x:v>
      </x:c>
      <x:c r="F91" s="70" t="str">
        <x:v>2026-09-17目录快照；按开课/考试年份复核</x:v>
      </x:c>
      <x:c r="G91" s="70" t="str">
        <x:v>启用前按年份和本校授权复核</x:v>
      </x:c>
      <x:c r="H91" s="70" t="str">
        <x:v>课程目录层</x:v>
      </x:c>
      <x:c r="I91" s="70" t="str">
        <x:v>校内成绩按学校规则；外考成绩不自动换GPA</x:v>
      </x:c>
      <x:c r="J91" s="70" t="str">
        <x:v>人工选择与审核</x:v>
      </x:c>
      <x:c r="K91" s="70" t="str">
        <x:v>官方大纲/课程代码</x:v>
      </x:c>
      <x:c r="L91" s="70" t="str"/>
      <x:c r="M91" s="70" t="str">
        <x:v>V3-OXFORD</x:v>
      </x:c>
      <x:c r="N91" s="70" t="str">
        <x:v>https://www.oxfordaqa.com/</x:v>
      </x:c>
    </x:row>
    <x:row r="92" ht="72" customHeight="1">
      <x:c r="A92" s="71" t="str">
        <x:v>C091</x:v>
      </x:c>
      <x:c r="B92" s="70" t="str">
        <x:v>OXFORD-AL</x:v>
      </x:c>
      <x:c r="C92" s="70" t="str">
        <x:v>学历学科</x:v>
      </x:c>
      <x:c r="D92" s="70" t="str">
        <x:v>AS / A Level</x:v>
      </x:c>
      <x:c r="E92" s="70" t="str">
        <x:v>目录列示／转版待核</x:v>
      </x:c>
      <x:c r="F92" s="70" t="str">
        <x:v>2026-09-17目录快照；按开课/考试年份复核</x:v>
      </x:c>
      <x:c r="G92" s="70" t="str">
        <x:v>启用前按年份和本校授权复核</x:v>
      </x:c>
      <x:c r="H92" s="70" t="str">
        <x:v>课程目录层</x:v>
      </x:c>
      <x:c r="I92" s="70" t="str">
        <x:v>校内成绩按学校规则；外考成绩不自动换GPA</x:v>
      </x:c>
      <x:c r="J92" s="70" t="str">
        <x:v>人工选择与审核</x:v>
      </x:c>
      <x:c r="K92" s="70" t="str">
        <x:v>官方大纲/课程代码</x:v>
      </x:c>
      <x:c r="L92" s="70" t="str"/>
      <x:c r="M92" s="70" t="str">
        <x:v>V3-OXFORD</x:v>
      </x:c>
      <x:c r="N92" s="70" t="str">
        <x:v>https://www.oxfordaqa.com/</x:v>
      </x:c>
    </x:row>
    <x:row r="93" ht="72" customHeight="1">
      <x:c r="A93" s="71" t="str">
        <x:v>C092</x:v>
      </x:c>
      <x:c r="B93" s="70" t="str">
        <x:v>OXFORD-AL</x:v>
      </x:c>
      <x:c r="C93" s="70" t="str">
        <x:v>学历学科</x:v>
      </x:c>
      <x:c r="D93" s="70" t="str">
        <x:v>AS / A Level</x:v>
      </x:c>
      <x:c r="E93" s="70" t="str">
        <x:v>目录列示／转版待核</x:v>
      </x:c>
      <x:c r="F93" s="70" t="str">
        <x:v>2026-09-17目录快照；按开课/考试年份复核</x:v>
      </x:c>
      <x:c r="G93" s="70" t="str">
        <x:v>启用前按年份和本校授权复核</x:v>
      </x:c>
      <x:c r="H93" s="70" t="str">
        <x:v>课程目录层</x:v>
      </x:c>
      <x:c r="I93" s="70" t="str">
        <x:v>校内成绩按学校规则；外考成绩不自动换GPA</x:v>
      </x:c>
      <x:c r="J93" s="70" t="str">
        <x:v>人工选择与审核</x:v>
      </x:c>
      <x:c r="K93" s="70" t="str">
        <x:v>官方大纲/课程代码</x:v>
      </x:c>
      <x:c r="L93" s="70" t="str"/>
      <x:c r="M93" s="70" t="str">
        <x:v>V3-OXFORD</x:v>
      </x:c>
      <x:c r="N93" s="70" t="str">
        <x:v>https://www.oxfordaqa.com/</x:v>
      </x:c>
    </x:row>
    <x:row r="94" ht="72" customHeight="1">
      <x:c r="A94" s="71" t="str">
        <x:v>C093</x:v>
      </x:c>
      <x:c r="B94" s="70" t="str">
        <x:v>OXFORD-AL</x:v>
      </x:c>
      <x:c r="C94" s="70" t="str">
        <x:v>学历学科</x:v>
      </x:c>
      <x:c r="D94" s="70" t="str">
        <x:v>AS / A Level</x:v>
      </x:c>
      <x:c r="E94" s="70" t="str">
        <x:v>目录列示／转版待核</x:v>
      </x:c>
      <x:c r="F94" s="70" t="str">
        <x:v>2026-09-17目录快照；按开课/考试年份复核</x:v>
      </x:c>
      <x:c r="G94" s="70" t="str">
        <x:v>启用前按年份和本校授权复核</x:v>
      </x:c>
      <x:c r="H94" s="70" t="str">
        <x:v>课程目录层</x:v>
      </x:c>
      <x:c r="I94" s="70" t="str">
        <x:v>校内成绩按学校规则；外考成绩不自动换GPA</x:v>
      </x:c>
      <x:c r="J94" s="70" t="str">
        <x:v>人工选择与审核</x:v>
      </x:c>
      <x:c r="K94" s="70" t="str">
        <x:v>官方大纲/课程代码</x:v>
      </x:c>
      <x:c r="L94" s="70" t="str"/>
      <x:c r="M94" s="70" t="str">
        <x:v>V3-OXFORD</x:v>
      </x:c>
      <x:c r="N94" s="70" t="str">
        <x:v>https://www.oxfordaqa.com/</x:v>
      </x:c>
    </x:row>
    <x:row r="95" ht="72" customHeight="1">
      <x:c r="A95" s="71" t="str">
        <x:v>C094</x:v>
      </x:c>
      <x:c r="B95" s="70" t="str">
        <x:v>OXFORD-AL</x:v>
      </x:c>
      <x:c r="C95" s="70" t="str">
        <x:v>学历学科</x:v>
      </x:c>
      <x:c r="D95" s="70" t="str">
        <x:v>AS / A Level</x:v>
      </x:c>
      <x:c r="E95" s="70" t="str">
        <x:v>目录列示／转版待核</x:v>
      </x:c>
      <x:c r="F95" s="70" t="str">
        <x:v>2026-09-17目录快照；按开课/考试年份复核</x:v>
      </x:c>
      <x:c r="G95" s="70" t="str">
        <x:v>启用前按年份和本校授权复核</x:v>
      </x:c>
      <x:c r="H95" s="70" t="str">
        <x:v>课程目录层</x:v>
      </x:c>
      <x:c r="I95" s="70" t="str">
        <x:v>校内成绩按学校规则；外考成绩不自动换GPA</x:v>
      </x:c>
      <x:c r="J95" s="70" t="str">
        <x:v>人工选择与审核</x:v>
      </x:c>
      <x:c r="K95" s="70" t="str">
        <x:v>官方大纲/课程代码</x:v>
      </x:c>
      <x:c r="L95" s="70" t="str"/>
      <x:c r="M95" s="70" t="str">
        <x:v>V3-OXFORD</x:v>
      </x:c>
      <x:c r="N95" s="70" t="str">
        <x:v>https://www.oxfordaqa.com/</x:v>
      </x:c>
    </x:row>
    <x:row r="96" ht="72" customHeight="1">
      <x:c r="A96" s="71" t="str">
        <x:v>C095</x:v>
      </x:c>
      <x:c r="B96" s="70" t="str">
        <x:v>OXFORD-AL</x:v>
      </x:c>
      <x:c r="C96" s="70" t="str">
        <x:v>学历学科</x:v>
      </x:c>
      <x:c r="D96" s="70" t="str">
        <x:v>AS / A Level</x:v>
      </x:c>
      <x:c r="E96" s="70" t="str">
        <x:v>目录列示／转版待核</x:v>
      </x:c>
      <x:c r="F96" s="70" t="str">
        <x:v>2026-09-17目录快照；按开课/考试年份复核</x:v>
      </x:c>
      <x:c r="G96" s="70" t="str">
        <x:v>启用前按年份和本校授权复核</x:v>
      </x:c>
      <x:c r="H96" s="70" t="str">
        <x:v>课程目录层</x:v>
      </x:c>
      <x:c r="I96" s="70" t="str">
        <x:v>校内成绩按学校规则；外考成绩不自动换GPA</x:v>
      </x:c>
      <x:c r="J96" s="70" t="str">
        <x:v>人工选择与审核</x:v>
      </x:c>
      <x:c r="K96" s="70" t="str">
        <x:v>官方大纲/课程代码</x:v>
      </x:c>
      <x:c r="L96" s="70" t="str"/>
      <x:c r="M96" s="70" t="str">
        <x:v>V3-OXFORD</x:v>
      </x:c>
      <x:c r="N96" s="70" t="str">
        <x:v>https://www.oxfordaqa.com/</x:v>
      </x:c>
    </x:row>
    <x:row r="97" ht="72" customHeight="1">
      <x:c r="A97" s="71" t="str">
        <x:v>C096</x:v>
      </x:c>
      <x:c r="B97" s="70" t="str">
        <x:v>OXFORD-AL</x:v>
      </x:c>
      <x:c r="C97" s="70" t="str">
        <x:v>学历学科</x:v>
      </x:c>
      <x:c r="D97" s="70" t="str">
        <x:v>AS / A Level</x:v>
      </x:c>
      <x:c r="E97" s="70" t="str">
        <x:v>目录列示／转版待核</x:v>
      </x:c>
      <x:c r="F97" s="70" t="str">
        <x:v>2026-09-17目录快照；按开课/考试年份复核</x:v>
      </x:c>
      <x:c r="G97" s="70" t="str">
        <x:v>启用前按年份和本校授权复核</x:v>
      </x:c>
      <x:c r="H97" s="70" t="str">
        <x:v>课程目录层</x:v>
      </x:c>
      <x:c r="I97" s="70" t="str">
        <x:v>校内成绩按学校规则；外考成绩不自动换GPA</x:v>
      </x:c>
      <x:c r="J97" s="70" t="str">
        <x:v>人工选择与审核</x:v>
      </x:c>
      <x:c r="K97" s="70" t="str">
        <x:v>官方大纲/课程代码</x:v>
      </x:c>
      <x:c r="L97" s="70" t="str"/>
      <x:c r="M97" s="70" t="str">
        <x:v>V3-OXFORD</x:v>
      </x:c>
      <x:c r="N97" s="70" t="str">
        <x:v>https://www.oxfordaqa.com/</x:v>
      </x:c>
    </x:row>
    <x:row r="98" ht="72" customHeight="1">
      <x:c r="A98" s="71" t="str">
        <x:v>C097</x:v>
      </x:c>
      <x:c r="B98" s="70" t="str">
        <x:v>CAIE-IGCSE</x:v>
      </x:c>
      <x:c r="C98" s="70" t="str">
        <x:v>学历学科</x:v>
      </x:c>
      <x:c r="D98" s="70" t="str">
        <x:v>IGCSE</x:v>
      </x:c>
      <x:c r="E98" s="70" t="str">
        <x:v>目录层核对</x:v>
      </x:c>
      <x:c r="F98" s="70" t="str">
        <x:v>2026-09-17目录快照；按开课/考试年份复核</x:v>
      </x:c>
      <x:c r="G98" s="70" t="str">
        <x:v>启用前按年份和本校授权复核</x:v>
      </x:c>
      <x:c r="H98" s="70" t="str">
        <x:v>课程目录层</x:v>
      </x:c>
      <x:c r="I98" s="70" t="str">
        <x:v>校内成绩按学校规则；外考成绩不自动换GPA</x:v>
      </x:c>
      <x:c r="J98" s="70" t="str">
        <x:v>人工选择与审核</x:v>
      </x:c>
      <x:c r="K98" s="70" t="str">
        <x:v>官方大纲/课程代码</x:v>
      </x:c>
      <x:c r="L98" s="70" t="str"/>
      <x:c r="M98" s="70" t="str">
        <x:v>V3-CAIE-IG</x:v>
      </x:c>
      <x:c r="N98" s="70" t="str">
        <x:v>https://www.cambridgeinternational.org/programmes-and-qualifications/cambridge-upper-secondary/cambridge-igcse/subjects/</x:v>
      </x:c>
    </x:row>
    <x:row r="99" ht="72" customHeight="1">
      <x:c r="A99" s="71" t="str">
        <x:v>C098</x:v>
      </x:c>
      <x:c r="B99" s="70" t="str">
        <x:v>CAIE-IGCSE</x:v>
      </x:c>
      <x:c r="C99" s="70" t="str">
        <x:v>学历学科</x:v>
      </x:c>
      <x:c r="D99" s="70" t="str">
        <x:v>IGCSE</x:v>
      </x:c>
      <x:c r="E99" s="70" t="str">
        <x:v>目录层核对</x:v>
      </x:c>
      <x:c r="F99" s="70" t="str">
        <x:v>2026-09-17目录快照；按开课/考试年份复核</x:v>
      </x:c>
      <x:c r="G99" s="70" t="str">
        <x:v>启用前按年份和本校授权复核</x:v>
      </x:c>
      <x:c r="H99" s="70" t="str">
        <x:v>课程目录层</x:v>
      </x:c>
      <x:c r="I99" s="70" t="str">
        <x:v>校内成绩按学校规则；外考成绩不自动换GPA</x:v>
      </x:c>
      <x:c r="J99" s="70" t="str">
        <x:v>人工选择与审核</x:v>
      </x:c>
      <x:c r="K99" s="70" t="str">
        <x:v>官方大纲/课程代码</x:v>
      </x:c>
      <x:c r="L99" s="70" t="str"/>
      <x:c r="M99" s="70" t="str">
        <x:v>V3-CAIE-IG</x:v>
      </x:c>
      <x:c r="N99" s="70" t="str">
        <x:v>https://www.cambridgeinternational.org/programmes-and-qualifications/cambridge-upper-secondary/cambridge-igcse/subjects/</x:v>
      </x:c>
    </x:row>
    <x:row r="100" ht="72" customHeight="1">
      <x:c r="A100" s="71" t="str">
        <x:v>C099</x:v>
      </x:c>
      <x:c r="B100" s="70" t="str">
        <x:v>CAIE-IGCSE</x:v>
      </x:c>
      <x:c r="C100" s="70" t="str">
        <x:v>学历学科</x:v>
      </x:c>
      <x:c r="D100" s="70" t="str">
        <x:v>IGCSE</x:v>
      </x:c>
      <x:c r="E100" s="70" t="str">
        <x:v>目录层核对</x:v>
      </x:c>
      <x:c r="F100" s="70" t="str">
        <x:v>2026-09-17目录快照；按开课/考试年份复核</x:v>
      </x:c>
      <x:c r="G100" s="70" t="str">
        <x:v>启用前按年份和本校授权复核</x:v>
      </x:c>
      <x:c r="H100" s="70" t="str">
        <x:v>课程目录层</x:v>
      </x:c>
      <x:c r="I100" s="70" t="str">
        <x:v>校内成绩按学校规则；外考成绩不自动换GPA</x:v>
      </x:c>
      <x:c r="J100" s="70" t="str">
        <x:v>人工选择与审核</x:v>
      </x:c>
      <x:c r="K100" s="70" t="str">
        <x:v>官方大纲/课程代码</x:v>
      </x:c>
      <x:c r="L100" s="70" t="str"/>
      <x:c r="M100" s="70" t="str">
        <x:v>V3-CAIE-IG</x:v>
      </x:c>
      <x:c r="N100" s="70" t="str">
        <x:v>https://www.cambridgeinternational.org/programmes-and-qualifications/cambridge-upper-secondary/cambridge-igcse/subjects/</x:v>
      </x:c>
    </x:row>
    <x:row r="101" ht="72" customHeight="1">
      <x:c r="A101" s="71" t="str">
        <x:v>C100</x:v>
      </x:c>
      <x:c r="B101" s="70" t="str">
        <x:v>CAIE-IGCSE</x:v>
      </x:c>
      <x:c r="C101" s="70" t="str">
        <x:v>学历学科</x:v>
      </x:c>
      <x:c r="D101" s="70" t="str">
        <x:v>IGCSE</x:v>
      </x:c>
      <x:c r="E101" s="70" t="str">
        <x:v>目录层核对</x:v>
      </x:c>
      <x:c r="F101" s="70" t="str">
        <x:v>2026-09-17目录快照；按开课/考试年份复核</x:v>
      </x:c>
      <x:c r="G101" s="70" t="str">
        <x:v>启用前按年份和本校授权复核</x:v>
      </x:c>
      <x:c r="H101" s="70" t="str">
        <x:v>课程目录层</x:v>
      </x:c>
      <x:c r="I101" s="70" t="str">
        <x:v>校内成绩按学校规则；外考成绩不自动换GPA</x:v>
      </x:c>
      <x:c r="J101" s="70" t="str">
        <x:v>人工选择与审核</x:v>
      </x:c>
      <x:c r="K101" s="70" t="str">
        <x:v>官方大纲/课程代码</x:v>
      </x:c>
      <x:c r="L101" s="70" t="str"/>
      <x:c r="M101" s="70" t="str">
        <x:v>V3-CAIE-IG</x:v>
      </x:c>
      <x:c r="N101" s="70" t="str">
        <x:v>https://www.cambridgeinternational.org/programmes-and-qualifications/cambridge-upper-secondary/cambridge-igcse/subjects/</x:v>
      </x:c>
    </x:row>
    <x:row r="102" ht="72" customHeight="1">
      <x:c r="A102" s="71" t="str">
        <x:v>C101</x:v>
      </x:c>
      <x:c r="B102" s="70" t="str">
        <x:v>CAIE-IGCSE</x:v>
      </x:c>
      <x:c r="C102" s="70" t="str">
        <x:v>学历学科</x:v>
      </x:c>
      <x:c r="D102" s="70" t="str">
        <x:v>IGCSE</x:v>
      </x:c>
      <x:c r="E102" s="70" t="str">
        <x:v>目录层核对</x:v>
      </x:c>
      <x:c r="F102" s="70" t="str">
        <x:v>2026-09-17目录快照；按开课/考试年份复核</x:v>
      </x:c>
      <x:c r="G102" s="70" t="str">
        <x:v>启用前按年份和本校授权复核</x:v>
      </x:c>
      <x:c r="H102" s="70" t="str">
        <x:v>课程目录层</x:v>
      </x:c>
      <x:c r="I102" s="70" t="str">
        <x:v>校内成绩按学校规则；外考成绩不自动换GPA</x:v>
      </x:c>
      <x:c r="J102" s="70" t="str">
        <x:v>人工选择与审核</x:v>
      </x:c>
      <x:c r="K102" s="70" t="str">
        <x:v>官方大纲/课程代码</x:v>
      </x:c>
      <x:c r="L102" s="70" t="str"/>
      <x:c r="M102" s="70" t="str">
        <x:v>V3-CAIE-IG</x:v>
      </x:c>
      <x:c r="N102" s="70" t="str">
        <x:v>https://www.cambridgeinternational.org/programmes-and-qualifications/cambridge-upper-secondary/cambridge-igcse/subjects/</x:v>
      </x:c>
    </x:row>
    <x:row r="103" ht="72" customHeight="1">
      <x:c r="A103" s="71" t="str">
        <x:v>C102</x:v>
      </x:c>
      <x:c r="B103" s="70" t="str">
        <x:v>CAIE-IGCSE</x:v>
      </x:c>
      <x:c r="C103" s="70" t="str">
        <x:v>学历学科</x:v>
      </x:c>
      <x:c r="D103" s="70" t="str">
        <x:v>IGCSE</x:v>
      </x:c>
      <x:c r="E103" s="70" t="str">
        <x:v>目录层核对</x:v>
      </x:c>
      <x:c r="F103" s="70" t="str">
        <x:v>2026-09-17目录快照；按开课/考试年份复核</x:v>
      </x:c>
      <x:c r="G103" s="70" t="str">
        <x:v>启用前按年份和本校授权复核</x:v>
      </x:c>
      <x:c r="H103" s="70" t="str">
        <x:v>课程目录层</x:v>
      </x:c>
      <x:c r="I103" s="70" t="str">
        <x:v>校内成绩按学校规则；外考成绩不自动换GPA</x:v>
      </x:c>
      <x:c r="J103" s="70" t="str">
        <x:v>人工选择与审核</x:v>
      </x:c>
      <x:c r="K103" s="70" t="str">
        <x:v>官方大纲/课程代码</x:v>
      </x:c>
      <x:c r="L103" s="70" t="str"/>
      <x:c r="M103" s="70" t="str">
        <x:v>V3-CAIE-IG</x:v>
      </x:c>
      <x:c r="N103" s="70" t="str">
        <x:v>https://www.cambridgeinternational.org/programmes-and-qualifications/cambridge-upper-secondary/cambridge-igcse/subjects/</x:v>
      </x:c>
    </x:row>
    <x:row r="104" ht="72" customHeight="1">
      <x:c r="A104" s="71" t="str">
        <x:v>C103</x:v>
      </x:c>
      <x:c r="B104" s="70" t="str">
        <x:v>CAIE-IGCSE</x:v>
      </x:c>
      <x:c r="C104" s="70" t="str">
        <x:v>学历学科</x:v>
      </x:c>
      <x:c r="D104" s="70" t="str">
        <x:v>IGCSE</x:v>
      </x:c>
      <x:c r="E104" s="70" t="str">
        <x:v>目录层核对</x:v>
      </x:c>
      <x:c r="F104" s="70" t="str">
        <x:v>2026-09-17目录快照；按开课/考试年份复核</x:v>
      </x:c>
      <x:c r="G104" s="70" t="str">
        <x:v>启用前按年份和本校授权复核</x:v>
      </x:c>
      <x:c r="H104" s="70" t="str">
        <x:v>课程目录层</x:v>
      </x:c>
      <x:c r="I104" s="70" t="str">
        <x:v>校内成绩按学校规则；外考成绩不自动换GPA</x:v>
      </x:c>
      <x:c r="J104" s="70" t="str">
        <x:v>人工选择与审核</x:v>
      </x:c>
      <x:c r="K104" s="70" t="str">
        <x:v>官方大纲/课程代码</x:v>
      </x:c>
      <x:c r="L104" s="70" t="str"/>
      <x:c r="M104" s="70" t="str">
        <x:v>V3-CAIE-IG</x:v>
      </x:c>
      <x:c r="N104" s="70" t="str">
        <x:v>https://www.cambridgeinternational.org/programmes-and-qualifications/cambridge-upper-secondary/cambridge-igcse/subjects/</x:v>
      </x:c>
    </x:row>
    <x:row r="105" ht="72" customHeight="1">
      <x:c r="A105" s="71" t="str">
        <x:v>C104</x:v>
      </x:c>
      <x:c r="B105" s="70" t="str">
        <x:v>CAIE-IGCSE</x:v>
      </x:c>
      <x:c r="C105" s="70" t="str">
        <x:v>学历学科</x:v>
      </x:c>
      <x:c r="D105" s="70" t="str">
        <x:v>IGCSE</x:v>
      </x:c>
      <x:c r="E105" s="70" t="str">
        <x:v>目录层核对</x:v>
      </x:c>
      <x:c r="F105" s="70" t="str">
        <x:v>2026-09-17目录快照；按开课/考试年份复核</x:v>
      </x:c>
      <x:c r="G105" s="70" t="str">
        <x:v>启用前按年份和本校授权复核</x:v>
      </x:c>
      <x:c r="H105" s="70" t="str">
        <x:v>课程目录层</x:v>
      </x:c>
      <x:c r="I105" s="70" t="str">
        <x:v>校内成绩按学校规则；外考成绩不自动换GPA</x:v>
      </x:c>
      <x:c r="J105" s="70" t="str">
        <x:v>人工选择与审核</x:v>
      </x:c>
      <x:c r="K105" s="70" t="str">
        <x:v>官方大纲/课程代码</x:v>
      </x:c>
      <x:c r="L105" s="70" t="str"/>
      <x:c r="M105" s="70" t="str">
        <x:v>V3-CAIE-IG</x:v>
      </x:c>
      <x:c r="N105" s="70" t="str">
        <x:v>https://www.cambridgeinternational.org/programmes-and-qualifications/cambridge-upper-secondary/cambridge-igcse/subjects/</x:v>
      </x:c>
    </x:row>
    <x:row r="106" ht="72" customHeight="1">
      <x:c r="A106" s="71" t="str">
        <x:v>C105</x:v>
      </x:c>
      <x:c r="B106" s="70" t="str">
        <x:v>CAIE-IGCSE</x:v>
      </x:c>
      <x:c r="C106" s="70" t="str">
        <x:v>学历学科</x:v>
      </x:c>
      <x:c r="D106" s="70" t="str">
        <x:v>IGCSE</x:v>
      </x:c>
      <x:c r="E106" s="70" t="str">
        <x:v>目录层核对</x:v>
      </x:c>
      <x:c r="F106" s="70" t="str">
        <x:v>2026-09-17目录快照；按开课/考试年份复核</x:v>
      </x:c>
      <x:c r="G106" s="70" t="str">
        <x:v>启用前按年份和本校授权复核</x:v>
      </x:c>
      <x:c r="H106" s="70" t="str">
        <x:v>课程目录层</x:v>
      </x:c>
      <x:c r="I106" s="70" t="str">
        <x:v>校内成绩按学校规则；外考成绩不自动换GPA</x:v>
      </x:c>
      <x:c r="J106" s="70" t="str">
        <x:v>人工选择与审核</x:v>
      </x:c>
      <x:c r="K106" s="70" t="str">
        <x:v>官方大纲/课程代码</x:v>
      </x:c>
      <x:c r="L106" s="70" t="str"/>
      <x:c r="M106" s="70" t="str">
        <x:v>V3-CAIE-IG</x:v>
      </x:c>
      <x:c r="N106" s="70" t="str">
        <x:v>https://www.cambridgeinternational.org/programmes-and-qualifications/cambridge-upper-secondary/cambridge-igcse/subjects/</x:v>
      </x:c>
    </x:row>
    <x:row r="107" ht="72" customHeight="1">
      <x:c r="A107" s="71" t="str">
        <x:v>C106</x:v>
      </x:c>
      <x:c r="B107" s="70" t="str">
        <x:v>CAIE-IGCSE</x:v>
      </x:c>
      <x:c r="C107" s="70" t="str">
        <x:v>学历学科</x:v>
      </x:c>
      <x:c r="D107" s="70" t="str">
        <x:v>IGCSE</x:v>
      </x:c>
      <x:c r="E107" s="70" t="str">
        <x:v>目录层核对</x:v>
      </x:c>
      <x:c r="F107" s="70" t="str">
        <x:v>2026-09-17目录快照；按开课/考试年份复核</x:v>
      </x:c>
      <x:c r="G107" s="70" t="str">
        <x:v>启用前按年份和本校授权复核</x:v>
      </x:c>
      <x:c r="H107" s="70" t="str">
        <x:v>课程目录层</x:v>
      </x:c>
      <x:c r="I107" s="70" t="str">
        <x:v>校内成绩按学校规则；外考成绩不自动换GPA</x:v>
      </x:c>
      <x:c r="J107" s="70" t="str">
        <x:v>人工选择与审核</x:v>
      </x:c>
      <x:c r="K107" s="70" t="str">
        <x:v>官方大纲/课程代码</x:v>
      </x:c>
      <x:c r="L107" s="70" t="str"/>
      <x:c r="M107" s="70" t="str">
        <x:v>V3-CAIE-IG</x:v>
      </x:c>
      <x:c r="N107" s="70" t="str">
        <x:v>https://www.cambridgeinternational.org/programmes-and-qualifications/cambridge-upper-secondary/cambridge-igcse/subjects/</x:v>
      </x:c>
    </x:row>
    <x:row r="108" ht="72" customHeight="1">
      <x:c r="A108" s="71" t="str">
        <x:v>C107</x:v>
      </x:c>
      <x:c r="B108" s="70" t="str">
        <x:v>CAIE-IGCSE</x:v>
      </x:c>
      <x:c r="C108" s="70" t="str">
        <x:v>学历学科</x:v>
      </x:c>
      <x:c r="D108" s="70" t="str">
        <x:v>IGCSE</x:v>
      </x:c>
      <x:c r="E108" s="70" t="str">
        <x:v>目录层核对</x:v>
      </x:c>
      <x:c r="F108" s="70" t="str">
        <x:v>2026-09-17目录快照；按开课/考试年份复核</x:v>
      </x:c>
      <x:c r="G108" s="70" t="str">
        <x:v>启用前按年份和本校授权复核</x:v>
      </x:c>
      <x:c r="H108" s="70" t="str">
        <x:v>课程目录层</x:v>
      </x:c>
      <x:c r="I108" s="70" t="str">
        <x:v>校内成绩按学校规则；外考成绩不自动换GPA</x:v>
      </x:c>
      <x:c r="J108" s="70" t="str">
        <x:v>人工选择与审核</x:v>
      </x:c>
      <x:c r="K108" s="70" t="str">
        <x:v>官方大纲/课程代码</x:v>
      </x:c>
      <x:c r="L108" s="70" t="str"/>
      <x:c r="M108" s="70" t="str">
        <x:v>V3-CAIE-IG</x:v>
      </x:c>
      <x:c r="N108" s="70" t="str">
        <x:v>https://www.cambridgeinternational.org/programmes-and-qualifications/cambridge-upper-secondary/cambridge-igcse/subjects/</x:v>
      </x:c>
    </x:row>
    <x:row r="109" ht="72" customHeight="1">
      <x:c r="A109" s="71" t="str">
        <x:v>C108</x:v>
      </x:c>
      <x:c r="B109" s="70" t="str">
        <x:v>CAIE-IGCSE</x:v>
      </x:c>
      <x:c r="C109" s="70" t="str">
        <x:v>学历学科</x:v>
      </x:c>
      <x:c r="D109" s="70" t="str">
        <x:v>IGCSE</x:v>
      </x:c>
      <x:c r="E109" s="70" t="str">
        <x:v>目录层核对</x:v>
      </x:c>
      <x:c r="F109" s="70" t="str">
        <x:v>2026-09-17目录快照；按开课/考试年份复核</x:v>
      </x:c>
      <x:c r="G109" s="70" t="str">
        <x:v>启用前按年份和本校授权复核</x:v>
      </x:c>
      <x:c r="H109" s="70" t="str">
        <x:v>课程目录层</x:v>
      </x:c>
      <x:c r="I109" s="70" t="str">
        <x:v>校内成绩按学校规则；外考成绩不自动换GPA</x:v>
      </x:c>
      <x:c r="J109" s="70" t="str">
        <x:v>人工选择与审核</x:v>
      </x:c>
      <x:c r="K109" s="70" t="str">
        <x:v>官方大纲/课程代码</x:v>
      </x:c>
      <x:c r="L109" s="70" t="str"/>
      <x:c r="M109" s="70" t="str">
        <x:v>V3-CAIE-IG</x:v>
      </x:c>
      <x:c r="N109" s="70" t="str">
        <x:v>https://www.cambridgeinternational.org/programmes-and-qualifications/cambridge-upper-secondary/cambridge-igcse/subjects/</x:v>
      </x:c>
    </x:row>
    <x:row r="110" ht="72" customHeight="1">
      <x:c r="A110" s="71" t="str">
        <x:v>C109</x:v>
      </x:c>
      <x:c r="B110" s="70" t="str">
        <x:v>CAIE-IGCSE</x:v>
      </x:c>
      <x:c r="C110" s="70" t="str">
        <x:v>学历学科</x:v>
      </x:c>
      <x:c r="D110" s="70" t="str">
        <x:v>IGCSE</x:v>
      </x:c>
      <x:c r="E110" s="70" t="str">
        <x:v>目录层核对</x:v>
      </x:c>
      <x:c r="F110" s="70" t="str">
        <x:v>2026-09-17目录快照；按开课/考试年份复核</x:v>
      </x:c>
      <x:c r="G110" s="70" t="str">
        <x:v>启用前按年份和本校授权复核</x:v>
      </x:c>
      <x:c r="H110" s="70" t="str">
        <x:v>课程目录层</x:v>
      </x:c>
      <x:c r="I110" s="70" t="str">
        <x:v>校内成绩按学校规则；外考成绩不自动换GPA</x:v>
      </x:c>
      <x:c r="J110" s="70" t="str">
        <x:v>人工选择与审核</x:v>
      </x:c>
      <x:c r="K110" s="70" t="str">
        <x:v>官方大纲/课程代码</x:v>
      </x:c>
      <x:c r="L110" s="70" t="str"/>
      <x:c r="M110" s="70" t="str">
        <x:v>V3-CAIE-IG</x:v>
      </x:c>
      <x:c r="N110" s="70" t="str">
        <x:v>https://www.cambridgeinternational.org/programmes-and-qualifications/cambridge-upper-secondary/cambridge-igcse/subjects/</x:v>
      </x:c>
    </x:row>
    <x:row r="111" ht="72" customHeight="1">
      <x:c r="A111" s="71" t="str">
        <x:v>C110</x:v>
      </x:c>
      <x:c r="B111" s="70" t="str">
        <x:v>CAIE-IGCSE</x:v>
      </x:c>
      <x:c r="C111" s="70" t="str">
        <x:v>学历学科</x:v>
      </x:c>
      <x:c r="D111" s="70" t="str">
        <x:v>IGCSE</x:v>
      </x:c>
      <x:c r="E111" s="70" t="str">
        <x:v>目录层核对</x:v>
      </x:c>
      <x:c r="F111" s="70" t="str">
        <x:v>2026-09-17目录快照；按开课/考试年份复核</x:v>
      </x:c>
      <x:c r="G111" s="70" t="str">
        <x:v>启用前按年份和本校授权复核</x:v>
      </x:c>
      <x:c r="H111" s="70" t="str">
        <x:v>课程目录层</x:v>
      </x:c>
      <x:c r="I111" s="70" t="str">
        <x:v>校内成绩按学校规则；外考成绩不自动换GPA</x:v>
      </x:c>
      <x:c r="J111" s="70" t="str">
        <x:v>人工选择与审核</x:v>
      </x:c>
      <x:c r="K111" s="70" t="str">
        <x:v>官方大纲/课程代码</x:v>
      </x:c>
      <x:c r="L111" s="70" t="str"/>
      <x:c r="M111" s="70" t="str">
        <x:v>V3-CAIE-IG</x:v>
      </x:c>
      <x:c r="N111" s="70" t="str">
        <x:v>https://www.cambridgeinternational.org/programmes-and-qualifications/cambridge-upper-secondary/cambridge-igcse/subjects/</x:v>
      </x:c>
    </x:row>
    <x:row r="112" ht="72" customHeight="1">
      <x:c r="A112" s="71" t="str">
        <x:v>C111</x:v>
      </x:c>
      <x:c r="B112" s="70" t="str">
        <x:v>CAIE-IGCSE</x:v>
      </x:c>
      <x:c r="C112" s="70" t="str">
        <x:v>学历学科</x:v>
      </x:c>
      <x:c r="D112" s="70" t="str">
        <x:v>IGCSE</x:v>
      </x:c>
      <x:c r="E112" s="70" t="str">
        <x:v>目录层核对</x:v>
      </x:c>
      <x:c r="F112" s="70" t="str">
        <x:v>2026-09-17目录快照；按开课/考试年份复核</x:v>
      </x:c>
      <x:c r="G112" s="70" t="str">
        <x:v>启用前按年份和本校授权复核</x:v>
      </x:c>
      <x:c r="H112" s="70" t="str">
        <x:v>课程目录层</x:v>
      </x:c>
      <x:c r="I112" s="70" t="str">
        <x:v>校内成绩按学校规则；外考成绩不自动换GPA</x:v>
      </x:c>
      <x:c r="J112" s="70" t="str">
        <x:v>人工选择与审核</x:v>
      </x:c>
      <x:c r="K112" s="70" t="str">
        <x:v>官方大纲/课程代码</x:v>
      </x:c>
      <x:c r="L112" s="70" t="str"/>
      <x:c r="M112" s="70" t="str">
        <x:v>V3-CAIE-IG</x:v>
      </x:c>
      <x:c r="N112" s="70" t="str">
        <x:v>https://www.cambridgeinternational.org/programmes-and-qualifications/cambridge-upper-secondary/cambridge-igcse/subjects/</x:v>
      </x:c>
    </x:row>
    <x:row r="113" ht="72" customHeight="1">
      <x:c r="A113" s="71" t="str">
        <x:v>C112</x:v>
      </x:c>
      <x:c r="B113" s="70" t="str">
        <x:v>CAIE-IGCSE</x:v>
      </x:c>
      <x:c r="C113" s="70" t="str">
        <x:v>学历学科</x:v>
      </x:c>
      <x:c r="D113" s="70" t="str">
        <x:v>IGCSE</x:v>
      </x:c>
      <x:c r="E113" s="70" t="str">
        <x:v>目录层核对</x:v>
      </x:c>
      <x:c r="F113" s="70" t="str">
        <x:v>2026-09-17目录快照；按开课/考试年份复核</x:v>
      </x:c>
      <x:c r="G113" s="70" t="str">
        <x:v>启用前按年份和本校授权复核</x:v>
      </x:c>
      <x:c r="H113" s="70" t="str">
        <x:v>课程目录层</x:v>
      </x:c>
      <x:c r="I113" s="70" t="str">
        <x:v>校内成绩按学校规则；外考成绩不自动换GPA</x:v>
      </x:c>
      <x:c r="J113" s="70" t="str">
        <x:v>人工选择与审核</x:v>
      </x:c>
      <x:c r="K113" s="70" t="str">
        <x:v>官方大纲/课程代码</x:v>
      </x:c>
      <x:c r="L113" s="70" t="str"/>
      <x:c r="M113" s="70" t="str">
        <x:v>V3-CAIE-IG</x:v>
      </x:c>
      <x:c r="N113" s="70" t="str">
        <x:v>https://www.cambridgeinternational.org/programmes-and-qualifications/cambridge-upper-secondary/cambridge-igcse/subjects/</x:v>
      </x:c>
    </x:row>
    <x:row r="114" ht="72" customHeight="1">
      <x:c r="A114" s="71" t="str">
        <x:v>C113</x:v>
      </x:c>
      <x:c r="B114" s="70" t="str">
        <x:v>CAIE-IGCSE</x:v>
      </x:c>
      <x:c r="C114" s="70" t="str">
        <x:v>学历学科</x:v>
      </x:c>
      <x:c r="D114" s="70" t="str">
        <x:v>IGCSE</x:v>
      </x:c>
      <x:c r="E114" s="70" t="str">
        <x:v>目录层核对</x:v>
      </x:c>
      <x:c r="F114" s="70" t="str">
        <x:v>2026-09-17目录快照；按开课/考试年份复核</x:v>
      </x:c>
      <x:c r="G114" s="70" t="str">
        <x:v>启用前按年份和本校授权复核</x:v>
      </x:c>
      <x:c r="H114" s="70" t="str">
        <x:v>课程目录层</x:v>
      </x:c>
      <x:c r="I114" s="70" t="str">
        <x:v>校内成绩按学校规则；外考成绩不自动换GPA</x:v>
      </x:c>
      <x:c r="J114" s="70" t="str">
        <x:v>人工选择与审核</x:v>
      </x:c>
      <x:c r="K114" s="70" t="str">
        <x:v>官方大纲/课程代码</x:v>
      </x:c>
      <x:c r="L114" s="70" t="str"/>
      <x:c r="M114" s="70" t="str">
        <x:v>V3-CAIE-IG</x:v>
      </x:c>
      <x:c r="N114" s="70" t="str">
        <x:v>https://www.cambridgeinternational.org/programmes-and-qualifications/cambridge-upper-secondary/cambridge-igcse/subjects/</x:v>
      </x:c>
    </x:row>
    <x:row r="115" ht="72" customHeight="1">
      <x:c r="A115" s="71" t="str">
        <x:v>C114</x:v>
      </x:c>
      <x:c r="B115" s="70" t="str">
        <x:v>CAIE-IGCSE</x:v>
      </x:c>
      <x:c r="C115" s="70" t="str">
        <x:v>学历学科</x:v>
      </x:c>
      <x:c r="D115" s="70" t="str">
        <x:v>IGCSE</x:v>
      </x:c>
      <x:c r="E115" s="70" t="str">
        <x:v>目录层核对</x:v>
      </x:c>
      <x:c r="F115" s="70" t="str">
        <x:v>2026-09-17目录快照；按开课/考试年份复核</x:v>
      </x:c>
      <x:c r="G115" s="70" t="str">
        <x:v>启用前按年份和本校授权复核</x:v>
      </x:c>
      <x:c r="H115" s="70" t="str">
        <x:v>课程目录层</x:v>
      </x:c>
      <x:c r="I115" s="70" t="str">
        <x:v>校内成绩按学校规则；外考成绩不自动换GPA</x:v>
      </x:c>
      <x:c r="J115" s="70" t="str">
        <x:v>人工选择与审核</x:v>
      </x:c>
      <x:c r="K115" s="70" t="str">
        <x:v>官方大纲/课程代码</x:v>
      </x:c>
      <x:c r="L115" s="70" t="str"/>
      <x:c r="M115" s="70" t="str">
        <x:v>V3-CAIE-IG</x:v>
      </x:c>
      <x:c r="N115" s="70" t="str">
        <x:v>https://www.cambridgeinternational.org/programmes-and-qualifications/cambridge-upper-secondary/cambridge-igcse/subjects/</x:v>
      </x:c>
    </x:row>
    <x:row r="116" ht="72" customHeight="1">
      <x:c r="A116" s="71" t="str">
        <x:v>C115</x:v>
      </x:c>
      <x:c r="B116" s="70" t="str">
        <x:v>CAIE-IGCSE</x:v>
      </x:c>
      <x:c r="C116" s="70" t="str">
        <x:v>学历学科</x:v>
      </x:c>
      <x:c r="D116" s="70" t="str">
        <x:v>IGCSE</x:v>
      </x:c>
      <x:c r="E116" s="70" t="str">
        <x:v>目录层核对</x:v>
      </x:c>
      <x:c r="F116" s="70" t="str">
        <x:v>2026-09-17目录快照；按开课/考试年份复核</x:v>
      </x:c>
      <x:c r="G116" s="70" t="str">
        <x:v>启用前按年份和本校授权复核</x:v>
      </x:c>
      <x:c r="H116" s="70" t="str">
        <x:v>课程目录层</x:v>
      </x:c>
      <x:c r="I116" s="70" t="str">
        <x:v>校内成绩按学校规则；外考成绩不自动换GPA</x:v>
      </x:c>
      <x:c r="J116" s="70" t="str">
        <x:v>人工选择与审核</x:v>
      </x:c>
      <x:c r="K116" s="70" t="str">
        <x:v>官方大纲/课程代码</x:v>
      </x:c>
      <x:c r="L116" s="70" t="str"/>
      <x:c r="M116" s="70" t="str">
        <x:v>V3-CAIE-IG</x:v>
      </x:c>
      <x:c r="N116" s="70" t="str">
        <x:v>https://www.cambridgeinternational.org/programmes-and-qualifications/cambridge-upper-secondary/cambridge-igcse/subjects/</x:v>
      </x:c>
    </x:row>
    <x:row r="117" ht="72" customHeight="1">
      <x:c r="A117" s="71" t="str">
        <x:v>C116</x:v>
      </x:c>
      <x:c r="B117" s="70" t="str">
        <x:v>CAIE-IGCSE</x:v>
      </x:c>
      <x:c r="C117" s="70" t="str">
        <x:v>学历学科</x:v>
      </x:c>
      <x:c r="D117" s="70" t="str">
        <x:v>IGCSE</x:v>
      </x:c>
      <x:c r="E117" s="70" t="str">
        <x:v>目录层核对</x:v>
      </x:c>
      <x:c r="F117" s="70" t="str">
        <x:v>2026-09-17目录快照；按开课/考试年份复核</x:v>
      </x:c>
      <x:c r="G117" s="70" t="str">
        <x:v>启用前按年份和本校授权复核</x:v>
      </x:c>
      <x:c r="H117" s="70" t="str">
        <x:v>课程目录层</x:v>
      </x:c>
      <x:c r="I117" s="70" t="str">
        <x:v>校内成绩按学校规则；外考成绩不自动换GPA</x:v>
      </x:c>
      <x:c r="J117" s="70" t="str">
        <x:v>人工选择与审核</x:v>
      </x:c>
      <x:c r="K117" s="70" t="str">
        <x:v>官方大纲/课程代码</x:v>
      </x:c>
      <x:c r="L117" s="70" t="str"/>
      <x:c r="M117" s="70" t="str">
        <x:v>V3-CAIE-IG</x:v>
      </x:c>
      <x:c r="N117" s="70" t="str">
        <x:v>https://www.cambridgeinternational.org/programmes-and-qualifications/cambridge-upper-secondary/cambridge-igcse/subjects/</x:v>
      </x:c>
    </x:row>
    <x:row r="118" ht="72" customHeight="1">
      <x:c r="A118" s="71" t="str">
        <x:v>C117</x:v>
      </x:c>
      <x:c r="B118" s="70" t="str">
        <x:v>CAIE-IGCSE</x:v>
      </x:c>
      <x:c r="C118" s="70" t="str">
        <x:v>学历学科</x:v>
      </x:c>
      <x:c r="D118" s="70" t="str">
        <x:v>IGCSE</x:v>
      </x:c>
      <x:c r="E118" s="70" t="str">
        <x:v>目录层核对</x:v>
      </x:c>
      <x:c r="F118" s="70" t="str">
        <x:v>2026-09-17目录快照；按开课/考试年份复核</x:v>
      </x:c>
      <x:c r="G118" s="70" t="str">
        <x:v>启用前按年份和本校授权复核</x:v>
      </x:c>
      <x:c r="H118" s="70" t="str">
        <x:v>课程目录层</x:v>
      </x:c>
      <x:c r="I118" s="70" t="str">
        <x:v>校内成绩按学校规则；外考成绩不自动换GPA</x:v>
      </x:c>
      <x:c r="J118" s="70" t="str">
        <x:v>人工选择与审核</x:v>
      </x:c>
      <x:c r="K118" s="70" t="str">
        <x:v>官方大纲/课程代码</x:v>
      </x:c>
      <x:c r="L118" s="70" t="str"/>
      <x:c r="M118" s="70" t="str">
        <x:v>V3-CAIE-IG</x:v>
      </x:c>
      <x:c r="N118" s="70" t="str">
        <x:v>https://www.cambridgeinternational.org/programmes-and-qualifications/cambridge-upper-secondary/cambridge-igcse/subjects/</x:v>
      </x:c>
    </x:row>
    <x:row r="119" ht="72" customHeight="1">
      <x:c r="A119" s="71" t="str">
        <x:v>C118</x:v>
      </x:c>
      <x:c r="B119" s="70" t="str">
        <x:v>CAIE-IGCSE</x:v>
      </x:c>
      <x:c r="C119" s="70" t="str">
        <x:v>学历学科</x:v>
      </x:c>
      <x:c r="D119" s="70" t="str">
        <x:v>IGCSE</x:v>
      </x:c>
      <x:c r="E119" s="70" t="str">
        <x:v>目录层核对</x:v>
      </x:c>
      <x:c r="F119" s="70" t="str">
        <x:v>2026-09-17目录快照；按开课/考试年份复核</x:v>
      </x:c>
      <x:c r="G119" s="70" t="str">
        <x:v>启用前按年份和本校授权复核</x:v>
      </x:c>
      <x:c r="H119" s="70" t="str">
        <x:v>课程目录层</x:v>
      </x:c>
      <x:c r="I119" s="70" t="str">
        <x:v>校内成绩按学校规则；外考成绩不自动换GPA</x:v>
      </x:c>
      <x:c r="J119" s="70" t="str">
        <x:v>人工选择与审核</x:v>
      </x:c>
      <x:c r="K119" s="70" t="str">
        <x:v>官方大纲/课程代码</x:v>
      </x:c>
      <x:c r="L119" s="70" t="str"/>
      <x:c r="M119" s="70" t="str">
        <x:v>V3-CAIE-IG</x:v>
      </x:c>
      <x:c r="N119" s="70" t="str">
        <x:v>https://www.cambridgeinternational.org/programmes-and-qualifications/cambridge-upper-secondary/cambridge-igcse/subjects/</x:v>
      </x:c>
    </x:row>
    <x:row r="120" ht="72" customHeight="1">
      <x:c r="A120" s="71" t="str">
        <x:v>C119</x:v>
      </x:c>
      <x:c r="B120" s="70" t="str">
        <x:v>CAIE-IGCSE</x:v>
      </x:c>
      <x:c r="C120" s="70" t="str">
        <x:v>学历学科</x:v>
      </x:c>
      <x:c r="D120" s="70" t="str">
        <x:v>IGCSE</x:v>
      </x:c>
      <x:c r="E120" s="70" t="str">
        <x:v>目录层核对</x:v>
      </x:c>
      <x:c r="F120" s="70" t="str">
        <x:v>2026-09-17目录快照；按开课/考试年份复核</x:v>
      </x:c>
      <x:c r="G120" s="70" t="str">
        <x:v>启用前按年份和本校授权复核</x:v>
      </x:c>
      <x:c r="H120" s="70" t="str">
        <x:v>课程目录层</x:v>
      </x:c>
      <x:c r="I120" s="70" t="str">
        <x:v>校内成绩按学校规则；外考成绩不自动换GPA</x:v>
      </x:c>
      <x:c r="J120" s="70" t="str">
        <x:v>人工选择与审核</x:v>
      </x:c>
      <x:c r="K120" s="70" t="str">
        <x:v>官方大纲/课程代码</x:v>
      </x:c>
      <x:c r="L120" s="70" t="str"/>
      <x:c r="M120" s="70" t="str">
        <x:v>V3-CAIE-IG</x:v>
      </x:c>
      <x:c r="N120" s="70" t="str">
        <x:v>https://www.cambridgeinternational.org/programmes-and-qualifications/cambridge-upper-secondary/cambridge-igcse/subjects/</x:v>
      </x:c>
    </x:row>
    <x:row r="121" ht="72" customHeight="1">
      <x:c r="A121" s="71" t="str">
        <x:v>C120</x:v>
      </x:c>
      <x:c r="B121" s="70" t="str">
        <x:v>CAIE-IGCSE</x:v>
      </x:c>
      <x:c r="C121" s="70" t="str">
        <x:v>学历学科</x:v>
      </x:c>
      <x:c r="D121" s="70" t="str">
        <x:v>IGCSE</x:v>
      </x:c>
      <x:c r="E121" s="70" t="str">
        <x:v>目录层核对</x:v>
      </x:c>
      <x:c r="F121" s="70" t="str">
        <x:v>2026-09-17目录快照；按开课/考试年份复核</x:v>
      </x:c>
      <x:c r="G121" s="70" t="str">
        <x:v>启用前按年份和本校授权复核</x:v>
      </x:c>
      <x:c r="H121" s="70" t="str">
        <x:v>课程目录层</x:v>
      </x:c>
      <x:c r="I121" s="70" t="str">
        <x:v>校内成绩按学校规则；外考成绩不自动换GPA</x:v>
      </x:c>
      <x:c r="J121" s="70" t="str">
        <x:v>人工选择与审核</x:v>
      </x:c>
      <x:c r="K121" s="70" t="str">
        <x:v>官方大纲/课程代码</x:v>
      </x:c>
      <x:c r="L121" s="70" t="str"/>
      <x:c r="M121" s="70" t="str">
        <x:v>V3-CAIE-IG</x:v>
      </x:c>
      <x:c r="N121" s="70" t="str">
        <x:v>https://www.cambridgeinternational.org/programmes-and-qualifications/cambridge-upper-secondary/cambridge-igcse/subjects/</x:v>
      </x:c>
    </x:row>
    <x:row r="122" ht="72" customHeight="1">
      <x:c r="A122" s="71" t="str">
        <x:v>C121</x:v>
      </x:c>
      <x:c r="B122" s="70" t="str">
        <x:v>CAIE-IGCSE</x:v>
      </x:c>
      <x:c r="C122" s="70" t="str">
        <x:v>学历学科</x:v>
      </x:c>
      <x:c r="D122" s="70" t="str">
        <x:v>IGCSE</x:v>
      </x:c>
      <x:c r="E122" s="70" t="str">
        <x:v>目录层核对</x:v>
      </x:c>
      <x:c r="F122" s="70" t="str">
        <x:v>2026-09-17目录快照；按开课/考试年份复核</x:v>
      </x:c>
      <x:c r="G122" s="70" t="str">
        <x:v>启用前按年份和本校授权复核</x:v>
      </x:c>
      <x:c r="H122" s="70" t="str">
        <x:v>课程目录层</x:v>
      </x:c>
      <x:c r="I122" s="70" t="str">
        <x:v>校内成绩按学校规则；外考成绩不自动换GPA</x:v>
      </x:c>
      <x:c r="J122" s="70" t="str">
        <x:v>人工选择与审核</x:v>
      </x:c>
      <x:c r="K122" s="70" t="str">
        <x:v>官方大纲/课程代码</x:v>
      </x:c>
      <x:c r="L122" s="70" t="str"/>
      <x:c r="M122" s="70" t="str">
        <x:v>V3-CAIE-IG</x:v>
      </x:c>
      <x:c r="N122" s="70" t="str">
        <x:v>https://www.cambridgeinternational.org/programmes-and-qualifications/cambridge-upper-secondary/cambridge-igcse/subjects/</x:v>
      </x:c>
    </x:row>
    <x:row r="123" ht="72" customHeight="1">
      <x:c r="A123" s="71" t="str">
        <x:v>C122</x:v>
      </x:c>
      <x:c r="B123" s="70" t="str">
        <x:v>CAIE-IGCSE</x:v>
      </x:c>
      <x:c r="C123" s="70" t="str">
        <x:v>学历学科</x:v>
      </x:c>
      <x:c r="D123" s="70" t="str">
        <x:v>IGCSE</x:v>
      </x:c>
      <x:c r="E123" s="70" t="str">
        <x:v>目录层核对</x:v>
      </x:c>
      <x:c r="F123" s="70" t="str">
        <x:v>2026-09-17目录快照；按开课/考试年份复核</x:v>
      </x:c>
      <x:c r="G123" s="70" t="str">
        <x:v>启用前按年份和本校授权复核</x:v>
      </x:c>
      <x:c r="H123" s="70" t="str">
        <x:v>课程目录层</x:v>
      </x:c>
      <x:c r="I123" s="70" t="str">
        <x:v>校内成绩按学校规则；外考成绩不自动换GPA</x:v>
      </x:c>
      <x:c r="J123" s="70" t="str">
        <x:v>人工选择与审核</x:v>
      </x:c>
      <x:c r="K123" s="70" t="str">
        <x:v>官方大纲/课程代码</x:v>
      </x:c>
      <x:c r="L123" s="70" t="str"/>
      <x:c r="M123" s="70" t="str">
        <x:v>V3-CAIE-IG</x:v>
      </x:c>
      <x:c r="N123" s="70" t="str">
        <x:v>https://www.cambridgeinternational.org/programmes-and-qualifications/cambridge-upper-secondary/cambridge-igcse/subjects/</x:v>
      </x:c>
    </x:row>
    <x:row r="124" ht="72" customHeight="1">
      <x:c r="A124" s="71" t="str">
        <x:v>C123</x:v>
      </x:c>
      <x:c r="B124" s="70" t="str">
        <x:v>CAIE-IGCSE</x:v>
      </x:c>
      <x:c r="C124" s="70" t="str">
        <x:v>学历学科</x:v>
      </x:c>
      <x:c r="D124" s="70" t="str">
        <x:v>IGCSE</x:v>
      </x:c>
      <x:c r="E124" s="70" t="str">
        <x:v>目录层核对</x:v>
      </x:c>
      <x:c r="F124" s="70" t="str">
        <x:v>2026-09-17目录快照；按开课/考试年份复核</x:v>
      </x:c>
      <x:c r="G124" s="70" t="str">
        <x:v>启用前按年份和本校授权复核</x:v>
      </x:c>
      <x:c r="H124" s="70" t="str">
        <x:v>课程目录层</x:v>
      </x:c>
      <x:c r="I124" s="70" t="str">
        <x:v>校内成绩按学校规则；外考成绩不自动换GPA</x:v>
      </x:c>
      <x:c r="J124" s="70" t="str">
        <x:v>人工选择与审核</x:v>
      </x:c>
      <x:c r="K124" s="70" t="str">
        <x:v>官方大纲/课程代码</x:v>
      </x:c>
      <x:c r="L124" s="70" t="str"/>
      <x:c r="M124" s="70" t="str">
        <x:v>V3-CAIE-IG</x:v>
      </x:c>
      <x:c r="N124" s="70" t="str">
        <x:v>https://www.cambridgeinternational.org/programmes-and-qualifications/cambridge-upper-secondary/cambridge-igcse/subjects/</x:v>
      </x:c>
    </x:row>
    <x:row r="125" ht="72" customHeight="1">
      <x:c r="A125" s="71" t="str">
        <x:v>C124</x:v>
      </x:c>
      <x:c r="B125" s="70" t="str">
        <x:v>CAIE-IGCSE</x:v>
      </x:c>
      <x:c r="C125" s="70" t="str">
        <x:v>学历学科</x:v>
      </x:c>
      <x:c r="D125" s="70" t="str">
        <x:v>IGCSE</x:v>
      </x:c>
      <x:c r="E125" s="70" t="str">
        <x:v>目录层核对</x:v>
      </x:c>
      <x:c r="F125" s="70" t="str">
        <x:v>2026-09-17目录快照；按开课/考试年份复核</x:v>
      </x:c>
      <x:c r="G125" s="70" t="str">
        <x:v>启用前按年份和本校授权复核</x:v>
      </x:c>
      <x:c r="H125" s="70" t="str">
        <x:v>课程目录层</x:v>
      </x:c>
      <x:c r="I125" s="70" t="str">
        <x:v>校内成绩按学校规则；外考成绩不自动换GPA</x:v>
      </x:c>
      <x:c r="J125" s="70" t="str">
        <x:v>人工选择与审核</x:v>
      </x:c>
      <x:c r="K125" s="70" t="str">
        <x:v>官方大纲/课程代码</x:v>
      </x:c>
      <x:c r="L125" s="70" t="str"/>
      <x:c r="M125" s="70" t="str">
        <x:v>V3-CAIE-IG</x:v>
      </x:c>
      <x:c r="N125" s="70" t="str">
        <x:v>https://www.cambridgeinternational.org/programmes-and-qualifications/cambridge-upper-secondary/cambridge-igcse/subjects/</x:v>
      </x:c>
    </x:row>
    <x:row r="126" ht="72" customHeight="1">
      <x:c r="A126" s="71" t="str">
        <x:v>C125</x:v>
      </x:c>
      <x:c r="B126" s="70" t="str">
        <x:v>CAIE-IGCSE</x:v>
      </x:c>
      <x:c r="C126" s="70" t="str">
        <x:v>学历学科</x:v>
      </x:c>
      <x:c r="D126" s="70" t="str">
        <x:v>IGCSE</x:v>
      </x:c>
      <x:c r="E126" s="70" t="str">
        <x:v>目录层核对</x:v>
      </x:c>
      <x:c r="F126" s="70" t="str">
        <x:v>2026-09-17目录快照；按开课/考试年份复核</x:v>
      </x:c>
      <x:c r="G126" s="70" t="str">
        <x:v>启用前按年份和本校授权复核</x:v>
      </x:c>
      <x:c r="H126" s="70" t="str">
        <x:v>课程目录层</x:v>
      </x:c>
      <x:c r="I126" s="70" t="str">
        <x:v>校内成绩按学校规则；外考成绩不自动换GPA</x:v>
      </x:c>
      <x:c r="J126" s="70" t="str">
        <x:v>人工选择与审核</x:v>
      </x:c>
      <x:c r="K126" s="70" t="str">
        <x:v>官方大纲/课程代码</x:v>
      </x:c>
      <x:c r="L126" s="70" t="str"/>
      <x:c r="M126" s="70" t="str">
        <x:v>V3-CAIE-IG</x:v>
      </x:c>
      <x:c r="N126" s="70" t="str">
        <x:v>https://www.cambridgeinternational.org/programmes-and-qualifications/cambridge-upper-secondary/cambridge-igcse/subjects/</x:v>
      </x:c>
    </x:row>
    <x:row r="127" ht="72" customHeight="1">
      <x:c r="A127" s="71" t="str">
        <x:v>C126</x:v>
      </x:c>
      <x:c r="B127" s="70" t="str">
        <x:v>CAIE-IGCSE</x:v>
      </x:c>
      <x:c r="C127" s="70" t="str">
        <x:v>学历学科</x:v>
      </x:c>
      <x:c r="D127" s="70" t="str">
        <x:v>IGCSE</x:v>
      </x:c>
      <x:c r="E127" s="70" t="str">
        <x:v>目录层核对</x:v>
      </x:c>
      <x:c r="F127" s="70" t="str">
        <x:v>2026-09-17目录快照；按开课/考试年份复核</x:v>
      </x:c>
      <x:c r="G127" s="70" t="str">
        <x:v>启用前按年份和本校授权复核</x:v>
      </x:c>
      <x:c r="H127" s="70" t="str">
        <x:v>课程目录层</x:v>
      </x:c>
      <x:c r="I127" s="70" t="str">
        <x:v>校内成绩按学校规则；外考成绩不自动换GPA</x:v>
      </x:c>
      <x:c r="J127" s="70" t="str">
        <x:v>人工选择与审核</x:v>
      </x:c>
      <x:c r="K127" s="70" t="str">
        <x:v>官方大纲/课程代码</x:v>
      </x:c>
      <x:c r="L127" s="70" t="str"/>
      <x:c r="M127" s="70" t="str">
        <x:v>V3-CAIE-IG</x:v>
      </x:c>
      <x:c r="N127" s="70" t="str">
        <x:v>https://www.cambridgeinternational.org/programmes-and-qualifications/cambridge-upper-secondary/cambridge-igcse/subjects/</x:v>
      </x:c>
    </x:row>
    <x:row r="128" ht="72" customHeight="1">
      <x:c r="A128" s="71" t="str">
        <x:v>C127</x:v>
      </x:c>
      <x:c r="B128" s="70" t="str">
        <x:v>CAIE-IGCSE</x:v>
      </x:c>
      <x:c r="C128" s="70" t="str">
        <x:v>学历学科</x:v>
      </x:c>
      <x:c r="D128" s="70" t="str">
        <x:v>IGCSE</x:v>
      </x:c>
      <x:c r="E128" s="70" t="str">
        <x:v>目录层核对</x:v>
      </x:c>
      <x:c r="F128" s="70" t="str">
        <x:v>2026-09-17目录快照；按开课/考试年份复核</x:v>
      </x:c>
      <x:c r="G128" s="70" t="str">
        <x:v>启用前按年份和本校授权复核</x:v>
      </x:c>
      <x:c r="H128" s="70" t="str">
        <x:v>课程目录层</x:v>
      </x:c>
      <x:c r="I128" s="70" t="str">
        <x:v>校内成绩按学校规则；外考成绩不自动换GPA</x:v>
      </x:c>
      <x:c r="J128" s="70" t="str">
        <x:v>人工选择与审核</x:v>
      </x:c>
      <x:c r="K128" s="70" t="str">
        <x:v>官方大纲/课程代码</x:v>
      </x:c>
      <x:c r="L128" s="70" t="str"/>
      <x:c r="M128" s="70" t="str">
        <x:v>V3-CAIE-IG</x:v>
      </x:c>
      <x:c r="N128" s="70" t="str">
        <x:v>https://www.cambridgeinternational.org/programmes-and-qualifications/cambridge-upper-secondary/cambridge-igcse/subjects/</x:v>
      </x:c>
    </x:row>
    <x:row r="129" ht="72" customHeight="1">
      <x:c r="A129" s="71" t="str">
        <x:v>C128</x:v>
      </x:c>
      <x:c r="B129" s="70" t="str">
        <x:v>CAIE-IGCSE</x:v>
      </x:c>
      <x:c r="C129" s="70" t="str">
        <x:v>学历学科</x:v>
      </x:c>
      <x:c r="D129" s="70" t="str">
        <x:v>IGCSE</x:v>
      </x:c>
      <x:c r="E129" s="70" t="str">
        <x:v>目录层核对</x:v>
      </x:c>
      <x:c r="F129" s="70" t="str">
        <x:v>2026-09-17目录快照；按开课/考试年份复核</x:v>
      </x:c>
      <x:c r="G129" s="70" t="str">
        <x:v>启用前按年份和本校授权复核</x:v>
      </x:c>
      <x:c r="H129" s="70" t="str">
        <x:v>课程目录层</x:v>
      </x:c>
      <x:c r="I129" s="70" t="str">
        <x:v>校内成绩按学校规则；外考成绩不自动换GPA</x:v>
      </x:c>
      <x:c r="J129" s="70" t="str">
        <x:v>人工选择与审核</x:v>
      </x:c>
      <x:c r="K129" s="70" t="str">
        <x:v>官方大纲/课程代码</x:v>
      </x:c>
      <x:c r="L129" s="70" t="str"/>
      <x:c r="M129" s="70" t="str">
        <x:v>V3-CAIE-IG</x:v>
      </x:c>
      <x:c r="N129" s="70" t="str">
        <x:v>https://www.cambridgeinternational.org/programmes-and-qualifications/cambridge-upper-secondary/cambridge-igcse/subjects/</x:v>
      </x:c>
    </x:row>
    <x:row r="130" ht="72" customHeight="1">
      <x:c r="A130" s="71" t="str">
        <x:v>C129</x:v>
      </x:c>
      <x:c r="B130" s="70" t="str">
        <x:v>CAIE-IGCSE</x:v>
      </x:c>
      <x:c r="C130" s="70" t="str">
        <x:v>学历学科</x:v>
      </x:c>
      <x:c r="D130" s="70" t="str">
        <x:v>IGCSE</x:v>
      </x:c>
      <x:c r="E130" s="70" t="str">
        <x:v>目录层核对</x:v>
      </x:c>
      <x:c r="F130" s="70" t="str">
        <x:v>2026-09-17目录快照；按开课/考试年份复核</x:v>
      </x:c>
      <x:c r="G130" s="70" t="str">
        <x:v>启用前按年份和本校授权复核</x:v>
      </x:c>
      <x:c r="H130" s="70" t="str">
        <x:v>课程目录层</x:v>
      </x:c>
      <x:c r="I130" s="70" t="str">
        <x:v>校内成绩按学校规则；外考成绩不自动换GPA</x:v>
      </x:c>
      <x:c r="J130" s="70" t="str">
        <x:v>人工选择与审核</x:v>
      </x:c>
      <x:c r="K130" s="70" t="str">
        <x:v>官方大纲/课程代码</x:v>
      </x:c>
      <x:c r="L130" s="70" t="str"/>
      <x:c r="M130" s="70" t="str">
        <x:v>V3-CAIE-IG</x:v>
      </x:c>
      <x:c r="N130" s="70" t="str">
        <x:v>https://www.cambridgeinternational.org/programmes-and-qualifications/cambridge-upper-secondary/cambridge-igcse/subjects/</x:v>
      </x:c>
    </x:row>
    <x:row r="131" ht="72" customHeight="1">
      <x:c r="A131" s="71" t="str">
        <x:v>C130</x:v>
      </x:c>
      <x:c r="B131" s="70" t="str">
        <x:v>CAIE-IGCSE</x:v>
      </x:c>
      <x:c r="C131" s="70" t="str">
        <x:v>学历学科</x:v>
      </x:c>
      <x:c r="D131" s="70" t="str">
        <x:v>IGCSE</x:v>
      </x:c>
      <x:c r="E131" s="70" t="str">
        <x:v>目录层核对</x:v>
      </x:c>
      <x:c r="F131" s="70" t="str">
        <x:v>2026-09-17目录快照；按开课/考试年份复核</x:v>
      </x:c>
      <x:c r="G131" s="70" t="str">
        <x:v>启用前按年份和本校授权复核</x:v>
      </x:c>
      <x:c r="H131" s="70" t="str">
        <x:v>课程目录层</x:v>
      </x:c>
      <x:c r="I131" s="70" t="str">
        <x:v>校内成绩按学校规则；外考成绩不自动换GPA</x:v>
      </x:c>
      <x:c r="J131" s="70" t="str">
        <x:v>人工选择与审核</x:v>
      </x:c>
      <x:c r="K131" s="70" t="str">
        <x:v>官方大纲/课程代码</x:v>
      </x:c>
      <x:c r="L131" s="70" t="str"/>
      <x:c r="M131" s="70" t="str">
        <x:v>V3-CAIE-IG</x:v>
      </x:c>
      <x:c r="N131" s="70" t="str">
        <x:v>https://www.cambridgeinternational.org/programmes-and-qualifications/cambridge-upper-secondary/cambridge-igcse/subjects/</x:v>
      </x:c>
    </x:row>
    <x:row r="132" ht="72" customHeight="1">
      <x:c r="A132" s="71" t="str">
        <x:v>C131</x:v>
      </x:c>
      <x:c r="B132" s="70" t="str">
        <x:v>CAIE-IGCSE</x:v>
      </x:c>
      <x:c r="C132" s="70" t="str">
        <x:v>学历学科</x:v>
      </x:c>
      <x:c r="D132" s="70" t="str">
        <x:v>IGCSE</x:v>
      </x:c>
      <x:c r="E132" s="70" t="str">
        <x:v>目录层核对</x:v>
      </x:c>
      <x:c r="F132" s="70" t="str">
        <x:v>2026-09-17目录快照；按开课/考试年份复核</x:v>
      </x:c>
      <x:c r="G132" s="70" t="str">
        <x:v>启用前按年份和本校授权复核</x:v>
      </x:c>
      <x:c r="H132" s="70" t="str">
        <x:v>课程目录层</x:v>
      </x:c>
      <x:c r="I132" s="70" t="str">
        <x:v>校内成绩按学校规则；外考成绩不自动换GPA</x:v>
      </x:c>
      <x:c r="J132" s="70" t="str">
        <x:v>人工选择与审核</x:v>
      </x:c>
      <x:c r="K132" s="70" t="str">
        <x:v>官方大纲/课程代码</x:v>
      </x:c>
      <x:c r="L132" s="70" t="str"/>
      <x:c r="M132" s="70" t="str">
        <x:v>V3-CAIE-IG</x:v>
      </x:c>
      <x:c r="N132" s="70" t="str">
        <x:v>https://www.cambridgeinternational.org/programmes-and-qualifications/cambridge-upper-secondary/cambridge-igcse/subjects/</x:v>
      </x:c>
    </x:row>
    <x:row r="133" ht="72" customHeight="1">
      <x:c r="A133" s="71" t="str">
        <x:v>C132</x:v>
      </x:c>
      <x:c r="B133" s="70" t="str">
        <x:v>CAIE-IGCSE</x:v>
      </x:c>
      <x:c r="C133" s="70" t="str">
        <x:v>学历学科</x:v>
      </x:c>
      <x:c r="D133" s="70" t="str">
        <x:v>IGCSE</x:v>
      </x:c>
      <x:c r="E133" s="70" t="str">
        <x:v>目录层核对</x:v>
      </x:c>
      <x:c r="F133" s="70" t="str">
        <x:v>2026-09-17目录快照；按开课/考试年份复核</x:v>
      </x:c>
      <x:c r="G133" s="70" t="str">
        <x:v>启用前按年份和本校授权复核</x:v>
      </x:c>
      <x:c r="H133" s="70" t="str">
        <x:v>课程目录层</x:v>
      </x:c>
      <x:c r="I133" s="70" t="str">
        <x:v>校内成绩按学校规则；外考成绩不自动换GPA</x:v>
      </x:c>
      <x:c r="J133" s="70" t="str">
        <x:v>人工选择与审核</x:v>
      </x:c>
      <x:c r="K133" s="70" t="str">
        <x:v>官方大纲/课程代码</x:v>
      </x:c>
      <x:c r="L133" s="70" t="str"/>
      <x:c r="M133" s="70" t="str">
        <x:v>V3-CAIE-IG</x:v>
      </x:c>
      <x:c r="N133" s="70" t="str">
        <x:v>https://www.cambridgeinternational.org/programmes-and-qualifications/cambridge-upper-secondary/cambridge-igcse/subjects/</x:v>
      </x:c>
    </x:row>
    <x:row r="134" ht="72" customHeight="1">
      <x:c r="A134" s="71" t="str">
        <x:v>C133</x:v>
      </x:c>
      <x:c r="B134" s="70" t="str">
        <x:v>CAIE-IGCSE</x:v>
      </x:c>
      <x:c r="C134" s="70" t="str">
        <x:v>学历学科</x:v>
      </x:c>
      <x:c r="D134" s="70" t="str">
        <x:v>IGCSE</x:v>
      </x:c>
      <x:c r="E134" s="70" t="str">
        <x:v>目录层核对</x:v>
      </x:c>
      <x:c r="F134" s="70" t="str">
        <x:v>2026-09-17目录快照；按开课/考试年份复核</x:v>
      </x:c>
      <x:c r="G134" s="70" t="str">
        <x:v>启用前按年份和本校授权复核</x:v>
      </x:c>
      <x:c r="H134" s="70" t="str">
        <x:v>课程目录层</x:v>
      </x:c>
      <x:c r="I134" s="70" t="str">
        <x:v>校内成绩按学校规则；外考成绩不自动换GPA</x:v>
      </x:c>
      <x:c r="J134" s="70" t="str">
        <x:v>人工选择与审核</x:v>
      </x:c>
      <x:c r="K134" s="70" t="str">
        <x:v>官方大纲/课程代码</x:v>
      </x:c>
      <x:c r="L134" s="70" t="str"/>
      <x:c r="M134" s="70" t="str">
        <x:v>V3-CAIE-IG</x:v>
      </x:c>
      <x:c r="N134" s="70" t="str">
        <x:v>https://www.cambridgeinternational.org/programmes-and-qualifications/cambridge-upper-secondary/cambridge-igcse/subjects/</x:v>
      </x:c>
    </x:row>
    <x:row r="135" ht="72" customHeight="1">
      <x:c r="A135" s="71" t="str">
        <x:v>C134</x:v>
      </x:c>
      <x:c r="B135" s="70" t="str">
        <x:v>AP</x:v>
      </x:c>
      <x:c r="C135" s="70" t="str">
        <x:v>学历学科</x:v>
      </x:c>
      <x:c r="D135" s="70" t="str">
        <x:v>AP</x:v>
      </x:c>
      <x:c r="E135" s="70" t="str">
        <x:v>目录层核对</x:v>
      </x:c>
      <x:c r="F135" s="70" t="str">
        <x:v>2026–27课程目录</x:v>
      </x:c>
      <x:c r="G135" s="70" t="str">
        <x:v>启用前按年份和本校授权复核</x:v>
      </x:c>
      <x:c r="H135" s="70" t="str">
        <x:v>课程目录层</x:v>
      </x:c>
      <x:c r="I135" s="70" t="str">
        <x:v>校内成绩按学校规则；外考成绩不自动换GPA</x:v>
      </x:c>
      <x:c r="J135" s="70" t="str">
        <x:v>人工选择与审核</x:v>
      </x:c>
      <x:c r="K135" s="70" t="str">
        <x:v>未预填官方代码</x:v>
      </x:c>
      <x:c r="L135" s="70" t="str"/>
      <x:c r="M135" s="70" t="str">
        <x:v>V3-AP</x:v>
      </x:c>
      <x:c r="N135" s="70" t="str">
        <x:v>https://apcentral.collegeboard.org/courses</x:v>
      </x:c>
    </x:row>
    <x:row r="136" ht="72" customHeight="1">
      <x:c r="A136" s="71" t="str">
        <x:v>C135</x:v>
      </x:c>
      <x:c r="B136" s="70" t="str">
        <x:v>AP</x:v>
      </x:c>
      <x:c r="C136" s="70" t="str">
        <x:v>学历学科</x:v>
      </x:c>
      <x:c r="D136" s="70" t="str">
        <x:v>AP</x:v>
      </x:c>
      <x:c r="E136" s="70" t="str">
        <x:v>目录层核对</x:v>
      </x:c>
      <x:c r="F136" s="70" t="str">
        <x:v>2026–27课程目录</x:v>
      </x:c>
      <x:c r="G136" s="70" t="str">
        <x:v>启用前按年份和本校授权复核</x:v>
      </x:c>
      <x:c r="H136" s="70" t="str">
        <x:v>课程目录层</x:v>
      </x:c>
      <x:c r="I136" s="70" t="str">
        <x:v>校内成绩按学校规则；外考成绩不自动换GPA</x:v>
      </x:c>
      <x:c r="J136" s="70" t="str">
        <x:v>人工选择与审核</x:v>
      </x:c>
      <x:c r="K136" s="70" t="str">
        <x:v>未预填官方代码</x:v>
      </x:c>
      <x:c r="L136" s="70" t="str"/>
      <x:c r="M136" s="70" t="str">
        <x:v>V3-AP</x:v>
      </x:c>
      <x:c r="N136" s="70" t="str">
        <x:v>https://apcentral.collegeboard.org/courses</x:v>
      </x:c>
    </x:row>
    <x:row r="137" ht="72" customHeight="1">
      <x:c r="A137" s="71" t="str">
        <x:v>C136</x:v>
      </x:c>
      <x:c r="B137" s="70" t="str">
        <x:v>AP</x:v>
      </x:c>
      <x:c r="C137" s="70" t="str">
        <x:v>学历学科</x:v>
      </x:c>
      <x:c r="D137" s="70" t="str">
        <x:v>AP</x:v>
      </x:c>
      <x:c r="E137" s="70" t="str">
        <x:v>目录层核对</x:v>
      </x:c>
      <x:c r="F137" s="70" t="str">
        <x:v>2026–27课程目录</x:v>
      </x:c>
      <x:c r="G137" s="70" t="str">
        <x:v>启用前按年份和本校授权复核</x:v>
      </x:c>
      <x:c r="H137" s="70" t="str">
        <x:v>课程目录层</x:v>
      </x:c>
      <x:c r="I137" s="70" t="str">
        <x:v>校内成绩按学校规则；外考成绩不自动换GPA</x:v>
      </x:c>
      <x:c r="J137" s="70" t="str">
        <x:v>人工选择与审核</x:v>
      </x:c>
      <x:c r="K137" s="70" t="str">
        <x:v>未预填官方代码</x:v>
      </x:c>
      <x:c r="L137" s="70" t="str"/>
      <x:c r="M137" s="70" t="str">
        <x:v>V3-AP</x:v>
      </x:c>
      <x:c r="N137" s="70" t="str">
        <x:v>https://apcentral.collegeboard.org/courses</x:v>
      </x:c>
    </x:row>
    <x:row r="138" ht="72" customHeight="1">
      <x:c r="A138" s="71" t="str">
        <x:v>C137</x:v>
      </x:c>
      <x:c r="B138" s="70" t="str">
        <x:v>AP</x:v>
      </x:c>
      <x:c r="C138" s="70" t="str">
        <x:v>学历学科</x:v>
      </x:c>
      <x:c r="D138" s="70" t="str">
        <x:v>AP</x:v>
      </x:c>
      <x:c r="E138" s="70" t="str">
        <x:v>目录层核对</x:v>
      </x:c>
      <x:c r="F138" s="70" t="str">
        <x:v>2026–27课程目录</x:v>
      </x:c>
      <x:c r="G138" s="70" t="str">
        <x:v>启用前按年份和本校授权复核</x:v>
      </x:c>
      <x:c r="H138" s="70" t="str">
        <x:v>课程目录层</x:v>
      </x:c>
      <x:c r="I138" s="70" t="str">
        <x:v>校内成绩按学校规则；外考成绩不自动换GPA</x:v>
      </x:c>
      <x:c r="J138" s="70" t="str">
        <x:v>人工选择与审核</x:v>
      </x:c>
      <x:c r="K138" s="70" t="str">
        <x:v>未预填官方代码</x:v>
      </x:c>
      <x:c r="L138" s="70" t="str"/>
      <x:c r="M138" s="70" t="str">
        <x:v>V3-AP</x:v>
      </x:c>
      <x:c r="N138" s="70" t="str">
        <x:v>https://apcentral.collegeboard.org/courses</x:v>
      </x:c>
    </x:row>
    <x:row r="139" ht="72" customHeight="1">
      <x:c r="A139" s="71" t="str">
        <x:v>C138</x:v>
      </x:c>
      <x:c r="B139" s="70" t="str">
        <x:v>AP</x:v>
      </x:c>
      <x:c r="C139" s="70" t="str">
        <x:v>学历学科</x:v>
      </x:c>
      <x:c r="D139" s="70" t="str">
        <x:v>AP</x:v>
      </x:c>
      <x:c r="E139" s="70" t="str">
        <x:v>目录层核对</x:v>
      </x:c>
      <x:c r="F139" s="70" t="str">
        <x:v>2026–27课程目录</x:v>
      </x:c>
      <x:c r="G139" s="70" t="str">
        <x:v>启用前按年份和本校授权复核</x:v>
      </x:c>
      <x:c r="H139" s="70" t="str">
        <x:v>课程目录层</x:v>
      </x:c>
      <x:c r="I139" s="70" t="str">
        <x:v>校内成绩按学校规则；外考成绩不自动换GPA</x:v>
      </x:c>
      <x:c r="J139" s="70" t="str">
        <x:v>人工选择与审核</x:v>
      </x:c>
      <x:c r="K139" s="70" t="str">
        <x:v>未预填官方代码</x:v>
      </x:c>
      <x:c r="L139" s="70" t="str"/>
      <x:c r="M139" s="70" t="str">
        <x:v>V3-AP</x:v>
      </x:c>
      <x:c r="N139" s="70" t="str">
        <x:v>https://apcentral.collegeboard.org/courses</x:v>
      </x:c>
    </x:row>
    <x:row r="140" ht="72" customHeight="1">
      <x:c r="A140" s="71" t="str">
        <x:v>C139</x:v>
      </x:c>
      <x:c r="B140" s="70" t="str">
        <x:v>AP</x:v>
      </x:c>
      <x:c r="C140" s="70" t="str">
        <x:v>学历学科</x:v>
      </x:c>
      <x:c r="D140" s="70" t="str">
        <x:v>AP</x:v>
      </x:c>
      <x:c r="E140" s="70" t="str">
        <x:v>目录层核对</x:v>
      </x:c>
      <x:c r="F140" s="70" t="str">
        <x:v>2026–27课程目录</x:v>
      </x:c>
      <x:c r="G140" s="70" t="str">
        <x:v>启用前按年份和本校授权复核</x:v>
      </x:c>
      <x:c r="H140" s="70" t="str">
        <x:v>课程目录层</x:v>
      </x:c>
      <x:c r="I140" s="70" t="str">
        <x:v>校内成绩按学校规则；外考成绩不自动换GPA</x:v>
      </x:c>
      <x:c r="J140" s="70" t="str">
        <x:v>人工选择与审核</x:v>
      </x:c>
      <x:c r="K140" s="70" t="str">
        <x:v>未预填官方代码</x:v>
      </x:c>
      <x:c r="L140" s="70" t="str"/>
      <x:c r="M140" s="70" t="str">
        <x:v>V3-AP</x:v>
      </x:c>
      <x:c r="N140" s="70" t="str">
        <x:v>https://apcentral.collegeboard.org/courses</x:v>
      </x:c>
    </x:row>
    <x:row r="141" ht="72" customHeight="1">
      <x:c r="A141" s="71" t="str">
        <x:v>C140</x:v>
      </x:c>
      <x:c r="B141" s="70" t="str">
        <x:v>AP</x:v>
      </x:c>
      <x:c r="C141" s="70" t="str">
        <x:v>学历学科</x:v>
      </x:c>
      <x:c r="D141" s="70" t="str">
        <x:v>AP</x:v>
      </x:c>
      <x:c r="E141" s="70" t="str">
        <x:v>目录层核对</x:v>
      </x:c>
      <x:c r="F141" s="70" t="str">
        <x:v>2026–27课程目录</x:v>
      </x:c>
      <x:c r="G141" s="70" t="str">
        <x:v>启用前按年份和本校授权复核</x:v>
      </x:c>
      <x:c r="H141" s="70" t="str">
        <x:v>课程目录层</x:v>
      </x:c>
      <x:c r="I141" s="70" t="str">
        <x:v>校内成绩按学校规则；外考成绩不自动换GPA</x:v>
      </x:c>
      <x:c r="J141" s="70" t="str">
        <x:v>人工选择与审核</x:v>
      </x:c>
      <x:c r="K141" s="70" t="str">
        <x:v>未预填官方代码</x:v>
      </x:c>
      <x:c r="L141" s="70" t="str"/>
      <x:c r="M141" s="70" t="str">
        <x:v>V3-AP</x:v>
      </x:c>
      <x:c r="N141" s="70" t="str">
        <x:v>https://apcentral.collegeboard.org/courses</x:v>
      </x:c>
    </x:row>
    <x:row r="142" ht="72" customHeight="1">
      <x:c r="A142" s="71" t="str">
        <x:v>C141</x:v>
      </x:c>
      <x:c r="B142" s="70" t="str">
        <x:v>AP</x:v>
      </x:c>
      <x:c r="C142" s="70" t="str">
        <x:v>学历学科</x:v>
      </x:c>
      <x:c r="D142" s="70" t="str">
        <x:v>AP</x:v>
      </x:c>
      <x:c r="E142" s="70" t="str">
        <x:v>目录层核对</x:v>
      </x:c>
      <x:c r="F142" s="70" t="str">
        <x:v>2026–27课程目录</x:v>
      </x:c>
      <x:c r="G142" s="70" t="str">
        <x:v>启用前按年份和本校授权复核</x:v>
      </x:c>
      <x:c r="H142" s="70" t="str">
        <x:v>课程目录层</x:v>
      </x:c>
      <x:c r="I142" s="70" t="str">
        <x:v>校内成绩按学校规则；外考成绩不自动换GPA</x:v>
      </x:c>
      <x:c r="J142" s="70" t="str">
        <x:v>人工选择与审核</x:v>
      </x:c>
      <x:c r="K142" s="70" t="str">
        <x:v>未预填官方代码</x:v>
      </x:c>
      <x:c r="L142" s="70" t="str"/>
      <x:c r="M142" s="70" t="str">
        <x:v>V3-AP</x:v>
      </x:c>
      <x:c r="N142" s="70" t="str">
        <x:v>https://apcentral.collegeboard.org/courses</x:v>
      </x:c>
    </x:row>
    <x:row r="143" ht="72" customHeight="1">
      <x:c r="A143" s="71" t="str">
        <x:v>C142</x:v>
      </x:c>
      <x:c r="B143" s="70" t="str">
        <x:v>AP</x:v>
      </x:c>
      <x:c r="C143" s="70" t="str">
        <x:v>学历学科</x:v>
      </x:c>
      <x:c r="D143" s="70" t="str">
        <x:v>AP</x:v>
      </x:c>
      <x:c r="E143" s="70" t="str">
        <x:v>目录层核对</x:v>
      </x:c>
      <x:c r="F143" s="70" t="str">
        <x:v>2026–27课程目录</x:v>
      </x:c>
      <x:c r="G143" s="70" t="str">
        <x:v>启用前按年份和本校授权复核</x:v>
      </x:c>
      <x:c r="H143" s="70" t="str">
        <x:v>课程目录层</x:v>
      </x:c>
      <x:c r="I143" s="70" t="str">
        <x:v>校内成绩按学校规则；外考成绩不自动换GPA</x:v>
      </x:c>
      <x:c r="J143" s="70" t="str">
        <x:v>人工选择与审核</x:v>
      </x:c>
      <x:c r="K143" s="70" t="str">
        <x:v>未预填官方代码</x:v>
      </x:c>
      <x:c r="L143" s="70" t="str"/>
      <x:c r="M143" s="70" t="str">
        <x:v>V3-AP</x:v>
      </x:c>
      <x:c r="N143" s="70" t="str">
        <x:v>https://apcentral.collegeboard.org/courses</x:v>
      </x:c>
    </x:row>
    <x:row r="144" ht="72" customHeight="1">
      <x:c r="A144" s="71" t="str">
        <x:v>C143</x:v>
      </x:c>
      <x:c r="B144" s="70" t="str">
        <x:v>AP</x:v>
      </x:c>
      <x:c r="C144" s="70" t="str">
        <x:v>学历学科</x:v>
      </x:c>
      <x:c r="D144" s="70" t="str">
        <x:v>AP</x:v>
      </x:c>
      <x:c r="E144" s="70" t="str">
        <x:v>目录层核对</x:v>
      </x:c>
      <x:c r="F144" s="70" t="str">
        <x:v>2026–27课程目录</x:v>
      </x:c>
      <x:c r="G144" s="70" t="str">
        <x:v>启用前按年份和本校授权复核</x:v>
      </x:c>
      <x:c r="H144" s="70" t="str">
        <x:v>课程目录层</x:v>
      </x:c>
      <x:c r="I144" s="70" t="str">
        <x:v>校内成绩按学校规则；外考成绩不自动换GPA</x:v>
      </x:c>
      <x:c r="J144" s="70" t="str">
        <x:v>人工选择与审核</x:v>
      </x:c>
      <x:c r="K144" s="70" t="str">
        <x:v>未预填官方代码</x:v>
      </x:c>
      <x:c r="L144" s="70" t="str"/>
      <x:c r="M144" s="70" t="str">
        <x:v>V3-AP</x:v>
      </x:c>
      <x:c r="N144" s="70" t="str">
        <x:v>https://apcentral.collegeboard.org/courses</x:v>
      </x:c>
    </x:row>
    <x:row r="145" ht="72" customHeight="1">
      <x:c r="A145" s="71" t="str">
        <x:v>C144</x:v>
      </x:c>
      <x:c r="B145" s="70" t="str">
        <x:v>AP</x:v>
      </x:c>
      <x:c r="C145" s="70" t="str">
        <x:v>学历学科</x:v>
      </x:c>
      <x:c r="D145" s="70" t="str">
        <x:v>AP</x:v>
      </x:c>
      <x:c r="E145" s="70" t="str">
        <x:v>目录层核对</x:v>
      </x:c>
      <x:c r="F145" s="70" t="str">
        <x:v>2026–27课程目录</x:v>
      </x:c>
      <x:c r="G145" s="70" t="str">
        <x:v>启用前按年份和本校授权复核</x:v>
      </x:c>
      <x:c r="H145" s="70" t="str">
        <x:v>课程目录层</x:v>
      </x:c>
      <x:c r="I145" s="70" t="str">
        <x:v>校内成绩按学校规则；外考成绩不自动换GPA</x:v>
      </x:c>
      <x:c r="J145" s="70" t="str">
        <x:v>人工选择与审核</x:v>
      </x:c>
      <x:c r="K145" s="70" t="str">
        <x:v>未预填官方代码</x:v>
      </x:c>
      <x:c r="L145" s="70" t="str"/>
      <x:c r="M145" s="70" t="str">
        <x:v>V3-AP</x:v>
      </x:c>
      <x:c r="N145" s="70" t="str">
        <x:v>https://apcentral.collegeboard.org/courses</x:v>
      </x:c>
    </x:row>
    <x:row r="146" ht="72" customHeight="1">
      <x:c r="A146" s="71" t="str">
        <x:v>C145</x:v>
      </x:c>
      <x:c r="B146" s="70" t="str">
        <x:v>AP</x:v>
      </x:c>
      <x:c r="C146" s="70" t="str">
        <x:v>学历学科</x:v>
      </x:c>
      <x:c r="D146" s="70" t="str">
        <x:v>AP</x:v>
      </x:c>
      <x:c r="E146" s="70" t="str">
        <x:v>目录层核对</x:v>
      </x:c>
      <x:c r="F146" s="70" t="str">
        <x:v>2026–27课程目录</x:v>
      </x:c>
      <x:c r="G146" s="70" t="str">
        <x:v>启用前按年份和本校授权复核</x:v>
      </x:c>
      <x:c r="H146" s="70" t="str">
        <x:v>课程目录层</x:v>
      </x:c>
      <x:c r="I146" s="70" t="str">
        <x:v>校内成绩按学校规则；外考成绩不自动换GPA</x:v>
      </x:c>
      <x:c r="J146" s="70" t="str">
        <x:v>人工选择与审核</x:v>
      </x:c>
      <x:c r="K146" s="70" t="str">
        <x:v>未预填官方代码</x:v>
      </x:c>
      <x:c r="L146" s="70" t="str"/>
      <x:c r="M146" s="70" t="str">
        <x:v>V3-AP</x:v>
      </x:c>
      <x:c r="N146" s="70" t="str">
        <x:v>https://apcentral.collegeboard.org/courses</x:v>
      </x:c>
    </x:row>
    <x:row r="147" ht="72" customHeight="1">
      <x:c r="A147" s="71" t="str">
        <x:v>C146</x:v>
      </x:c>
      <x:c r="B147" s="70" t="str">
        <x:v>AP</x:v>
      </x:c>
      <x:c r="C147" s="70" t="str">
        <x:v>学历学科</x:v>
      </x:c>
      <x:c r="D147" s="70" t="str">
        <x:v>AP</x:v>
      </x:c>
      <x:c r="E147" s="70" t="str">
        <x:v>目录层核对</x:v>
      </x:c>
      <x:c r="F147" s="70" t="str">
        <x:v>2026–27课程目录</x:v>
      </x:c>
      <x:c r="G147" s="70" t="str">
        <x:v>启用前按年份和本校授权复核</x:v>
      </x:c>
      <x:c r="H147" s="70" t="str">
        <x:v>课程目录层</x:v>
      </x:c>
      <x:c r="I147" s="70" t="str">
        <x:v>校内成绩按学校规则；外考成绩不自动换GPA</x:v>
      </x:c>
      <x:c r="J147" s="70" t="str">
        <x:v>人工选择与审核</x:v>
      </x:c>
      <x:c r="K147" s="70" t="str">
        <x:v>未预填官方代码</x:v>
      </x:c>
      <x:c r="L147" s="70" t="str"/>
      <x:c r="M147" s="70" t="str">
        <x:v>V3-AP</x:v>
      </x:c>
      <x:c r="N147" s="70" t="str">
        <x:v>https://apcentral.collegeboard.org/courses</x:v>
      </x:c>
    </x:row>
    <x:row r="148" ht="72" customHeight="1">
      <x:c r="A148" s="71" t="str">
        <x:v>C147</x:v>
      </x:c>
      <x:c r="B148" s="70" t="str">
        <x:v>AP</x:v>
      </x:c>
      <x:c r="C148" s="70" t="str">
        <x:v>学历学科</x:v>
      </x:c>
      <x:c r="D148" s="70" t="str">
        <x:v>AP</x:v>
      </x:c>
      <x:c r="E148" s="70" t="str">
        <x:v>目录层核对</x:v>
      </x:c>
      <x:c r="F148" s="70" t="str">
        <x:v>2026–27课程目录</x:v>
      </x:c>
      <x:c r="G148" s="70" t="str">
        <x:v>启用前按年份和本校授权复核</x:v>
      </x:c>
      <x:c r="H148" s="70" t="str">
        <x:v>课程目录层</x:v>
      </x:c>
      <x:c r="I148" s="70" t="str">
        <x:v>校内成绩按学校规则；外考成绩不自动换GPA</x:v>
      </x:c>
      <x:c r="J148" s="70" t="str">
        <x:v>人工选择与审核</x:v>
      </x:c>
      <x:c r="K148" s="70" t="str">
        <x:v>未预填官方代码</x:v>
      </x:c>
      <x:c r="L148" s="70" t="str"/>
      <x:c r="M148" s="70" t="str">
        <x:v>V3-AP</x:v>
      </x:c>
      <x:c r="N148" s="70" t="str">
        <x:v>https://apcentral.collegeboard.org/courses</x:v>
      </x:c>
    </x:row>
    <x:row r="149" ht="72" customHeight="1">
      <x:c r="A149" s="71" t="str">
        <x:v>C148</x:v>
      </x:c>
      <x:c r="B149" s="70" t="str">
        <x:v>AP</x:v>
      </x:c>
      <x:c r="C149" s="70" t="str">
        <x:v>学历学科</x:v>
      </x:c>
      <x:c r="D149" s="70" t="str">
        <x:v>AP</x:v>
      </x:c>
      <x:c r="E149" s="70" t="str">
        <x:v>目录层核对</x:v>
      </x:c>
      <x:c r="F149" s="70" t="str">
        <x:v>2026–27课程目录</x:v>
      </x:c>
      <x:c r="G149" s="70" t="str">
        <x:v>启用前按年份和本校授权复核</x:v>
      </x:c>
      <x:c r="H149" s="70" t="str">
        <x:v>课程目录层</x:v>
      </x:c>
      <x:c r="I149" s="70" t="str">
        <x:v>校内成绩按学校规则；外考成绩不自动换GPA</x:v>
      </x:c>
      <x:c r="J149" s="70" t="str">
        <x:v>人工选择与审核</x:v>
      </x:c>
      <x:c r="K149" s="70" t="str">
        <x:v>未预填官方代码</x:v>
      </x:c>
      <x:c r="L149" s="70" t="str"/>
      <x:c r="M149" s="70" t="str">
        <x:v>V3-AP</x:v>
      </x:c>
      <x:c r="N149" s="70" t="str">
        <x:v>https://apcentral.collegeboard.org/courses</x:v>
      </x:c>
    </x:row>
    <x:row r="150" ht="72" customHeight="1">
      <x:c r="A150" s="71" t="str">
        <x:v>C149</x:v>
      </x:c>
      <x:c r="B150" s="70" t="str">
        <x:v>AP</x:v>
      </x:c>
      <x:c r="C150" s="70" t="str">
        <x:v>学历学科</x:v>
      </x:c>
      <x:c r="D150" s="70" t="str">
        <x:v>AP</x:v>
      </x:c>
      <x:c r="E150" s="70" t="str">
        <x:v>目录层核对</x:v>
      </x:c>
      <x:c r="F150" s="70" t="str">
        <x:v>2026–27课程目录</x:v>
      </x:c>
      <x:c r="G150" s="70" t="str">
        <x:v>启用前按年份和本校授权复核</x:v>
      </x:c>
      <x:c r="H150" s="70" t="str">
        <x:v>课程目录层</x:v>
      </x:c>
      <x:c r="I150" s="70" t="str">
        <x:v>校内成绩按学校规则；外考成绩不自动换GPA</x:v>
      </x:c>
      <x:c r="J150" s="70" t="str">
        <x:v>人工选择与审核</x:v>
      </x:c>
      <x:c r="K150" s="70" t="str">
        <x:v>未预填官方代码</x:v>
      </x:c>
      <x:c r="L150" s="70" t="str"/>
      <x:c r="M150" s="70" t="str">
        <x:v>V3-AP</x:v>
      </x:c>
      <x:c r="N150" s="70" t="str">
        <x:v>https://apcentral.collegeboard.org/courses</x:v>
      </x:c>
    </x:row>
    <x:row r="151" ht="72" customHeight="1">
      <x:c r="A151" s="71" t="str">
        <x:v>C150</x:v>
      </x:c>
      <x:c r="B151" s="70" t="str">
        <x:v>AP</x:v>
      </x:c>
      <x:c r="C151" s="70" t="str">
        <x:v>学历学科</x:v>
      </x:c>
      <x:c r="D151" s="70" t="str">
        <x:v>AP</x:v>
      </x:c>
      <x:c r="E151" s="70" t="str">
        <x:v>目录层核对</x:v>
      </x:c>
      <x:c r="F151" s="70" t="str">
        <x:v>2026–27课程目录</x:v>
      </x:c>
      <x:c r="G151" s="70" t="str">
        <x:v>启用前按年份和本校授权复核</x:v>
      </x:c>
      <x:c r="H151" s="70" t="str">
        <x:v>课程目录层</x:v>
      </x:c>
      <x:c r="I151" s="70" t="str">
        <x:v>校内成绩按学校规则；外考成绩不自动换GPA</x:v>
      </x:c>
      <x:c r="J151" s="70" t="str">
        <x:v>人工选择与审核</x:v>
      </x:c>
      <x:c r="K151" s="70" t="str">
        <x:v>未预填官方代码</x:v>
      </x:c>
      <x:c r="L151" s="70" t="str"/>
      <x:c r="M151" s="70" t="str">
        <x:v>V3-AP</x:v>
      </x:c>
      <x:c r="N151" s="70" t="str">
        <x:v>https://apcentral.collegeboard.org/courses</x:v>
      </x:c>
    </x:row>
    <x:row r="152" ht="72" customHeight="1">
      <x:c r="A152" s="71" t="str">
        <x:v>C151</x:v>
      </x:c>
      <x:c r="B152" s="70" t="str">
        <x:v>AP</x:v>
      </x:c>
      <x:c r="C152" s="70" t="str">
        <x:v>学历学科</x:v>
      </x:c>
      <x:c r="D152" s="70" t="str">
        <x:v>AP</x:v>
      </x:c>
      <x:c r="E152" s="70" t="str">
        <x:v>目录层核对</x:v>
      </x:c>
      <x:c r="F152" s="70" t="str">
        <x:v>2026–27课程目录</x:v>
      </x:c>
      <x:c r="G152" s="70" t="str">
        <x:v>启用前按年份和本校授权复核</x:v>
      </x:c>
      <x:c r="H152" s="70" t="str">
        <x:v>课程目录层</x:v>
      </x:c>
      <x:c r="I152" s="70" t="str">
        <x:v>校内成绩按学校规则；外考成绩不自动换GPA</x:v>
      </x:c>
      <x:c r="J152" s="70" t="str">
        <x:v>人工选择与审核</x:v>
      </x:c>
      <x:c r="K152" s="70" t="str">
        <x:v>未预填官方代码</x:v>
      </x:c>
      <x:c r="L152" s="70" t="str"/>
      <x:c r="M152" s="70" t="str">
        <x:v>V3-AP</x:v>
      </x:c>
      <x:c r="N152" s="70" t="str">
        <x:v>https://apcentral.collegeboard.org/courses</x:v>
      </x:c>
    </x:row>
    <x:row r="153" ht="72" customHeight="1">
      <x:c r="A153" s="71" t="str">
        <x:v>C152</x:v>
      </x:c>
      <x:c r="B153" s="70" t="str">
        <x:v>AP</x:v>
      </x:c>
      <x:c r="C153" s="70" t="str">
        <x:v>学历学科</x:v>
      </x:c>
      <x:c r="D153" s="70" t="str">
        <x:v>AP</x:v>
      </x:c>
      <x:c r="E153" s="70" t="str">
        <x:v>目录层核对</x:v>
      </x:c>
      <x:c r="F153" s="70" t="str">
        <x:v>2026–27课程目录</x:v>
      </x:c>
      <x:c r="G153" s="70" t="str">
        <x:v>启用前按年份和本校授权复核</x:v>
      </x:c>
      <x:c r="H153" s="70" t="str">
        <x:v>课程目录层</x:v>
      </x:c>
      <x:c r="I153" s="70" t="str">
        <x:v>校内成绩按学校规则；外考成绩不自动换GPA</x:v>
      </x:c>
      <x:c r="J153" s="70" t="str">
        <x:v>人工选择与审核</x:v>
      </x:c>
      <x:c r="K153" s="70" t="str">
        <x:v>未预填官方代码</x:v>
      </x:c>
      <x:c r="L153" s="70" t="str"/>
      <x:c r="M153" s="70" t="str">
        <x:v>V3-AP</x:v>
      </x:c>
      <x:c r="N153" s="70" t="str">
        <x:v>https://apcentral.collegeboard.org/courses</x:v>
      </x:c>
    </x:row>
    <x:row r="154" ht="72" customHeight="1">
      <x:c r="A154" s="71" t="str">
        <x:v>C153</x:v>
      </x:c>
      <x:c r="B154" s="70" t="str">
        <x:v>AP</x:v>
      </x:c>
      <x:c r="C154" s="70" t="str">
        <x:v>学历学科</x:v>
      </x:c>
      <x:c r="D154" s="70" t="str">
        <x:v>AP</x:v>
      </x:c>
      <x:c r="E154" s="70" t="str">
        <x:v>目录层核对</x:v>
      </x:c>
      <x:c r="F154" s="70" t="str">
        <x:v>2026–27课程目录</x:v>
      </x:c>
      <x:c r="G154" s="70" t="str">
        <x:v>启用前按年份和本校授权复核</x:v>
      </x:c>
      <x:c r="H154" s="70" t="str">
        <x:v>课程目录层</x:v>
      </x:c>
      <x:c r="I154" s="70" t="str">
        <x:v>校内成绩按学校规则；外考成绩不自动换GPA</x:v>
      </x:c>
      <x:c r="J154" s="70" t="str">
        <x:v>人工选择与审核</x:v>
      </x:c>
      <x:c r="K154" s="70" t="str">
        <x:v>未预填官方代码</x:v>
      </x:c>
      <x:c r="L154" s="70" t="str"/>
      <x:c r="M154" s="70" t="str">
        <x:v>V3-AP</x:v>
      </x:c>
      <x:c r="N154" s="70" t="str">
        <x:v>https://apcentral.collegeboard.org/courses</x:v>
      </x:c>
    </x:row>
    <x:row r="155" ht="72" customHeight="1">
      <x:c r="A155" s="71" t="str">
        <x:v>C154</x:v>
      </x:c>
      <x:c r="B155" s="70" t="str">
        <x:v>AP</x:v>
      </x:c>
      <x:c r="C155" s="70" t="str">
        <x:v>学历学科</x:v>
      </x:c>
      <x:c r="D155" s="70" t="str">
        <x:v>AP</x:v>
      </x:c>
      <x:c r="E155" s="70" t="str">
        <x:v>目录层核对</x:v>
      </x:c>
      <x:c r="F155" s="70" t="str">
        <x:v>2026–27课程目录</x:v>
      </x:c>
      <x:c r="G155" s="70" t="str">
        <x:v>启用前按年份和本校授权复核</x:v>
      </x:c>
      <x:c r="H155" s="70" t="str">
        <x:v>课程目录层</x:v>
      </x:c>
      <x:c r="I155" s="70" t="str">
        <x:v>校内成绩按学校规则；外考成绩不自动换GPA</x:v>
      </x:c>
      <x:c r="J155" s="70" t="str">
        <x:v>人工选择与审核</x:v>
      </x:c>
      <x:c r="K155" s="70" t="str">
        <x:v>未预填官方代码</x:v>
      </x:c>
      <x:c r="L155" s="70" t="str"/>
      <x:c r="M155" s="70" t="str">
        <x:v>V3-AP</x:v>
      </x:c>
      <x:c r="N155" s="70" t="str">
        <x:v>https://apcentral.collegeboard.org/courses</x:v>
      </x:c>
    </x:row>
    <x:row r="156" ht="72" customHeight="1">
      <x:c r="A156" s="71" t="str">
        <x:v>C155</x:v>
      </x:c>
      <x:c r="B156" s="70" t="str">
        <x:v>AP</x:v>
      </x:c>
      <x:c r="C156" s="70" t="str">
        <x:v>学历学科</x:v>
      </x:c>
      <x:c r="D156" s="70" t="str">
        <x:v>AP</x:v>
      </x:c>
      <x:c r="E156" s="70" t="str">
        <x:v>目录层核对</x:v>
      </x:c>
      <x:c r="F156" s="70" t="str">
        <x:v>2026–27课程目录</x:v>
      </x:c>
      <x:c r="G156" s="70" t="str">
        <x:v>启用前按年份和本校授权复核</x:v>
      </x:c>
      <x:c r="H156" s="70" t="str">
        <x:v>课程目录层</x:v>
      </x:c>
      <x:c r="I156" s="70" t="str">
        <x:v>校内成绩按学校规则；外考成绩不自动换GPA</x:v>
      </x:c>
      <x:c r="J156" s="70" t="str">
        <x:v>人工选择与审核</x:v>
      </x:c>
      <x:c r="K156" s="70" t="str">
        <x:v>未预填官方代码</x:v>
      </x:c>
      <x:c r="L156" s="70" t="str"/>
      <x:c r="M156" s="70" t="str">
        <x:v>V3-AP</x:v>
      </x:c>
      <x:c r="N156" s="70" t="str">
        <x:v>https://apcentral.collegeboard.org/courses</x:v>
      </x:c>
    </x:row>
    <x:row r="157" ht="72" customHeight="1">
      <x:c r="A157" s="71" t="str">
        <x:v>C156</x:v>
      </x:c>
      <x:c r="B157" s="70" t="str">
        <x:v>AP</x:v>
      </x:c>
      <x:c r="C157" s="70" t="str">
        <x:v>学历学科</x:v>
      </x:c>
      <x:c r="D157" s="70" t="str">
        <x:v>AP</x:v>
      </x:c>
      <x:c r="E157" s="70" t="str">
        <x:v>目录层核对</x:v>
      </x:c>
      <x:c r="F157" s="70" t="str">
        <x:v>2026–27课程目录</x:v>
      </x:c>
      <x:c r="G157" s="70" t="str">
        <x:v>启用前按年份和本校授权复核</x:v>
      </x:c>
      <x:c r="H157" s="70" t="str">
        <x:v>课程目录层</x:v>
      </x:c>
      <x:c r="I157" s="70" t="str">
        <x:v>校内成绩按学校规则；外考成绩不自动换GPA</x:v>
      </x:c>
      <x:c r="J157" s="70" t="str">
        <x:v>人工选择与审核</x:v>
      </x:c>
      <x:c r="K157" s="70" t="str">
        <x:v>未预填官方代码</x:v>
      </x:c>
      <x:c r="L157" s="70" t="str"/>
      <x:c r="M157" s="70" t="str">
        <x:v>V3-AP</x:v>
      </x:c>
      <x:c r="N157" s="70" t="str">
        <x:v>https://apcentral.collegeboard.org/courses</x:v>
      </x:c>
    </x:row>
    <x:row r="158" ht="72" customHeight="1">
      <x:c r="A158" s="71" t="str">
        <x:v>C157</x:v>
      </x:c>
      <x:c r="B158" s="70" t="str">
        <x:v>AP</x:v>
      </x:c>
      <x:c r="C158" s="70" t="str">
        <x:v>学历学科</x:v>
      </x:c>
      <x:c r="D158" s="70" t="str">
        <x:v>AP</x:v>
      </x:c>
      <x:c r="E158" s="70" t="str">
        <x:v>目录层核对</x:v>
      </x:c>
      <x:c r="F158" s="70" t="str">
        <x:v>2026–27课程目录</x:v>
      </x:c>
      <x:c r="G158" s="70" t="str">
        <x:v>启用前按年份和本校授权复核</x:v>
      </x:c>
      <x:c r="H158" s="70" t="str">
        <x:v>课程目录层</x:v>
      </x:c>
      <x:c r="I158" s="70" t="str">
        <x:v>校内成绩按学校规则；外考成绩不自动换GPA</x:v>
      </x:c>
      <x:c r="J158" s="70" t="str">
        <x:v>人工选择与审核</x:v>
      </x:c>
      <x:c r="K158" s="70" t="str">
        <x:v>未预填官方代码</x:v>
      </x:c>
      <x:c r="L158" s="70" t="str"/>
      <x:c r="M158" s="70" t="str">
        <x:v>V3-AP</x:v>
      </x:c>
      <x:c r="N158" s="70" t="str">
        <x:v>https://apcentral.collegeboard.org/courses</x:v>
      </x:c>
    </x:row>
    <x:row r="159" ht="72" customHeight="1">
      <x:c r="A159" s="71" t="str">
        <x:v>C158</x:v>
      </x:c>
      <x:c r="B159" s="70" t="str">
        <x:v>AP</x:v>
      </x:c>
      <x:c r="C159" s="70" t="str">
        <x:v>学历学科</x:v>
      </x:c>
      <x:c r="D159" s="70" t="str">
        <x:v>AP</x:v>
      </x:c>
      <x:c r="E159" s="70" t="str">
        <x:v>目录层核对</x:v>
      </x:c>
      <x:c r="F159" s="70" t="str">
        <x:v>2026–27课程目录</x:v>
      </x:c>
      <x:c r="G159" s="70" t="str">
        <x:v>启用前按年份和本校授权复核</x:v>
      </x:c>
      <x:c r="H159" s="70" t="str">
        <x:v>课程目录层</x:v>
      </x:c>
      <x:c r="I159" s="70" t="str">
        <x:v>校内成绩按学校规则；外考成绩不自动换GPA</x:v>
      </x:c>
      <x:c r="J159" s="70" t="str">
        <x:v>人工选择与审核</x:v>
      </x:c>
      <x:c r="K159" s="70" t="str">
        <x:v>未预填官方代码</x:v>
      </x:c>
      <x:c r="L159" s="70" t="str"/>
      <x:c r="M159" s="70" t="str">
        <x:v>V3-AP</x:v>
      </x:c>
      <x:c r="N159" s="70" t="str">
        <x:v>https://apcentral.collegeboard.org/courses</x:v>
      </x:c>
    </x:row>
    <x:row r="160" ht="72" customHeight="1">
      <x:c r="A160" s="71" t="str">
        <x:v>C159</x:v>
      </x:c>
      <x:c r="B160" s="70" t="str">
        <x:v>AP</x:v>
      </x:c>
      <x:c r="C160" s="70" t="str">
        <x:v>学历学科</x:v>
      </x:c>
      <x:c r="D160" s="70" t="str">
        <x:v>AP</x:v>
      </x:c>
      <x:c r="E160" s="70" t="str">
        <x:v>目录层核对</x:v>
      </x:c>
      <x:c r="F160" s="70" t="str">
        <x:v>2026–27课程目录</x:v>
      </x:c>
      <x:c r="G160" s="70" t="str">
        <x:v>启用前按年份和本校授权复核</x:v>
      </x:c>
      <x:c r="H160" s="70" t="str">
        <x:v>课程目录层</x:v>
      </x:c>
      <x:c r="I160" s="70" t="str">
        <x:v>校内成绩按学校规则；外考成绩不自动换GPA</x:v>
      </x:c>
      <x:c r="J160" s="70" t="str">
        <x:v>人工选择与审核</x:v>
      </x:c>
      <x:c r="K160" s="70" t="str">
        <x:v>未预填官方代码</x:v>
      </x:c>
      <x:c r="L160" s="70" t="str"/>
      <x:c r="M160" s="70" t="str">
        <x:v>V3-AP</x:v>
      </x:c>
      <x:c r="N160" s="70" t="str">
        <x:v>https://apcentral.collegeboard.org/courses</x:v>
      </x:c>
    </x:row>
    <x:row r="161" ht="72" customHeight="1">
      <x:c r="A161" s="71" t="str">
        <x:v>C160</x:v>
      </x:c>
      <x:c r="B161" s="70" t="str">
        <x:v>AP</x:v>
      </x:c>
      <x:c r="C161" s="70" t="str">
        <x:v>学历学科</x:v>
      </x:c>
      <x:c r="D161" s="70" t="str">
        <x:v>AP</x:v>
      </x:c>
      <x:c r="E161" s="70" t="str">
        <x:v>目录层核对</x:v>
      </x:c>
      <x:c r="F161" s="70" t="str">
        <x:v>2026–27课程目录</x:v>
      </x:c>
      <x:c r="G161" s="70" t="str">
        <x:v>启用前按年份和本校授权复核</x:v>
      </x:c>
      <x:c r="H161" s="70" t="str">
        <x:v>课程目录层</x:v>
      </x:c>
      <x:c r="I161" s="70" t="str">
        <x:v>校内成绩按学校规则；外考成绩不自动换GPA</x:v>
      </x:c>
      <x:c r="J161" s="70" t="str">
        <x:v>人工选择与审核</x:v>
      </x:c>
      <x:c r="K161" s="70" t="str">
        <x:v>未预填官方代码</x:v>
      </x:c>
      <x:c r="L161" s="70" t="str"/>
      <x:c r="M161" s="70" t="str">
        <x:v>V3-AP</x:v>
      </x:c>
      <x:c r="N161" s="70" t="str">
        <x:v>https://apcentral.collegeboard.org/courses</x:v>
      </x:c>
    </x:row>
    <x:row r="162" ht="72" customHeight="1">
      <x:c r="A162" s="71" t="str">
        <x:v>C161</x:v>
      </x:c>
      <x:c r="B162" s="70" t="str">
        <x:v>AP</x:v>
      </x:c>
      <x:c r="C162" s="70" t="str">
        <x:v>学历学科</x:v>
      </x:c>
      <x:c r="D162" s="70" t="str">
        <x:v>AP</x:v>
      </x:c>
      <x:c r="E162" s="70" t="str">
        <x:v>目录层核对</x:v>
      </x:c>
      <x:c r="F162" s="70" t="str">
        <x:v>2026–27课程目录</x:v>
      </x:c>
      <x:c r="G162" s="70" t="str">
        <x:v>启用前按年份和本校授权复核</x:v>
      </x:c>
      <x:c r="H162" s="70" t="str">
        <x:v>课程目录层</x:v>
      </x:c>
      <x:c r="I162" s="70" t="str">
        <x:v>校内成绩按学校规则；外考成绩不自动换GPA</x:v>
      </x:c>
      <x:c r="J162" s="70" t="str">
        <x:v>人工选择与审核</x:v>
      </x:c>
      <x:c r="K162" s="70" t="str">
        <x:v>未预填官方代码</x:v>
      </x:c>
      <x:c r="L162" s="70" t="str"/>
      <x:c r="M162" s="70" t="str">
        <x:v>V3-AP</x:v>
      </x:c>
      <x:c r="N162" s="70" t="str">
        <x:v>https://apcentral.collegeboard.org/courses</x:v>
      </x:c>
    </x:row>
    <x:row r="163" ht="72" customHeight="1">
      <x:c r="A163" s="71" t="str">
        <x:v>C162</x:v>
      </x:c>
      <x:c r="B163" s="70" t="str">
        <x:v>AP</x:v>
      </x:c>
      <x:c r="C163" s="70" t="str">
        <x:v>学历学科</x:v>
      </x:c>
      <x:c r="D163" s="70" t="str">
        <x:v>AP</x:v>
      </x:c>
      <x:c r="E163" s="70" t="str">
        <x:v>目录层核对</x:v>
      </x:c>
      <x:c r="F163" s="70" t="str">
        <x:v>2026–27课程目录</x:v>
      </x:c>
      <x:c r="G163" s="70" t="str">
        <x:v>启用前按年份和本校授权复核</x:v>
      </x:c>
      <x:c r="H163" s="70" t="str">
        <x:v>课程目录层</x:v>
      </x:c>
      <x:c r="I163" s="70" t="str">
        <x:v>校内成绩按学校规则；外考成绩不自动换GPA</x:v>
      </x:c>
      <x:c r="J163" s="70" t="str">
        <x:v>人工选择与审核</x:v>
      </x:c>
      <x:c r="K163" s="70" t="str">
        <x:v>未预填官方代码</x:v>
      </x:c>
      <x:c r="L163" s="70" t="str"/>
      <x:c r="M163" s="70" t="str">
        <x:v>V3-AP</x:v>
      </x:c>
      <x:c r="N163" s="70" t="str">
        <x:v>https://apcentral.collegeboard.org/courses</x:v>
      </x:c>
    </x:row>
    <x:row r="164" ht="72" customHeight="1">
      <x:c r="A164" s="71" t="str">
        <x:v>C163</x:v>
      </x:c>
      <x:c r="B164" s="70" t="str">
        <x:v>AP</x:v>
      </x:c>
      <x:c r="C164" s="70" t="str">
        <x:v>学历学科</x:v>
      </x:c>
      <x:c r="D164" s="70" t="str">
        <x:v>AP</x:v>
      </x:c>
      <x:c r="E164" s="70" t="str">
        <x:v>目录层核对</x:v>
      </x:c>
      <x:c r="F164" s="70" t="str">
        <x:v>2026–27课程目录</x:v>
      </x:c>
      <x:c r="G164" s="70" t="str">
        <x:v>启用前按年份和本校授权复核</x:v>
      </x:c>
      <x:c r="H164" s="70" t="str">
        <x:v>课程目录层</x:v>
      </x:c>
      <x:c r="I164" s="70" t="str">
        <x:v>校内成绩按学校规则；外考成绩不自动换GPA</x:v>
      </x:c>
      <x:c r="J164" s="70" t="str">
        <x:v>人工选择与审核</x:v>
      </x:c>
      <x:c r="K164" s="70" t="str">
        <x:v>未预填官方代码</x:v>
      </x:c>
      <x:c r="L164" s="70" t="str"/>
      <x:c r="M164" s="70" t="str">
        <x:v>V3-AP</x:v>
      </x:c>
      <x:c r="N164" s="70" t="str">
        <x:v>https://apcentral.collegeboard.org/courses</x:v>
      </x:c>
    </x:row>
    <x:row r="165" ht="72" customHeight="1">
      <x:c r="A165" s="71" t="str">
        <x:v>C164</x:v>
      </x:c>
      <x:c r="B165" s="70" t="str">
        <x:v>AP</x:v>
      </x:c>
      <x:c r="C165" s="70" t="str">
        <x:v>学历学科</x:v>
      </x:c>
      <x:c r="D165" s="70" t="str">
        <x:v>AP</x:v>
      </x:c>
      <x:c r="E165" s="70" t="str">
        <x:v>目录层核对</x:v>
      </x:c>
      <x:c r="F165" s="70" t="str">
        <x:v>2026–27课程目录</x:v>
      </x:c>
      <x:c r="G165" s="70" t="str">
        <x:v>启用前按年份和本校授权复核</x:v>
      </x:c>
      <x:c r="H165" s="70" t="str">
        <x:v>课程目录层</x:v>
      </x:c>
      <x:c r="I165" s="70" t="str">
        <x:v>校内成绩按学校规则；外考成绩不自动换GPA</x:v>
      </x:c>
      <x:c r="J165" s="70" t="str">
        <x:v>人工选择与审核</x:v>
      </x:c>
      <x:c r="K165" s="70" t="str">
        <x:v>未预填官方代码</x:v>
      </x:c>
      <x:c r="L165" s="70" t="str"/>
      <x:c r="M165" s="70" t="str">
        <x:v>V3-AP</x:v>
      </x:c>
      <x:c r="N165" s="70" t="str">
        <x:v>https://apcentral.collegeboard.org/courses</x:v>
      </x:c>
    </x:row>
    <x:row r="166" ht="72" customHeight="1">
      <x:c r="A166" s="71" t="str">
        <x:v>C165</x:v>
      </x:c>
      <x:c r="B166" s="70" t="str">
        <x:v>AP</x:v>
      </x:c>
      <x:c r="C166" s="70" t="str">
        <x:v>学历学科</x:v>
      </x:c>
      <x:c r="D166" s="70" t="str">
        <x:v>AP</x:v>
      </x:c>
      <x:c r="E166" s="70" t="str">
        <x:v>目录层核对</x:v>
      </x:c>
      <x:c r="F166" s="70" t="str">
        <x:v>2026–27课程目录</x:v>
      </x:c>
      <x:c r="G166" s="70" t="str">
        <x:v>启用前按年份和本校授权复核</x:v>
      </x:c>
      <x:c r="H166" s="70" t="str">
        <x:v>课程目录层</x:v>
      </x:c>
      <x:c r="I166" s="70" t="str">
        <x:v>校内成绩按学校规则；外考成绩不自动换GPA</x:v>
      </x:c>
      <x:c r="J166" s="70" t="str">
        <x:v>人工选择与审核</x:v>
      </x:c>
      <x:c r="K166" s="70" t="str">
        <x:v>未预填官方代码</x:v>
      </x:c>
      <x:c r="L166" s="70" t="str"/>
      <x:c r="M166" s="70" t="str">
        <x:v>V3-AP</x:v>
      </x:c>
      <x:c r="N166" s="70" t="str">
        <x:v>https://apcentral.collegeboard.org/courses</x:v>
      </x:c>
    </x:row>
    <x:row r="167" ht="72" customHeight="1">
      <x:c r="A167" s="71" t="str">
        <x:v>C166</x:v>
      </x:c>
      <x:c r="B167" s="70" t="str">
        <x:v>AP</x:v>
      </x:c>
      <x:c r="C167" s="70" t="str">
        <x:v>学历学科</x:v>
      </x:c>
      <x:c r="D167" s="70" t="str">
        <x:v>AP</x:v>
      </x:c>
      <x:c r="E167" s="70" t="str">
        <x:v>目录层核对</x:v>
      </x:c>
      <x:c r="F167" s="70" t="str">
        <x:v>2026–27课程目录</x:v>
      </x:c>
      <x:c r="G167" s="70" t="str">
        <x:v>启用前按年份和本校授权复核</x:v>
      </x:c>
      <x:c r="H167" s="70" t="str">
        <x:v>课程目录层</x:v>
      </x:c>
      <x:c r="I167" s="70" t="str">
        <x:v>校内成绩按学校规则；外考成绩不自动换GPA</x:v>
      </x:c>
      <x:c r="J167" s="70" t="str">
        <x:v>人工选择与审核</x:v>
      </x:c>
      <x:c r="K167" s="70" t="str">
        <x:v>未预填官方代码</x:v>
      </x:c>
      <x:c r="L167" s="70" t="str"/>
      <x:c r="M167" s="70" t="str">
        <x:v>V3-AP</x:v>
      </x:c>
      <x:c r="N167" s="70" t="str">
        <x:v>https://apcentral.collegeboard.org/courses</x:v>
      </x:c>
    </x:row>
    <x:row r="168" ht="72" customHeight="1">
      <x:c r="A168" s="71" t="str">
        <x:v>C167</x:v>
      </x:c>
      <x:c r="B168" s="70" t="str">
        <x:v>AP</x:v>
      </x:c>
      <x:c r="C168" s="70" t="str">
        <x:v>学历学科</x:v>
      </x:c>
      <x:c r="D168" s="70" t="str">
        <x:v>AP</x:v>
      </x:c>
      <x:c r="E168" s="70" t="str">
        <x:v>目录层核对</x:v>
      </x:c>
      <x:c r="F168" s="70" t="str">
        <x:v>2026–27课程目录</x:v>
      </x:c>
      <x:c r="G168" s="70" t="str">
        <x:v>启用前按年份和本校授权复核</x:v>
      </x:c>
      <x:c r="H168" s="70" t="str">
        <x:v>课程目录层</x:v>
      </x:c>
      <x:c r="I168" s="70" t="str">
        <x:v>校内成绩按学校规则；外考成绩不自动换GPA</x:v>
      </x:c>
      <x:c r="J168" s="70" t="str">
        <x:v>人工选择与审核</x:v>
      </x:c>
      <x:c r="K168" s="70" t="str">
        <x:v>未预填官方代码</x:v>
      </x:c>
      <x:c r="L168" s="70" t="str"/>
      <x:c r="M168" s="70" t="str">
        <x:v>V3-AP</x:v>
      </x:c>
      <x:c r="N168" s="70" t="str">
        <x:v>https://apcentral.collegeboard.org/courses</x:v>
      </x:c>
    </x:row>
    <x:row r="169" ht="72" customHeight="1">
      <x:c r="A169" s="71" t="str">
        <x:v>C168</x:v>
      </x:c>
      <x:c r="B169" s="70" t="str">
        <x:v>AP</x:v>
      </x:c>
      <x:c r="C169" s="70" t="str">
        <x:v>学历学科</x:v>
      </x:c>
      <x:c r="D169" s="70" t="str">
        <x:v>AP</x:v>
      </x:c>
      <x:c r="E169" s="70" t="str">
        <x:v>目录层核对</x:v>
      </x:c>
      <x:c r="F169" s="70" t="str">
        <x:v>2026–27课程目录</x:v>
      </x:c>
      <x:c r="G169" s="70" t="str">
        <x:v>启用前按年份和本校授权复核</x:v>
      </x:c>
      <x:c r="H169" s="70" t="str">
        <x:v>课程目录层</x:v>
      </x:c>
      <x:c r="I169" s="70" t="str">
        <x:v>校内成绩按学校规则；外考成绩不自动换GPA</x:v>
      </x:c>
      <x:c r="J169" s="70" t="str">
        <x:v>人工选择与审核</x:v>
      </x:c>
      <x:c r="K169" s="70" t="str">
        <x:v>未预填官方代码</x:v>
      </x:c>
      <x:c r="L169" s="70" t="str"/>
      <x:c r="M169" s="70" t="str">
        <x:v>V3-AP</x:v>
      </x:c>
      <x:c r="N169" s="70" t="str">
        <x:v>https://apcentral.collegeboard.org/courses</x:v>
      </x:c>
    </x:row>
    <x:row r="170" ht="72" customHeight="1">
      <x:c r="A170" s="71" t="str">
        <x:v>C169</x:v>
      </x:c>
      <x:c r="B170" s="70" t="str">
        <x:v>AP</x:v>
      </x:c>
      <x:c r="C170" s="70" t="str">
        <x:v>学历学科</x:v>
      </x:c>
      <x:c r="D170" s="70" t="str">
        <x:v>AP</x:v>
      </x:c>
      <x:c r="E170" s="70" t="str">
        <x:v>目录层核对</x:v>
      </x:c>
      <x:c r="F170" s="70" t="str">
        <x:v>2026–27课程目录</x:v>
      </x:c>
      <x:c r="G170" s="70" t="str">
        <x:v>启用前按年份和本校授权复核</x:v>
      </x:c>
      <x:c r="H170" s="70" t="str">
        <x:v>课程目录层</x:v>
      </x:c>
      <x:c r="I170" s="70" t="str">
        <x:v>校内成绩按学校规则；外考成绩不自动换GPA</x:v>
      </x:c>
      <x:c r="J170" s="70" t="str">
        <x:v>人工选择与审核</x:v>
      </x:c>
      <x:c r="K170" s="70" t="str">
        <x:v>未预填官方代码</x:v>
      </x:c>
      <x:c r="L170" s="70" t="str"/>
      <x:c r="M170" s="70" t="str">
        <x:v>V3-AP</x:v>
      </x:c>
      <x:c r="N170" s="70" t="str">
        <x:v>https://apcentral.collegeboard.org/courses</x:v>
      </x:c>
    </x:row>
    <x:row r="171" ht="72" customHeight="1">
      <x:c r="A171" s="71" t="str">
        <x:v>C170</x:v>
      </x:c>
      <x:c r="B171" s="70" t="str">
        <x:v>AP</x:v>
      </x:c>
      <x:c r="C171" s="70" t="str">
        <x:v>学历学科</x:v>
      </x:c>
      <x:c r="D171" s="70" t="str">
        <x:v>AP</x:v>
      </x:c>
      <x:c r="E171" s="70" t="str">
        <x:v>目录层核对</x:v>
      </x:c>
      <x:c r="F171" s="70" t="str">
        <x:v>2026–27课程目录</x:v>
      </x:c>
      <x:c r="G171" s="70" t="str">
        <x:v>启用前按年份和本校授权复核</x:v>
      </x:c>
      <x:c r="H171" s="70" t="str">
        <x:v>课程目录层</x:v>
      </x:c>
      <x:c r="I171" s="70" t="str">
        <x:v>校内成绩按学校规则；外考成绩不自动换GPA</x:v>
      </x:c>
      <x:c r="J171" s="70" t="str">
        <x:v>人工选择与审核</x:v>
      </x:c>
      <x:c r="K171" s="70" t="str">
        <x:v>未预填官方代码</x:v>
      </x:c>
      <x:c r="L171" s="70" t="str"/>
      <x:c r="M171" s="70" t="str">
        <x:v>V3-AP</x:v>
      </x:c>
      <x:c r="N171" s="70" t="str">
        <x:v>https://apcentral.collegeboard.org/courses</x:v>
      </x:c>
    </x:row>
    <x:row r="172" ht="72" customHeight="1">
      <x:c r="A172" s="71" t="str">
        <x:v>C171</x:v>
      </x:c>
      <x:c r="B172" s="70" t="str">
        <x:v>AP</x:v>
      </x:c>
      <x:c r="C172" s="70" t="str">
        <x:v>学历学科</x:v>
      </x:c>
      <x:c r="D172" s="70" t="str">
        <x:v>AP</x:v>
      </x:c>
      <x:c r="E172" s="70" t="str">
        <x:v>目录层核对</x:v>
      </x:c>
      <x:c r="F172" s="70" t="str">
        <x:v>2026–27课程目录</x:v>
      </x:c>
      <x:c r="G172" s="70" t="str">
        <x:v>启用前按年份和本校授权复核</x:v>
      </x:c>
      <x:c r="H172" s="70" t="str">
        <x:v>课程目录层</x:v>
      </x:c>
      <x:c r="I172" s="70" t="str">
        <x:v>校内成绩按学校规则；外考成绩不自动换GPA</x:v>
      </x:c>
      <x:c r="J172" s="70" t="str">
        <x:v>人工选择与审核</x:v>
      </x:c>
      <x:c r="K172" s="70" t="str">
        <x:v>未预填官方代码</x:v>
      </x:c>
      <x:c r="L172" s="70" t="str"/>
      <x:c r="M172" s="70" t="str">
        <x:v>V3-AP</x:v>
      </x:c>
      <x:c r="N172" s="70" t="str">
        <x:v>https://apcentral.collegeboard.org/courses</x:v>
      </x:c>
    </x:row>
    <x:row r="173" ht="72" customHeight="1">
      <x:c r="A173" s="71" t="str">
        <x:v>C172</x:v>
      </x:c>
      <x:c r="B173" s="70" t="str">
        <x:v>AP</x:v>
      </x:c>
      <x:c r="C173" s="70" t="str">
        <x:v>学历学科</x:v>
      </x:c>
      <x:c r="D173" s="70" t="str">
        <x:v>AP</x:v>
      </x:c>
      <x:c r="E173" s="70" t="str">
        <x:v>目录层核对</x:v>
      </x:c>
      <x:c r="F173" s="70" t="str">
        <x:v>2026–27课程目录</x:v>
      </x:c>
      <x:c r="G173" s="70" t="str">
        <x:v>启用前按年份和本校授权复核</x:v>
      </x:c>
      <x:c r="H173" s="70" t="str">
        <x:v>课程目录层</x:v>
      </x:c>
      <x:c r="I173" s="70" t="str">
        <x:v>校内成绩按学校规则；外考成绩不自动换GPA</x:v>
      </x:c>
      <x:c r="J173" s="70" t="str">
        <x:v>人工选择与审核</x:v>
      </x:c>
      <x:c r="K173" s="70" t="str">
        <x:v>未预填官方代码</x:v>
      </x:c>
      <x:c r="L173" s="70" t="str"/>
      <x:c r="M173" s="70" t="str">
        <x:v>V3-AP</x:v>
      </x:c>
      <x:c r="N173" s="70" t="str">
        <x:v>https://apcentral.collegeboard.org/courses</x:v>
      </x:c>
    </x:row>
    <x:row r="174" ht="72" customHeight="1">
      <x:c r="A174" s="71" t="str">
        <x:v>C173</x:v>
      </x:c>
      <x:c r="B174" s="70" t="str">
        <x:v>AP</x:v>
      </x:c>
      <x:c r="C174" s="70" t="str">
        <x:v>学历学科</x:v>
      </x:c>
      <x:c r="D174" s="70" t="str">
        <x:v>AP</x:v>
      </x:c>
      <x:c r="E174" s="70" t="str">
        <x:v>目录层核对</x:v>
      </x:c>
      <x:c r="F174" s="70" t="str">
        <x:v>2026–27课程目录</x:v>
      </x:c>
      <x:c r="G174" s="70" t="str">
        <x:v>启用前按年份和本校授权复核</x:v>
      </x:c>
      <x:c r="H174" s="70" t="str">
        <x:v>课程目录层</x:v>
      </x:c>
      <x:c r="I174" s="70" t="str">
        <x:v>校内成绩按学校规则；外考成绩不自动换GPA</x:v>
      </x:c>
      <x:c r="J174" s="70" t="str">
        <x:v>人工选择与审核</x:v>
      </x:c>
      <x:c r="K174" s="70" t="str">
        <x:v>未预填官方代码</x:v>
      </x:c>
      <x:c r="L174" s="70" t="str"/>
      <x:c r="M174" s="70" t="str">
        <x:v>V3-AP</x:v>
      </x:c>
      <x:c r="N174" s="70" t="str">
        <x:v>https://apcentral.collegeboard.org/courses</x:v>
      </x:c>
    </x:row>
    <x:row r="175" ht="72" customHeight="1">
      <x:c r="A175" s="71" t="str">
        <x:v>C174</x:v>
      </x:c>
      <x:c r="B175" s="70" t="str">
        <x:v>AP</x:v>
      </x:c>
      <x:c r="C175" s="70" t="str">
        <x:v>学历学科</x:v>
      </x:c>
      <x:c r="D175" s="70" t="str">
        <x:v>AP</x:v>
      </x:c>
      <x:c r="E175" s="70" t="str">
        <x:v>新增教学课程／考试年份另核</x:v>
      </x:c>
      <x:c r="F175" s="70" t="str">
        <x:v>2026–27课程目录</x:v>
      </x:c>
      <x:c r="G175" s="70" t="str">
        <x:v>启用前按年份和本校授权复核</x:v>
      </x:c>
      <x:c r="H175" s="70" t="str">
        <x:v>课程目录层</x:v>
      </x:c>
      <x:c r="I175" s="70" t="str">
        <x:v>校内成绩按学校规则；外考成绩不自动换GPA</x:v>
      </x:c>
      <x:c r="J175" s="70" t="str">
        <x:v>人工选择与审核</x:v>
      </x:c>
      <x:c r="K175" s="70" t="str">
        <x:v>未预填官方代码</x:v>
      </x:c>
      <x:c r="L175" s="70" t="str"/>
      <x:c r="M175" s="70" t="str">
        <x:v>V3-AP-BUS</x:v>
      </x:c>
      <x:c r="N175" s="70" t="str">
        <x:v>https://apcentral.collegeboard.org/courses/ap-business-personal-finance</x:v>
      </x:c>
    </x:row>
    <x:row r="176" ht="72" customHeight="1">
      <x:c r="A176" s="71" t="str">
        <x:v>C175</x:v>
      </x:c>
      <x:c r="B176" s="70" t="str">
        <x:v>AP</x:v>
      </x:c>
      <x:c r="C176" s="70" t="str">
        <x:v>学历学科</x:v>
      </x:c>
      <x:c r="D176" s="70" t="str">
        <x:v>AP</x:v>
      </x:c>
      <x:c r="E176" s="70" t="str">
        <x:v>新增教学课程／考试年份另核</x:v>
      </x:c>
      <x:c r="F176" s="70" t="str">
        <x:v>2026–27课程目录</x:v>
      </x:c>
      <x:c r="G176" s="70" t="str">
        <x:v>启用前按年份和本校授权复核</x:v>
      </x:c>
      <x:c r="H176" s="70" t="str">
        <x:v>课程目录层</x:v>
      </x:c>
      <x:c r="I176" s="70" t="str">
        <x:v>校内成绩按学校规则；外考成绩不自动换GPA</x:v>
      </x:c>
      <x:c r="J176" s="70" t="str">
        <x:v>人工选择与审核</x:v>
      </x:c>
      <x:c r="K176" s="70" t="str">
        <x:v>未预填官方代码</x:v>
      </x:c>
      <x:c r="L176" s="70" t="str"/>
      <x:c r="M176" s="70" t="str">
        <x:v>V3-AP</x:v>
      </x:c>
      <x:c r="N176" s="70" t="str">
        <x:v>https://apcentral.collegeboard.org/courses</x:v>
      </x:c>
    </x:row>
    <x:row r="177" ht="72" customHeight="1">
      <x:c r="A177" s="71" t="str">
        <x:v>C176</x:v>
      </x:c>
      <x:c r="B177" s="70" t="str">
        <x:v>IB-DP</x:v>
      </x:c>
      <x:c r="C177" s="70" t="str">
        <x:v>学历学科</x:v>
      </x:c>
      <x:c r="D177" s="70" t="str">
        <x:v>SL</x:v>
      </x:c>
      <x:c r="E177" s="70" t="str">
        <x:v>目录层核对</x:v>
      </x:c>
      <x:c r="F177" s="70" t="str">
        <x:v>IB官方2026科目表；具体guide/首末考季另核</x:v>
      </x:c>
      <x:c r="G177" s="70" t="str">
        <x:v>启用前按年份和本校授权复核</x:v>
      </x:c>
      <x:c r="H177" s="70" t="str">
        <x:v>课程目录层</x:v>
      </x:c>
      <x:c r="I177" s="70" t="str">
        <x:v>校内成绩按学校规则；外考成绩不自动换GPA</x:v>
      </x:c>
      <x:c r="J177" s="70" t="str">
        <x:v>人工选择与审核</x:v>
      </x:c>
      <x:c r="K177" s="70" t="str">
        <x:v>IB subject code；SL/HL另存，非独立报名组合码</x:v>
      </x:c>
      <x:c r="L177" s="70" t="str"/>
      <x:c r="M177" s="70" t="str">
        <x:v>V3-IBDP</x:v>
      </x:c>
      <x:c r="N177" s="70" t="str">
        <x:v>https://ibo.org/globalassets/new-structure/programmes/dp/pdfs/all-dp-subjects-list-en.pdf</x:v>
      </x:c>
    </x:row>
    <x:row r="178" ht="72" customHeight="1">
      <x:c r="A178" s="71" t="str">
        <x:v>C177</x:v>
      </x:c>
      <x:c r="B178" s="70" t="str">
        <x:v>IB-DP</x:v>
      </x:c>
      <x:c r="C178" s="70" t="str">
        <x:v>学历学科</x:v>
      </x:c>
      <x:c r="D178" s="70" t="str">
        <x:v>HL</x:v>
      </x:c>
      <x:c r="E178" s="70" t="str">
        <x:v>目录层核对</x:v>
      </x:c>
      <x:c r="F178" s="70" t="str">
        <x:v>IB官方2026科目表；具体guide/首末考季另核</x:v>
      </x:c>
      <x:c r="G178" s="70" t="str">
        <x:v>启用前按年份和本校授权复核</x:v>
      </x:c>
      <x:c r="H178" s="70" t="str">
        <x:v>课程目录层</x:v>
      </x:c>
      <x:c r="I178" s="70" t="str">
        <x:v>校内成绩按学校规则；外考成绩不自动换GPA</x:v>
      </x:c>
      <x:c r="J178" s="70" t="str">
        <x:v>人工选择与审核</x:v>
      </x:c>
      <x:c r="K178" s="70" t="str">
        <x:v>IB subject code；SL/HL另存，非独立报名组合码</x:v>
      </x:c>
      <x:c r="L178" s="70" t="str"/>
      <x:c r="M178" s="70" t="str">
        <x:v>V3-IBDP</x:v>
      </x:c>
      <x:c r="N178" s="70" t="str">
        <x:v>https://ibo.org/globalassets/new-structure/programmes/dp/pdfs/all-dp-subjects-list-en.pdf</x:v>
      </x:c>
    </x:row>
    <x:row r="179" ht="72" customHeight="1">
      <x:c r="A179" s="71" t="str">
        <x:v>C178</x:v>
      </x:c>
      <x:c r="B179" s="70" t="str">
        <x:v>IB-DP</x:v>
      </x:c>
      <x:c r="C179" s="70" t="str">
        <x:v>学历学科</x:v>
      </x:c>
      <x:c r="D179" s="70" t="str">
        <x:v>SL</x:v>
      </x:c>
      <x:c r="E179" s="70" t="str">
        <x:v>目录层核对</x:v>
      </x:c>
      <x:c r="F179" s="70" t="str">
        <x:v>IB官方2026科目表；具体guide/首末考季另核</x:v>
      </x:c>
      <x:c r="G179" s="70" t="str">
        <x:v>启用前按年份和本校授权复核</x:v>
      </x:c>
      <x:c r="H179" s="70" t="str">
        <x:v>课程目录层</x:v>
      </x:c>
      <x:c r="I179" s="70" t="str">
        <x:v>校内成绩按学校规则；外考成绩不自动换GPA</x:v>
      </x:c>
      <x:c r="J179" s="70" t="str">
        <x:v>人工选择与审核</x:v>
      </x:c>
      <x:c r="K179" s="70" t="str">
        <x:v>IB subject code；SL/HL另存，非独立报名组合码</x:v>
      </x:c>
      <x:c r="L179" s="70" t="str"/>
      <x:c r="M179" s="70" t="str">
        <x:v>V3-IBDP</x:v>
      </x:c>
      <x:c r="N179" s="70" t="str">
        <x:v>https://ibo.org/globalassets/new-structure/programmes/dp/pdfs/all-dp-subjects-list-en.pdf</x:v>
      </x:c>
    </x:row>
    <x:row r="180" ht="72" customHeight="1">
      <x:c r="A180" s="71" t="str">
        <x:v>C179</x:v>
      </x:c>
      <x:c r="B180" s="70" t="str">
        <x:v>IB-DP</x:v>
      </x:c>
      <x:c r="C180" s="70" t="str">
        <x:v>学历学科</x:v>
      </x:c>
      <x:c r="D180" s="70" t="str">
        <x:v>HL</x:v>
      </x:c>
      <x:c r="E180" s="70" t="str">
        <x:v>目录层核对</x:v>
      </x:c>
      <x:c r="F180" s="70" t="str">
        <x:v>IB官方2026科目表；具体guide/首末考季另核</x:v>
      </x:c>
      <x:c r="G180" s="70" t="str">
        <x:v>启用前按年份和本校授权复核</x:v>
      </x:c>
      <x:c r="H180" s="70" t="str">
        <x:v>课程目录层</x:v>
      </x:c>
      <x:c r="I180" s="70" t="str">
        <x:v>校内成绩按学校规则；外考成绩不自动换GPA</x:v>
      </x:c>
      <x:c r="J180" s="70" t="str">
        <x:v>人工选择与审核</x:v>
      </x:c>
      <x:c r="K180" s="70" t="str">
        <x:v>IB subject code；SL/HL另存，非独立报名组合码</x:v>
      </x:c>
      <x:c r="L180" s="70" t="str"/>
      <x:c r="M180" s="70" t="str">
        <x:v>V3-IBDP</x:v>
      </x:c>
      <x:c r="N180" s="70" t="str">
        <x:v>https://ibo.org/globalassets/new-structure/programmes/dp/pdfs/all-dp-subjects-list-en.pdf</x:v>
      </x:c>
    </x:row>
    <x:row r="181" ht="72" customHeight="1">
      <x:c r="A181" s="71" t="str">
        <x:v>C180</x:v>
      </x:c>
      <x:c r="B181" s="70" t="str">
        <x:v>IB-DP</x:v>
      </x:c>
      <x:c r="C181" s="70" t="str">
        <x:v>学历学科</x:v>
      </x:c>
      <x:c r="D181" s="70" t="str">
        <x:v>SL</x:v>
      </x:c>
      <x:c r="E181" s="70" t="str">
        <x:v>目录层核对</x:v>
      </x:c>
      <x:c r="F181" s="70" t="str">
        <x:v>IB官方2026科目表；具体guide/首末考季另核</x:v>
      </x:c>
      <x:c r="G181" s="70" t="str">
        <x:v>启用前按年份和本校授权复核</x:v>
      </x:c>
      <x:c r="H181" s="70" t="str">
        <x:v>课程目录层</x:v>
      </x:c>
      <x:c r="I181" s="70" t="str">
        <x:v>校内成绩按学校规则；外考成绩不自动换GPA</x:v>
      </x:c>
      <x:c r="J181" s="70" t="str">
        <x:v>人工选择与审核</x:v>
      </x:c>
      <x:c r="K181" s="70" t="str">
        <x:v>IB subject code；SL/HL另存，非独立报名组合码</x:v>
      </x:c>
      <x:c r="L181" s="70" t="str"/>
      <x:c r="M181" s="70" t="str">
        <x:v>V3-IBDP</x:v>
      </x:c>
      <x:c r="N181" s="70" t="str">
        <x:v>https://ibo.org/globalassets/new-structure/programmes/dp/pdfs/all-dp-subjects-list-en.pdf</x:v>
      </x:c>
    </x:row>
    <x:row r="182" ht="72" customHeight="1">
      <x:c r="A182" s="71" t="str">
        <x:v>C181</x:v>
      </x:c>
      <x:c r="B182" s="70" t="str">
        <x:v>IB-DP</x:v>
      </x:c>
      <x:c r="C182" s="70" t="str">
        <x:v>学历学科</x:v>
      </x:c>
      <x:c r="D182" s="70" t="str">
        <x:v>HL</x:v>
      </x:c>
      <x:c r="E182" s="70" t="str">
        <x:v>目录层核对</x:v>
      </x:c>
      <x:c r="F182" s="70" t="str">
        <x:v>IB官方2026科目表；具体guide/首末考季另核</x:v>
      </x:c>
      <x:c r="G182" s="70" t="str">
        <x:v>启用前按年份和本校授权复核</x:v>
      </x:c>
      <x:c r="H182" s="70" t="str">
        <x:v>课程目录层</x:v>
      </x:c>
      <x:c r="I182" s="70" t="str">
        <x:v>校内成绩按学校规则；外考成绩不自动换GPA</x:v>
      </x:c>
      <x:c r="J182" s="70" t="str">
        <x:v>人工选择与审核</x:v>
      </x:c>
      <x:c r="K182" s="70" t="str">
        <x:v>IB subject code；SL/HL另存，非独立报名组合码</x:v>
      </x:c>
      <x:c r="L182" s="70" t="str"/>
      <x:c r="M182" s="70" t="str">
        <x:v>V3-IBDP</x:v>
      </x:c>
      <x:c r="N182" s="70" t="str">
        <x:v>https://ibo.org/globalassets/new-structure/programmes/dp/pdfs/all-dp-subjects-list-en.pdf</x:v>
      </x:c>
    </x:row>
    <x:row r="183" ht="72" customHeight="1">
      <x:c r="A183" s="71" t="str">
        <x:v>C182</x:v>
      </x:c>
      <x:c r="B183" s="70" t="str">
        <x:v>IB-DP</x:v>
      </x:c>
      <x:c r="C183" s="70" t="str">
        <x:v>学历学科</x:v>
      </x:c>
      <x:c r="D183" s="70" t="str">
        <x:v>SL</x:v>
      </x:c>
      <x:c r="E183" s="70" t="str">
        <x:v>目录层核对</x:v>
      </x:c>
      <x:c r="F183" s="70" t="str">
        <x:v>IB官方2026科目表；具体guide/首末考季另核</x:v>
      </x:c>
      <x:c r="G183" s="70" t="str">
        <x:v>启用前按年份和本校授权复核</x:v>
      </x:c>
      <x:c r="H183" s="70" t="str">
        <x:v>课程目录层</x:v>
      </x:c>
      <x:c r="I183" s="70" t="str">
        <x:v>校内成绩按学校规则；外考成绩不自动换GPA</x:v>
      </x:c>
      <x:c r="J183" s="70" t="str">
        <x:v>人工选择与审核</x:v>
      </x:c>
      <x:c r="K183" s="70" t="str">
        <x:v>IB subject code；SL/HL另存，非独立报名组合码</x:v>
      </x:c>
      <x:c r="L183" s="70" t="str"/>
      <x:c r="M183" s="70" t="str">
        <x:v>V3-IBDP</x:v>
      </x:c>
      <x:c r="N183" s="70" t="str">
        <x:v>https://ibo.org/globalassets/new-structure/programmes/dp/pdfs/all-dp-subjects-list-en.pdf</x:v>
      </x:c>
    </x:row>
    <x:row r="184" ht="72" customHeight="1">
      <x:c r="A184" s="71" t="str">
        <x:v>C183</x:v>
      </x:c>
      <x:c r="B184" s="70" t="str">
        <x:v>IB-DP</x:v>
      </x:c>
      <x:c r="C184" s="70" t="str">
        <x:v>学历学科</x:v>
      </x:c>
      <x:c r="D184" s="70" t="str">
        <x:v>HL</x:v>
      </x:c>
      <x:c r="E184" s="70" t="str">
        <x:v>目录层核对</x:v>
      </x:c>
      <x:c r="F184" s="70" t="str">
        <x:v>IB官方2026科目表；具体guide/首末考季另核</x:v>
      </x:c>
      <x:c r="G184" s="70" t="str">
        <x:v>启用前按年份和本校授权复核</x:v>
      </x:c>
      <x:c r="H184" s="70" t="str">
        <x:v>课程目录层</x:v>
      </x:c>
      <x:c r="I184" s="70" t="str">
        <x:v>校内成绩按学校规则；外考成绩不自动换GPA</x:v>
      </x:c>
      <x:c r="J184" s="70" t="str">
        <x:v>人工选择与审核</x:v>
      </x:c>
      <x:c r="K184" s="70" t="str">
        <x:v>IB subject code；SL/HL另存，非独立报名组合码</x:v>
      </x:c>
      <x:c r="L184" s="70" t="str"/>
      <x:c r="M184" s="70" t="str">
        <x:v>V3-IBDP</x:v>
      </x:c>
      <x:c r="N184" s="70" t="str">
        <x:v>https://ibo.org/globalassets/new-structure/programmes/dp/pdfs/all-dp-subjects-list-en.pdf</x:v>
      </x:c>
    </x:row>
    <x:row r="185" ht="72" customHeight="1">
      <x:c r="A185" s="71" t="str">
        <x:v>C184</x:v>
      </x:c>
      <x:c r="B185" s="70" t="str">
        <x:v>IB-DP</x:v>
      </x:c>
      <x:c r="C185" s="70" t="str">
        <x:v>学历学科</x:v>
      </x:c>
      <x:c r="D185" s="70" t="str">
        <x:v>SL</x:v>
      </x:c>
      <x:c r="E185" s="70" t="str">
        <x:v>目录层核对</x:v>
      </x:c>
      <x:c r="F185" s="70" t="str">
        <x:v>IB官方2026科目表；具体guide/首末考季另核</x:v>
      </x:c>
      <x:c r="G185" s="70" t="str">
        <x:v>启用前按年份和本校授权复核</x:v>
      </x:c>
      <x:c r="H185" s="70" t="str">
        <x:v>课程目录层</x:v>
      </x:c>
      <x:c r="I185" s="70" t="str">
        <x:v>校内成绩按学校规则；外考成绩不自动换GPA</x:v>
      </x:c>
      <x:c r="J185" s="70" t="str">
        <x:v>人工选择与审核</x:v>
      </x:c>
      <x:c r="K185" s="70" t="str">
        <x:v>IB subject code；SL/HL另存，非独立报名组合码</x:v>
      </x:c>
      <x:c r="L185" s="70" t="str"/>
      <x:c r="M185" s="70" t="str">
        <x:v>V3-IBDP</x:v>
      </x:c>
      <x:c r="N185" s="70" t="str">
        <x:v>https://ibo.org/globalassets/new-structure/programmes/dp/pdfs/all-dp-subjects-list-en.pdf</x:v>
      </x:c>
    </x:row>
    <x:row r="186" ht="72" customHeight="1">
      <x:c r="A186" s="71" t="str">
        <x:v>C185</x:v>
      </x:c>
      <x:c r="B186" s="70" t="str">
        <x:v>IB-DP</x:v>
      </x:c>
      <x:c r="C186" s="70" t="str">
        <x:v>学历学科</x:v>
      </x:c>
      <x:c r="D186" s="70" t="str">
        <x:v>HL</x:v>
      </x:c>
      <x:c r="E186" s="70" t="str">
        <x:v>目录层核对</x:v>
      </x:c>
      <x:c r="F186" s="70" t="str">
        <x:v>IB官方2026科目表；具体guide/首末考季另核</x:v>
      </x:c>
      <x:c r="G186" s="70" t="str">
        <x:v>启用前按年份和本校授权复核</x:v>
      </x:c>
      <x:c r="H186" s="70" t="str">
        <x:v>课程目录层</x:v>
      </x:c>
      <x:c r="I186" s="70" t="str">
        <x:v>校内成绩按学校规则；外考成绩不自动换GPA</x:v>
      </x:c>
      <x:c r="J186" s="70" t="str">
        <x:v>人工选择与审核</x:v>
      </x:c>
      <x:c r="K186" s="70" t="str">
        <x:v>IB subject code；SL/HL另存，非独立报名组合码</x:v>
      </x:c>
      <x:c r="L186" s="70" t="str"/>
      <x:c r="M186" s="70" t="str">
        <x:v>V3-IBDP</x:v>
      </x:c>
      <x:c r="N186" s="70" t="str">
        <x:v>https://ibo.org/globalassets/new-structure/programmes/dp/pdfs/all-dp-subjects-list-en.pdf</x:v>
      </x:c>
    </x:row>
    <x:row r="187" ht="72" customHeight="1">
      <x:c r="A187" s="71" t="str">
        <x:v>C186</x:v>
      </x:c>
      <x:c r="B187" s="70" t="str">
        <x:v>IB-DP</x:v>
      </x:c>
      <x:c r="C187" s="70" t="str">
        <x:v>学历学科</x:v>
      </x:c>
      <x:c r="D187" s="70" t="str">
        <x:v>SL</x:v>
      </x:c>
      <x:c r="E187" s="70" t="str">
        <x:v>目录层核对</x:v>
      </x:c>
      <x:c r="F187" s="70" t="str">
        <x:v>IB官方2026科目表；具体guide/首末考季另核</x:v>
      </x:c>
      <x:c r="G187" s="70" t="str">
        <x:v>启用前按年份和本校授权复核</x:v>
      </x:c>
      <x:c r="H187" s="70" t="str">
        <x:v>课程目录层</x:v>
      </x:c>
      <x:c r="I187" s="70" t="str">
        <x:v>校内成绩按学校规则；外考成绩不自动换GPA</x:v>
      </x:c>
      <x:c r="J187" s="70" t="str">
        <x:v>人工选择与审核</x:v>
      </x:c>
      <x:c r="K187" s="70" t="str">
        <x:v>IB subject code；SL/HL另存，非独立报名组合码</x:v>
      </x:c>
      <x:c r="L187" s="70" t="str"/>
      <x:c r="M187" s="70" t="str">
        <x:v>V3-IBDP</x:v>
      </x:c>
      <x:c r="N187" s="70" t="str">
        <x:v>https://ibo.org/globalassets/new-structure/programmes/dp/pdfs/all-dp-subjects-list-en.pdf</x:v>
      </x:c>
    </x:row>
    <x:row r="188" ht="72" customHeight="1">
      <x:c r="A188" s="71" t="str">
        <x:v>C187</x:v>
      </x:c>
      <x:c r="B188" s="70" t="str">
        <x:v>IB-DP</x:v>
      </x:c>
      <x:c r="C188" s="70" t="str">
        <x:v>学历学科</x:v>
      </x:c>
      <x:c r="D188" s="70" t="str">
        <x:v>HL</x:v>
      </x:c>
      <x:c r="E188" s="70" t="str">
        <x:v>目录层核对</x:v>
      </x:c>
      <x:c r="F188" s="70" t="str">
        <x:v>IB官方2026科目表；具体guide/首末考季另核</x:v>
      </x:c>
      <x:c r="G188" s="70" t="str">
        <x:v>启用前按年份和本校授权复核</x:v>
      </x:c>
      <x:c r="H188" s="70" t="str">
        <x:v>课程目录层</x:v>
      </x:c>
      <x:c r="I188" s="70" t="str">
        <x:v>校内成绩按学校规则；外考成绩不自动换GPA</x:v>
      </x:c>
      <x:c r="J188" s="70" t="str">
        <x:v>人工选择与审核</x:v>
      </x:c>
      <x:c r="K188" s="70" t="str">
        <x:v>IB subject code；SL/HL另存，非独立报名组合码</x:v>
      </x:c>
      <x:c r="L188" s="70" t="str"/>
      <x:c r="M188" s="70" t="str">
        <x:v>V3-IBDP</x:v>
      </x:c>
      <x:c r="N188" s="70" t="str">
        <x:v>https://ibo.org/globalassets/new-structure/programmes/dp/pdfs/all-dp-subjects-list-en.pdf</x:v>
      </x:c>
    </x:row>
    <x:row r="189" ht="72" customHeight="1">
      <x:c r="A189" s="71" t="str">
        <x:v>C188</x:v>
      </x:c>
      <x:c r="B189" s="70" t="str">
        <x:v>IB-DP</x:v>
      </x:c>
      <x:c r="C189" s="70" t="str">
        <x:v>学历学科</x:v>
      </x:c>
      <x:c r="D189" s="70" t="str">
        <x:v>SL</x:v>
      </x:c>
      <x:c r="E189" s="70" t="str">
        <x:v>目录层核对</x:v>
      </x:c>
      <x:c r="F189" s="70" t="str">
        <x:v>IB官方2026科目表；具体guide/首末考季另核</x:v>
      </x:c>
      <x:c r="G189" s="70" t="str">
        <x:v>启用前按年份和本校授权复核</x:v>
      </x:c>
      <x:c r="H189" s="70" t="str">
        <x:v>课程目录层</x:v>
      </x:c>
      <x:c r="I189" s="70" t="str">
        <x:v>校内成绩按学校规则；外考成绩不自动换GPA</x:v>
      </x:c>
      <x:c r="J189" s="70" t="str">
        <x:v>人工选择与审核</x:v>
      </x:c>
      <x:c r="K189" s="70" t="str">
        <x:v>IB subject code；SL/HL另存，非独立报名组合码</x:v>
      </x:c>
      <x:c r="L189" s="70" t="str"/>
      <x:c r="M189" s="70" t="str">
        <x:v>V3-IBDP</x:v>
      </x:c>
      <x:c r="N189" s="70" t="str">
        <x:v>https://ibo.org/globalassets/new-structure/programmes/dp/pdfs/all-dp-subjects-list-en.pdf</x:v>
      </x:c>
    </x:row>
    <x:row r="190" ht="72" customHeight="1">
      <x:c r="A190" s="71" t="str">
        <x:v>C189</x:v>
      </x:c>
      <x:c r="B190" s="70" t="str">
        <x:v>IB-DP</x:v>
      </x:c>
      <x:c r="C190" s="70" t="str">
        <x:v>学历学科</x:v>
      </x:c>
      <x:c r="D190" s="70" t="str">
        <x:v>HL</x:v>
      </x:c>
      <x:c r="E190" s="70" t="str">
        <x:v>目录层核对</x:v>
      </x:c>
      <x:c r="F190" s="70" t="str">
        <x:v>IB官方2026科目表；具体guide/首末考季另核</x:v>
      </x:c>
      <x:c r="G190" s="70" t="str">
        <x:v>启用前按年份和本校授权复核</x:v>
      </x:c>
      <x:c r="H190" s="70" t="str">
        <x:v>课程目录层</x:v>
      </x:c>
      <x:c r="I190" s="70" t="str">
        <x:v>校内成绩按学校规则；外考成绩不自动换GPA</x:v>
      </x:c>
      <x:c r="J190" s="70" t="str">
        <x:v>人工选择与审核</x:v>
      </x:c>
      <x:c r="K190" s="70" t="str">
        <x:v>IB subject code；SL/HL另存，非独立报名组合码</x:v>
      </x:c>
      <x:c r="L190" s="70" t="str"/>
      <x:c r="M190" s="70" t="str">
        <x:v>V3-IBDP</x:v>
      </x:c>
      <x:c r="N190" s="70" t="str">
        <x:v>https://ibo.org/globalassets/new-structure/programmes/dp/pdfs/all-dp-subjects-list-en.pdf</x:v>
      </x:c>
    </x:row>
    <x:row r="191" ht="72" customHeight="1">
      <x:c r="A191" s="71" t="str">
        <x:v>C190</x:v>
      </x:c>
      <x:c r="B191" s="70" t="str">
        <x:v>IB-DP</x:v>
      </x:c>
      <x:c r="C191" s="70" t="str">
        <x:v>学历学科</x:v>
      </x:c>
      <x:c r="D191" s="70" t="str">
        <x:v>SL</x:v>
      </x:c>
      <x:c r="E191" s="70" t="str">
        <x:v>目录层核对</x:v>
      </x:c>
      <x:c r="F191" s="70" t="str">
        <x:v>IB官方2026科目表；具体guide/首末考季另核</x:v>
      </x:c>
      <x:c r="G191" s="70" t="str">
        <x:v>启用前按年份和本校授权复核</x:v>
      </x:c>
      <x:c r="H191" s="70" t="str">
        <x:v>课程目录层</x:v>
      </x:c>
      <x:c r="I191" s="70" t="str">
        <x:v>校内成绩按学校规则；外考成绩不自动换GPA</x:v>
      </x:c>
      <x:c r="J191" s="70" t="str">
        <x:v>人工选择与审核</x:v>
      </x:c>
      <x:c r="K191" s="70" t="str">
        <x:v>IB subject code；SL/HL另存，非独立报名组合码</x:v>
      </x:c>
      <x:c r="L191" s="70" t="str"/>
      <x:c r="M191" s="70" t="str">
        <x:v>V3-IBDP</x:v>
      </x:c>
      <x:c r="N191" s="70" t="str">
        <x:v>https://ibo.org/globalassets/new-structure/programmes/dp/pdfs/all-dp-subjects-list-en.pdf</x:v>
      </x:c>
    </x:row>
    <x:row r="192" ht="72" customHeight="1">
      <x:c r="A192" s="71" t="str">
        <x:v>C191</x:v>
      </x:c>
      <x:c r="B192" s="70" t="str">
        <x:v>IB-DP</x:v>
      </x:c>
      <x:c r="C192" s="70" t="str">
        <x:v>学历学科</x:v>
      </x:c>
      <x:c r="D192" s="70" t="str">
        <x:v>HL</x:v>
      </x:c>
      <x:c r="E192" s="70" t="str">
        <x:v>目录层核对</x:v>
      </x:c>
      <x:c r="F192" s="70" t="str">
        <x:v>IB官方2026科目表；具体guide/首末考季另核</x:v>
      </x:c>
      <x:c r="G192" s="70" t="str">
        <x:v>启用前按年份和本校授权复核</x:v>
      </x:c>
      <x:c r="H192" s="70" t="str">
        <x:v>课程目录层</x:v>
      </x:c>
      <x:c r="I192" s="70" t="str">
        <x:v>校内成绩按学校规则；外考成绩不自动换GPA</x:v>
      </x:c>
      <x:c r="J192" s="70" t="str">
        <x:v>人工选择与审核</x:v>
      </x:c>
      <x:c r="K192" s="70" t="str">
        <x:v>IB subject code；SL/HL另存，非独立报名组合码</x:v>
      </x:c>
      <x:c r="L192" s="70" t="str"/>
      <x:c r="M192" s="70" t="str">
        <x:v>V3-IBDP</x:v>
      </x:c>
      <x:c r="N192" s="70" t="str">
        <x:v>https://ibo.org/globalassets/new-structure/programmes/dp/pdfs/all-dp-subjects-list-en.pdf</x:v>
      </x:c>
    </x:row>
    <x:row r="193" ht="72" customHeight="1">
      <x:c r="A193" s="71" t="str">
        <x:v>C192</x:v>
      </x:c>
      <x:c r="B193" s="70" t="str">
        <x:v>IB-DP</x:v>
      </x:c>
      <x:c r="C193" s="70" t="str">
        <x:v>学历学科</x:v>
      </x:c>
      <x:c r="D193" s="70" t="str">
        <x:v>SL</x:v>
      </x:c>
      <x:c r="E193" s="70" t="str">
        <x:v>目录层核对</x:v>
      </x:c>
      <x:c r="F193" s="70" t="str">
        <x:v>IB官方2026科目表；具体guide/首末考季另核</x:v>
      </x:c>
      <x:c r="G193" s="70" t="str">
        <x:v>启用前按年份和本校授权复核</x:v>
      </x:c>
      <x:c r="H193" s="70" t="str">
        <x:v>课程目录层</x:v>
      </x:c>
      <x:c r="I193" s="70" t="str">
        <x:v>校内成绩按学校规则；外考成绩不自动换GPA</x:v>
      </x:c>
      <x:c r="J193" s="70" t="str">
        <x:v>人工选择与审核</x:v>
      </x:c>
      <x:c r="K193" s="70" t="str">
        <x:v>IB subject code；SL/HL另存，非独立报名组合码</x:v>
      </x:c>
      <x:c r="L193" s="70" t="str"/>
      <x:c r="M193" s="70" t="str">
        <x:v>V3-IBDP</x:v>
      </x:c>
      <x:c r="N193" s="70" t="str">
        <x:v>https://ibo.org/globalassets/new-structure/programmes/dp/pdfs/all-dp-subjects-list-en.pdf</x:v>
      </x:c>
    </x:row>
    <x:row r="194" ht="72" customHeight="1">
      <x:c r="A194" s="71" t="str">
        <x:v>C193</x:v>
      </x:c>
      <x:c r="B194" s="70" t="str">
        <x:v>IB-DP</x:v>
      </x:c>
      <x:c r="C194" s="70" t="str">
        <x:v>学历学科</x:v>
      </x:c>
      <x:c r="D194" s="70" t="str">
        <x:v>HL</x:v>
      </x:c>
      <x:c r="E194" s="70" t="str">
        <x:v>目录层核对</x:v>
      </x:c>
      <x:c r="F194" s="70" t="str">
        <x:v>IB官方2026科目表；具体guide/首末考季另核</x:v>
      </x:c>
      <x:c r="G194" s="70" t="str">
        <x:v>启用前按年份和本校授权复核</x:v>
      </x:c>
      <x:c r="H194" s="70" t="str">
        <x:v>课程目录层</x:v>
      </x:c>
      <x:c r="I194" s="70" t="str">
        <x:v>校内成绩按学校规则；外考成绩不自动换GPA</x:v>
      </x:c>
      <x:c r="J194" s="70" t="str">
        <x:v>人工选择与审核</x:v>
      </x:c>
      <x:c r="K194" s="70" t="str">
        <x:v>IB subject code；SL/HL另存，非独立报名组合码</x:v>
      </x:c>
      <x:c r="L194" s="70" t="str"/>
      <x:c r="M194" s="70" t="str">
        <x:v>V3-IBDP</x:v>
      </x:c>
      <x:c r="N194" s="70" t="str">
        <x:v>https://ibo.org/globalassets/new-structure/programmes/dp/pdfs/all-dp-subjects-list-en.pdf</x:v>
      </x:c>
    </x:row>
    <x:row r="195" ht="72" customHeight="1">
      <x:c r="A195" s="71" t="str">
        <x:v>C194</x:v>
      </x:c>
      <x:c r="B195" s="70" t="str">
        <x:v>IB-DP</x:v>
      </x:c>
      <x:c r="C195" s="70" t="str">
        <x:v>学历学科</x:v>
      </x:c>
      <x:c r="D195" s="70" t="str">
        <x:v>SL</x:v>
      </x:c>
      <x:c r="E195" s="70" t="str">
        <x:v>目录层核对</x:v>
      </x:c>
      <x:c r="F195" s="70" t="str">
        <x:v>IB官方2026科目表；具体guide/首末考季另核</x:v>
      </x:c>
      <x:c r="G195" s="70" t="str">
        <x:v>启用前按年份和本校授权复核</x:v>
      </x:c>
      <x:c r="H195" s="70" t="str">
        <x:v>课程目录层</x:v>
      </x:c>
      <x:c r="I195" s="70" t="str">
        <x:v>校内成绩按学校规则；外考成绩不自动换GPA</x:v>
      </x:c>
      <x:c r="J195" s="70" t="str">
        <x:v>人工选择与审核</x:v>
      </x:c>
      <x:c r="K195" s="70" t="str">
        <x:v>IB subject code；SL/HL另存，非独立报名组合码</x:v>
      </x:c>
      <x:c r="L195" s="70" t="str"/>
      <x:c r="M195" s="70" t="str">
        <x:v>V3-IBDP</x:v>
      </x:c>
      <x:c r="N195" s="70" t="str">
        <x:v>https://ibo.org/globalassets/new-structure/programmes/dp/pdfs/all-dp-subjects-list-en.pdf</x:v>
      </x:c>
    </x:row>
    <x:row r="196" ht="72" customHeight="1">
      <x:c r="A196" s="71" t="str">
        <x:v>C195</x:v>
      </x:c>
      <x:c r="B196" s="70" t="str">
        <x:v>IB-DP</x:v>
      </x:c>
      <x:c r="C196" s="70" t="str">
        <x:v>学历学科</x:v>
      </x:c>
      <x:c r="D196" s="70" t="str">
        <x:v>HL</x:v>
      </x:c>
      <x:c r="E196" s="70" t="str">
        <x:v>目录层核对</x:v>
      </x:c>
      <x:c r="F196" s="70" t="str">
        <x:v>IB官方2026科目表；具体guide/首末考季另核</x:v>
      </x:c>
      <x:c r="G196" s="70" t="str">
        <x:v>启用前按年份和本校授权复核</x:v>
      </x:c>
      <x:c r="H196" s="70" t="str">
        <x:v>课程目录层</x:v>
      </x:c>
      <x:c r="I196" s="70" t="str">
        <x:v>校内成绩按学校规则；外考成绩不自动换GPA</x:v>
      </x:c>
      <x:c r="J196" s="70" t="str">
        <x:v>人工选择与审核</x:v>
      </x:c>
      <x:c r="K196" s="70" t="str">
        <x:v>IB subject code；SL/HL另存，非独立报名组合码</x:v>
      </x:c>
      <x:c r="L196" s="70" t="str"/>
      <x:c r="M196" s="70" t="str">
        <x:v>V3-IBDP</x:v>
      </x:c>
      <x:c r="N196" s="70" t="str">
        <x:v>https://ibo.org/globalassets/new-structure/programmes/dp/pdfs/all-dp-subjects-list-en.pdf</x:v>
      </x:c>
    </x:row>
    <x:row r="197" ht="72" customHeight="1">
      <x:c r="A197" s="71" t="str">
        <x:v>C196</x:v>
      </x:c>
      <x:c r="B197" s="70" t="str">
        <x:v>IB-DP</x:v>
      </x:c>
      <x:c r="C197" s="70" t="str">
        <x:v>学历学科</x:v>
      </x:c>
      <x:c r="D197" s="70" t="str">
        <x:v>SL</x:v>
      </x:c>
      <x:c r="E197" s="70" t="str">
        <x:v>目录层核对</x:v>
      </x:c>
      <x:c r="F197" s="70" t="str">
        <x:v>IB官方2026科目表；具体guide/首末考季另核</x:v>
      </x:c>
      <x:c r="G197" s="70" t="str">
        <x:v>启用前按年份和本校授权复核</x:v>
      </x:c>
      <x:c r="H197" s="70" t="str">
        <x:v>课程目录层</x:v>
      </x:c>
      <x:c r="I197" s="70" t="str">
        <x:v>校内成绩按学校规则；外考成绩不自动换GPA</x:v>
      </x:c>
      <x:c r="J197" s="70" t="str">
        <x:v>人工选择与审核</x:v>
      </x:c>
      <x:c r="K197" s="70" t="str">
        <x:v>IB subject code；SL/HL另存，非独立报名组合码</x:v>
      </x:c>
      <x:c r="L197" s="70" t="str"/>
      <x:c r="M197" s="70" t="str">
        <x:v>V3-IBDP</x:v>
      </x:c>
      <x:c r="N197" s="70" t="str">
        <x:v>https://ibo.org/globalassets/new-structure/programmes/dp/pdfs/all-dp-subjects-list-en.pdf</x:v>
      </x:c>
    </x:row>
    <x:row r="198" ht="72" customHeight="1">
      <x:c r="A198" s="71" t="str">
        <x:v>C197</x:v>
      </x:c>
      <x:c r="B198" s="70" t="str">
        <x:v>IB-DP</x:v>
      </x:c>
      <x:c r="C198" s="70" t="str">
        <x:v>学历学科</x:v>
      </x:c>
      <x:c r="D198" s="70" t="str">
        <x:v>HL</x:v>
      </x:c>
      <x:c r="E198" s="70" t="str">
        <x:v>目录层核对</x:v>
      </x:c>
      <x:c r="F198" s="70" t="str">
        <x:v>IB官方2026科目表；具体guide/首末考季另核</x:v>
      </x:c>
      <x:c r="G198" s="70" t="str">
        <x:v>启用前按年份和本校授权复核</x:v>
      </x:c>
      <x:c r="H198" s="70" t="str">
        <x:v>课程目录层</x:v>
      </x:c>
      <x:c r="I198" s="70" t="str">
        <x:v>校内成绩按学校规则；外考成绩不自动换GPA</x:v>
      </x:c>
      <x:c r="J198" s="70" t="str">
        <x:v>人工选择与审核</x:v>
      </x:c>
      <x:c r="K198" s="70" t="str">
        <x:v>IB subject code；SL/HL另存，非独立报名组合码</x:v>
      </x:c>
      <x:c r="L198" s="70" t="str"/>
      <x:c r="M198" s="70" t="str">
        <x:v>V3-IBDP</x:v>
      </x:c>
      <x:c r="N198" s="70" t="str">
        <x:v>https://ibo.org/globalassets/new-structure/programmes/dp/pdfs/all-dp-subjects-list-en.pdf</x:v>
      </x:c>
    </x:row>
    <x:row r="199" ht="72" customHeight="1">
      <x:c r="A199" s="71" t="str">
        <x:v>C198</x:v>
      </x:c>
      <x:c r="B199" s="70" t="str">
        <x:v>IB-DP</x:v>
      </x:c>
      <x:c r="C199" s="70" t="str">
        <x:v>学历学科</x:v>
      </x:c>
      <x:c r="D199" s="70" t="str">
        <x:v>SL</x:v>
      </x:c>
      <x:c r="E199" s="70" t="str">
        <x:v>目录层核对</x:v>
      </x:c>
      <x:c r="F199" s="70" t="str">
        <x:v>IB官方2026科目表；具体guide/首末考季另核</x:v>
      </x:c>
      <x:c r="G199" s="70" t="str">
        <x:v>启用前按年份和本校授权复核</x:v>
      </x:c>
      <x:c r="H199" s="70" t="str">
        <x:v>课程目录层</x:v>
      </x:c>
      <x:c r="I199" s="70" t="str">
        <x:v>校内成绩按学校规则；外考成绩不自动换GPA</x:v>
      </x:c>
      <x:c r="J199" s="70" t="str">
        <x:v>人工选择与审核</x:v>
      </x:c>
      <x:c r="K199" s="70" t="str">
        <x:v>IB subject code；SL/HL另存，非独立报名组合码</x:v>
      </x:c>
      <x:c r="L199" s="70" t="str"/>
      <x:c r="M199" s="70" t="str">
        <x:v>V3-IBDP</x:v>
      </x:c>
      <x:c r="N199" s="70" t="str">
        <x:v>https://ibo.org/globalassets/new-structure/programmes/dp/pdfs/all-dp-subjects-list-en.pdf</x:v>
      </x:c>
    </x:row>
    <x:row r="200" ht="72" customHeight="1">
      <x:c r="A200" s="71" t="str">
        <x:v>C199</x:v>
      </x:c>
      <x:c r="B200" s="70" t="str">
        <x:v>IB-DP</x:v>
      </x:c>
      <x:c r="C200" s="70" t="str">
        <x:v>学历学科</x:v>
      </x:c>
      <x:c r="D200" s="70" t="str">
        <x:v>HL</x:v>
      </x:c>
      <x:c r="E200" s="70" t="str">
        <x:v>目录层核对</x:v>
      </x:c>
      <x:c r="F200" s="70" t="str">
        <x:v>IB官方2026科目表；具体guide/首末考季另核</x:v>
      </x:c>
      <x:c r="G200" s="70" t="str">
        <x:v>启用前按年份和本校授权复核</x:v>
      </x:c>
      <x:c r="H200" s="70" t="str">
        <x:v>课程目录层</x:v>
      </x:c>
      <x:c r="I200" s="70" t="str">
        <x:v>校内成绩按学校规则；外考成绩不自动换GPA</x:v>
      </x:c>
      <x:c r="J200" s="70" t="str">
        <x:v>人工选择与审核</x:v>
      </x:c>
      <x:c r="K200" s="70" t="str">
        <x:v>IB subject code；SL/HL另存，非独立报名组合码</x:v>
      </x:c>
      <x:c r="L200" s="70" t="str"/>
      <x:c r="M200" s="70" t="str">
        <x:v>V3-IBDP</x:v>
      </x:c>
      <x:c r="N200" s="70" t="str">
        <x:v>https://ibo.org/globalassets/new-structure/programmes/dp/pdfs/all-dp-subjects-list-en.pdf</x:v>
      </x:c>
    </x:row>
    <x:row r="201" ht="72" customHeight="1">
      <x:c r="A201" s="71" t="str">
        <x:v>C200</x:v>
      </x:c>
      <x:c r="B201" s="70" t="str">
        <x:v>IB-DP</x:v>
      </x:c>
      <x:c r="C201" s="70" t="str">
        <x:v>学历学科</x:v>
      </x:c>
      <x:c r="D201" s="70" t="str">
        <x:v>SL</x:v>
      </x:c>
      <x:c r="E201" s="70" t="str">
        <x:v>目录层核对</x:v>
      </x:c>
      <x:c r="F201" s="70" t="str">
        <x:v>IB官方2026科目表；具体guide/首末考季另核</x:v>
      </x:c>
      <x:c r="G201" s="70" t="str">
        <x:v>启用前按年份和本校授权复核</x:v>
      </x:c>
      <x:c r="H201" s="70" t="str">
        <x:v>课程目录层</x:v>
      </x:c>
      <x:c r="I201" s="70" t="str">
        <x:v>校内成绩按学校规则；外考成绩不自动换GPA</x:v>
      </x:c>
      <x:c r="J201" s="70" t="str">
        <x:v>人工选择与审核</x:v>
      </x:c>
      <x:c r="K201" s="70" t="str">
        <x:v>IB subject code；SL/HL另存，非独立报名组合码</x:v>
      </x:c>
      <x:c r="L201" s="70" t="str"/>
      <x:c r="M201" s="70" t="str">
        <x:v>V3-IBDP</x:v>
      </x:c>
      <x:c r="N201" s="70" t="str">
        <x:v>https://ibo.org/globalassets/new-structure/programmes/dp/pdfs/all-dp-subjects-list-en.pdf</x:v>
      </x:c>
    </x:row>
    <x:row r="202" ht="72" customHeight="1">
      <x:c r="A202" s="71" t="str">
        <x:v>C201</x:v>
      </x:c>
      <x:c r="B202" s="70" t="str">
        <x:v>IB-DP</x:v>
      </x:c>
      <x:c r="C202" s="70" t="str">
        <x:v>学历学科</x:v>
      </x:c>
      <x:c r="D202" s="70" t="str">
        <x:v>HL</x:v>
      </x:c>
      <x:c r="E202" s="70" t="str">
        <x:v>目录层核对</x:v>
      </x:c>
      <x:c r="F202" s="70" t="str">
        <x:v>IB官方2026科目表；具体guide/首末考季另核</x:v>
      </x:c>
      <x:c r="G202" s="70" t="str">
        <x:v>启用前按年份和本校授权复核</x:v>
      </x:c>
      <x:c r="H202" s="70" t="str">
        <x:v>课程目录层</x:v>
      </x:c>
      <x:c r="I202" s="70" t="str">
        <x:v>校内成绩按学校规则；外考成绩不自动换GPA</x:v>
      </x:c>
      <x:c r="J202" s="70" t="str">
        <x:v>人工选择与审核</x:v>
      </x:c>
      <x:c r="K202" s="70" t="str">
        <x:v>IB subject code；SL/HL另存，非独立报名组合码</x:v>
      </x:c>
      <x:c r="L202" s="70" t="str"/>
      <x:c r="M202" s="70" t="str">
        <x:v>V3-IBDP</x:v>
      </x:c>
      <x:c r="N202" s="70" t="str">
        <x:v>https://ibo.org/globalassets/new-structure/programmes/dp/pdfs/all-dp-subjects-list-en.pdf</x:v>
      </x:c>
    </x:row>
    <x:row r="203" ht="72" customHeight="1">
      <x:c r="A203" s="71" t="str">
        <x:v>C202</x:v>
      </x:c>
      <x:c r="B203" s="70" t="str">
        <x:v>IB-DP</x:v>
      </x:c>
      <x:c r="C203" s="70" t="str">
        <x:v>学历学科</x:v>
      </x:c>
      <x:c r="D203" s="70" t="str">
        <x:v>SL</x:v>
      </x:c>
      <x:c r="E203" s="70" t="str">
        <x:v>目录层核对</x:v>
      </x:c>
      <x:c r="F203" s="70" t="str">
        <x:v>IB官方2026科目表；具体guide/首末考季另核</x:v>
      </x:c>
      <x:c r="G203" s="70" t="str">
        <x:v>启用前按年份和本校授权复核</x:v>
      </x:c>
      <x:c r="H203" s="70" t="str">
        <x:v>课程目录层</x:v>
      </x:c>
      <x:c r="I203" s="70" t="str">
        <x:v>校内成绩按学校规则；外考成绩不自动换GPA</x:v>
      </x:c>
      <x:c r="J203" s="70" t="str">
        <x:v>人工选择与审核</x:v>
      </x:c>
      <x:c r="K203" s="70" t="str">
        <x:v>IB subject code；SL/HL另存，非独立报名组合码</x:v>
      </x:c>
      <x:c r="L203" s="70" t="str"/>
      <x:c r="M203" s="70" t="str">
        <x:v>V3-IBDP</x:v>
      </x:c>
      <x:c r="N203" s="70" t="str">
        <x:v>https://ibo.org/globalassets/new-structure/programmes/dp/pdfs/all-dp-subjects-list-en.pdf</x:v>
      </x:c>
    </x:row>
    <x:row r="204" ht="72" customHeight="1">
      <x:c r="A204" s="71" t="str">
        <x:v>C203</x:v>
      </x:c>
      <x:c r="B204" s="70" t="str">
        <x:v>IB-DP</x:v>
      </x:c>
      <x:c r="C204" s="70" t="str">
        <x:v>学历学科</x:v>
      </x:c>
      <x:c r="D204" s="70" t="str">
        <x:v>HL</x:v>
      </x:c>
      <x:c r="E204" s="70" t="str">
        <x:v>目录层核对</x:v>
      </x:c>
      <x:c r="F204" s="70" t="str">
        <x:v>IB官方2026科目表；具体guide/首末考季另核</x:v>
      </x:c>
      <x:c r="G204" s="70" t="str">
        <x:v>启用前按年份和本校授权复核</x:v>
      </x:c>
      <x:c r="H204" s="70" t="str">
        <x:v>课程目录层</x:v>
      </x:c>
      <x:c r="I204" s="70" t="str">
        <x:v>校内成绩按学校规则；外考成绩不自动换GPA</x:v>
      </x:c>
      <x:c r="J204" s="70" t="str">
        <x:v>人工选择与审核</x:v>
      </x:c>
      <x:c r="K204" s="70" t="str">
        <x:v>IB subject code；SL/HL另存，非独立报名组合码</x:v>
      </x:c>
      <x:c r="L204" s="70" t="str"/>
      <x:c r="M204" s="70" t="str">
        <x:v>V3-IBDP</x:v>
      </x:c>
      <x:c r="N204" s="70" t="str">
        <x:v>https://ibo.org/globalassets/new-structure/programmes/dp/pdfs/all-dp-subjects-list-en.pdf</x:v>
      </x:c>
    </x:row>
    <x:row r="205" ht="72" customHeight="1">
      <x:c r="A205" s="71" t="str">
        <x:v>C204</x:v>
      </x:c>
      <x:c r="B205" s="70" t="str">
        <x:v>IB-DP</x:v>
      </x:c>
      <x:c r="C205" s="70" t="str">
        <x:v>学历学科</x:v>
      </x:c>
      <x:c r="D205" s="70" t="str">
        <x:v>SL</x:v>
      </x:c>
      <x:c r="E205" s="70" t="str">
        <x:v>目录层核对</x:v>
      </x:c>
      <x:c r="F205" s="70" t="str">
        <x:v>IB官方2026科目表；具体guide/首末考季另核</x:v>
      </x:c>
      <x:c r="G205" s="70" t="str">
        <x:v>启用前按年份和本校授权复核</x:v>
      </x:c>
      <x:c r="H205" s="70" t="str">
        <x:v>课程目录层</x:v>
      </x:c>
      <x:c r="I205" s="70" t="str">
        <x:v>校内成绩按学校规则；外考成绩不自动换GPA</x:v>
      </x:c>
      <x:c r="J205" s="70" t="str">
        <x:v>人工选择与审核</x:v>
      </x:c>
      <x:c r="K205" s="70" t="str">
        <x:v>IB subject code；SL/HL另存，非独立报名组合码</x:v>
      </x:c>
      <x:c r="L205" s="70" t="str"/>
      <x:c r="M205" s="70" t="str">
        <x:v>V3-IBDP</x:v>
      </x:c>
      <x:c r="N205" s="70" t="str">
        <x:v>https://ibo.org/globalassets/new-structure/programmes/dp/pdfs/all-dp-subjects-list-en.pdf</x:v>
      </x:c>
    </x:row>
    <x:row r="206" ht="72" customHeight="1">
      <x:c r="A206" s="71" t="str">
        <x:v>C205</x:v>
      </x:c>
      <x:c r="B206" s="70" t="str">
        <x:v>IB-DP</x:v>
      </x:c>
      <x:c r="C206" s="70" t="str">
        <x:v>学历学科</x:v>
      </x:c>
      <x:c r="D206" s="70" t="str">
        <x:v>HL</x:v>
      </x:c>
      <x:c r="E206" s="70" t="str">
        <x:v>目录层核对</x:v>
      </x:c>
      <x:c r="F206" s="70" t="str">
        <x:v>IB官方2026科目表；具体guide/首末考季另核</x:v>
      </x:c>
      <x:c r="G206" s="70" t="str">
        <x:v>启用前按年份和本校授权复核</x:v>
      </x:c>
      <x:c r="H206" s="70" t="str">
        <x:v>课程目录层</x:v>
      </x:c>
      <x:c r="I206" s="70" t="str">
        <x:v>校内成绩按学校规则；外考成绩不自动换GPA</x:v>
      </x:c>
      <x:c r="J206" s="70" t="str">
        <x:v>人工选择与审核</x:v>
      </x:c>
      <x:c r="K206" s="70" t="str">
        <x:v>IB subject code；SL/HL另存，非独立报名组合码</x:v>
      </x:c>
      <x:c r="L206" s="70" t="str"/>
      <x:c r="M206" s="70" t="str">
        <x:v>V3-IBDP</x:v>
      </x:c>
      <x:c r="N206" s="70" t="str">
        <x:v>https://ibo.org/globalassets/new-structure/programmes/dp/pdfs/all-dp-subjects-list-en.pdf</x:v>
      </x:c>
    </x:row>
    <x:row r="207" ht="72" customHeight="1">
      <x:c r="A207" s="71" t="str">
        <x:v>C206</x:v>
      </x:c>
      <x:c r="B207" s="70" t="str">
        <x:v>IB-DP</x:v>
      </x:c>
      <x:c r="C207" s="70" t="str">
        <x:v>学历学科</x:v>
      </x:c>
      <x:c r="D207" s="70" t="str">
        <x:v>SL</x:v>
      </x:c>
      <x:c r="E207" s="70" t="str">
        <x:v>目录层核对</x:v>
      </x:c>
      <x:c r="F207" s="70" t="str">
        <x:v>IB官方2026科目表；具体guide/首末考季另核</x:v>
      </x:c>
      <x:c r="G207" s="70" t="str">
        <x:v>启用前按年份和本校授权复核</x:v>
      </x:c>
      <x:c r="H207" s="70" t="str">
        <x:v>课程目录层</x:v>
      </x:c>
      <x:c r="I207" s="70" t="str">
        <x:v>校内成绩按学校规则；外考成绩不自动换GPA</x:v>
      </x:c>
      <x:c r="J207" s="70" t="str">
        <x:v>人工选择与审核</x:v>
      </x:c>
      <x:c r="K207" s="70" t="str">
        <x:v>IB subject code；SL/HL另存，非独立报名组合码</x:v>
      </x:c>
      <x:c r="L207" s="70" t="str"/>
      <x:c r="M207" s="70" t="str">
        <x:v>V3-IBDP</x:v>
      </x:c>
      <x:c r="N207" s="70" t="str">
        <x:v>https://ibo.org/globalassets/new-structure/programmes/dp/pdfs/all-dp-subjects-list-en.pdf</x:v>
      </x:c>
    </x:row>
    <x:row r="208" ht="72" customHeight="1">
      <x:c r="A208" s="71" t="str">
        <x:v>C207</x:v>
      </x:c>
      <x:c r="B208" s="70" t="str">
        <x:v>IB-DP</x:v>
      </x:c>
      <x:c r="C208" s="70" t="str">
        <x:v>学历学科</x:v>
      </x:c>
      <x:c r="D208" s="70" t="str">
        <x:v>HL</x:v>
      </x:c>
      <x:c r="E208" s="70" t="str">
        <x:v>目录层核对</x:v>
      </x:c>
      <x:c r="F208" s="70" t="str">
        <x:v>IB官方2026科目表；具体guide/首末考季另核</x:v>
      </x:c>
      <x:c r="G208" s="70" t="str">
        <x:v>启用前按年份和本校授权复核</x:v>
      </x:c>
      <x:c r="H208" s="70" t="str">
        <x:v>课程目录层</x:v>
      </x:c>
      <x:c r="I208" s="70" t="str">
        <x:v>校内成绩按学校规则；外考成绩不自动换GPA</x:v>
      </x:c>
      <x:c r="J208" s="70" t="str">
        <x:v>人工选择与审核</x:v>
      </x:c>
      <x:c r="K208" s="70" t="str">
        <x:v>IB subject code；SL/HL另存，非独立报名组合码</x:v>
      </x:c>
      <x:c r="L208" s="70" t="str"/>
      <x:c r="M208" s="70" t="str">
        <x:v>V3-IBDP</x:v>
      </x:c>
      <x:c r="N208" s="70" t="str">
        <x:v>https://ibo.org/globalassets/new-structure/programmes/dp/pdfs/all-dp-subjects-list-en.pdf</x:v>
      </x:c>
    </x:row>
    <x:row r="209" ht="72" customHeight="1">
      <x:c r="A209" s="71" t="str">
        <x:v>C208</x:v>
      </x:c>
      <x:c r="B209" s="70" t="str">
        <x:v>IB-DP</x:v>
      </x:c>
      <x:c r="C209" s="70" t="str">
        <x:v>学历学科</x:v>
      </x:c>
      <x:c r="D209" s="70" t="str">
        <x:v>SL</x:v>
      </x:c>
      <x:c r="E209" s="70" t="str">
        <x:v>目录层核对</x:v>
      </x:c>
      <x:c r="F209" s="70" t="str">
        <x:v>IB官方2026科目表；具体guide/首末考季另核</x:v>
      </x:c>
      <x:c r="G209" s="70" t="str">
        <x:v>启用前按年份和本校授权复核</x:v>
      </x:c>
      <x:c r="H209" s="70" t="str">
        <x:v>课程目录层</x:v>
      </x:c>
      <x:c r="I209" s="70" t="str">
        <x:v>校内成绩按学校规则；外考成绩不自动换GPA</x:v>
      </x:c>
      <x:c r="J209" s="70" t="str">
        <x:v>人工选择与审核</x:v>
      </x:c>
      <x:c r="K209" s="70" t="str">
        <x:v>IB subject code；SL/HL另存，非独立报名组合码</x:v>
      </x:c>
      <x:c r="L209" s="70" t="str"/>
      <x:c r="M209" s="70" t="str">
        <x:v>V3-IBDP</x:v>
      </x:c>
      <x:c r="N209" s="70" t="str">
        <x:v>https://ibo.org/globalassets/new-structure/programmes/dp/pdfs/all-dp-subjects-list-en.pdf</x:v>
      </x:c>
    </x:row>
    <x:row r="210" ht="72" customHeight="1">
      <x:c r="A210" s="71" t="str">
        <x:v>C209</x:v>
      </x:c>
      <x:c r="B210" s="70" t="str">
        <x:v>IB-DP</x:v>
      </x:c>
      <x:c r="C210" s="70" t="str">
        <x:v>学历学科</x:v>
      </x:c>
      <x:c r="D210" s="70" t="str">
        <x:v>HL</x:v>
      </x:c>
      <x:c r="E210" s="70" t="str">
        <x:v>目录层核对</x:v>
      </x:c>
      <x:c r="F210" s="70" t="str">
        <x:v>IB官方2026科目表；具体guide/首末考季另核</x:v>
      </x:c>
      <x:c r="G210" s="70" t="str">
        <x:v>启用前按年份和本校授权复核</x:v>
      </x:c>
      <x:c r="H210" s="70" t="str">
        <x:v>课程目录层</x:v>
      </x:c>
      <x:c r="I210" s="70" t="str">
        <x:v>校内成绩按学校规则；外考成绩不自动换GPA</x:v>
      </x:c>
      <x:c r="J210" s="70" t="str">
        <x:v>人工选择与审核</x:v>
      </x:c>
      <x:c r="K210" s="70" t="str">
        <x:v>IB subject code；SL/HL另存，非独立报名组合码</x:v>
      </x:c>
      <x:c r="L210" s="70" t="str"/>
      <x:c r="M210" s="70" t="str">
        <x:v>V3-IBDP</x:v>
      </x:c>
      <x:c r="N210" s="70" t="str">
        <x:v>https://ibo.org/globalassets/new-structure/programmes/dp/pdfs/all-dp-subjects-list-en.pdf</x:v>
      </x:c>
    </x:row>
    <x:row r="211" ht="72" customHeight="1">
      <x:c r="A211" s="71" t="str">
        <x:v>C210</x:v>
      </x:c>
      <x:c r="B211" s="70" t="str">
        <x:v>IB-DP</x:v>
      </x:c>
      <x:c r="C211" s="70" t="str">
        <x:v>学历学科</x:v>
      </x:c>
      <x:c r="D211" s="70" t="str">
        <x:v>SL</x:v>
      </x:c>
      <x:c r="E211" s="70" t="str">
        <x:v>目录层核对</x:v>
      </x:c>
      <x:c r="F211" s="70" t="str">
        <x:v>IB官方2026科目表；具体guide/首末考季另核</x:v>
      </x:c>
      <x:c r="G211" s="70" t="str">
        <x:v>启用前按年份和本校授权复核</x:v>
      </x:c>
      <x:c r="H211" s="70" t="str">
        <x:v>课程目录层</x:v>
      </x:c>
      <x:c r="I211" s="70" t="str">
        <x:v>校内成绩按学校规则；外考成绩不自动换GPA</x:v>
      </x:c>
      <x:c r="J211" s="70" t="str">
        <x:v>人工选择与审核</x:v>
      </x:c>
      <x:c r="K211" s="70" t="str">
        <x:v>IB subject code；SL/HL另存，非独立报名组合码</x:v>
      </x:c>
      <x:c r="L211" s="70" t="str"/>
      <x:c r="M211" s="70" t="str">
        <x:v>V3-IBDP</x:v>
      </x:c>
      <x:c r="N211" s="70" t="str">
        <x:v>https://ibo.org/globalassets/new-structure/programmes/dp/pdfs/all-dp-subjects-list-en.pdf</x:v>
      </x:c>
    </x:row>
    <x:row r="212" ht="72" customHeight="1">
      <x:c r="A212" s="71" t="str">
        <x:v>C211</x:v>
      </x:c>
      <x:c r="B212" s="70" t="str">
        <x:v>IB-DP</x:v>
      </x:c>
      <x:c r="C212" s="70" t="str">
        <x:v>学历学科</x:v>
      </x:c>
      <x:c r="D212" s="70" t="str">
        <x:v>HL</x:v>
      </x:c>
      <x:c r="E212" s="70" t="str">
        <x:v>目录层核对</x:v>
      </x:c>
      <x:c r="F212" s="70" t="str">
        <x:v>IB官方2026科目表；具体guide/首末考季另核</x:v>
      </x:c>
      <x:c r="G212" s="70" t="str">
        <x:v>启用前按年份和本校授权复核</x:v>
      </x:c>
      <x:c r="H212" s="70" t="str">
        <x:v>课程目录层</x:v>
      </x:c>
      <x:c r="I212" s="70" t="str">
        <x:v>校内成绩按学校规则；外考成绩不自动换GPA</x:v>
      </x:c>
      <x:c r="J212" s="70" t="str">
        <x:v>人工选择与审核</x:v>
      </x:c>
      <x:c r="K212" s="70" t="str">
        <x:v>IB subject code；SL/HL另存，非独立报名组合码</x:v>
      </x:c>
      <x:c r="L212" s="70" t="str"/>
      <x:c r="M212" s="70" t="str">
        <x:v>V3-IBDP</x:v>
      </x:c>
      <x:c r="N212" s="70" t="str">
        <x:v>https://ibo.org/globalassets/new-structure/programmes/dp/pdfs/all-dp-subjects-list-en.pdf</x:v>
      </x:c>
    </x:row>
    <x:row r="213" ht="72" customHeight="1">
      <x:c r="A213" s="71" t="str">
        <x:v>C212</x:v>
      </x:c>
      <x:c r="B213" s="70" t="str">
        <x:v>IB-DP</x:v>
      </x:c>
      <x:c r="C213" s="70" t="str">
        <x:v>学历学科</x:v>
      </x:c>
      <x:c r="D213" s="70" t="str">
        <x:v>SL</x:v>
      </x:c>
      <x:c r="E213" s="70" t="str">
        <x:v>目录层核对</x:v>
      </x:c>
      <x:c r="F213" s="70" t="str">
        <x:v>IB官方2026科目表；具体guide/首末考季另核</x:v>
      </x:c>
      <x:c r="G213" s="70" t="str">
        <x:v>启用前按年份和本校授权复核</x:v>
      </x:c>
      <x:c r="H213" s="70" t="str">
        <x:v>课程目录层</x:v>
      </x:c>
      <x:c r="I213" s="70" t="str">
        <x:v>校内成绩按学校规则；外考成绩不自动换GPA</x:v>
      </x:c>
      <x:c r="J213" s="70" t="str">
        <x:v>人工选择与审核</x:v>
      </x:c>
      <x:c r="K213" s="70" t="str">
        <x:v>IB subject code；SL/HL另存，非独立报名组合码</x:v>
      </x:c>
      <x:c r="L213" s="70" t="str"/>
      <x:c r="M213" s="70" t="str">
        <x:v>V3-IBDP</x:v>
      </x:c>
      <x:c r="N213" s="70" t="str">
        <x:v>https://ibo.org/globalassets/new-structure/programmes/dp/pdfs/all-dp-subjects-list-en.pdf</x:v>
      </x:c>
    </x:row>
    <x:row r="214" ht="72" customHeight="1">
      <x:c r="A214" s="71" t="str">
        <x:v>C213</x:v>
      </x:c>
      <x:c r="B214" s="70" t="str">
        <x:v>IB-DP</x:v>
      </x:c>
      <x:c r="C214" s="70" t="str">
        <x:v>学历学科</x:v>
      </x:c>
      <x:c r="D214" s="70" t="str">
        <x:v>SL</x:v>
      </x:c>
      <x:c r="E214" s="70" t="str">
        <x:v>目录层核对</x:v>
      </x:c>
      <x:c r="F214" s="70" t="str">
        <x:v>IB官方2026科目表；具体guide/首末考季另核</x:v>
      </x:c>
      <x:c r="G214" s="70" t="str">
        <x:v>启用前按年份和本校授权复核</x:v>
      </x:c>
      <x:c r="H214" s="70" t="str">
        <x:v>课程目录层</x:v>
      </x:c>
      <x:c r="I214" s="70" t="str">
        <x:v>校内成绩按学校规则；外考成绩不自动换GPA</x:v>
      </x:c>
      <x:c r="J214" s="70" t="str">
        <x:v>人工选择与审核</x:v>
      </x:c>
      <x:c r="K214" s="70" t="str">
        <x:v>IB subject code；SL/HL另存，非独立报名组合码</x:v>
      </x:c>
      <x:c r="L214" s="70" t="str"/>
      <x:c r="M214" s="70" t="str">
        <x:v>V3-IBDP</x:v>
      </x:c>
      <x:c r="N214" s="70" t="str">
        <x:v>https://ibo.org/globalassets/new-structure/programmes/dp/pdfs/all-dp-subjects-list-en.pdf</x:v>
      </x:c>
    </x:row>
    <x:row r="215" ht="72" customHeight="1">
      <x:c r="A215" s="71" t="str">
        <x:v>C214</x:v>
      </x:c>
      <x:c r="B215" s="70" t="str">
        <x:v>IB-DP</x:v>
      </x:c>
      <x:c r="C215" s="70" t="str">
        <x:v>学历学科</x:v>
      </x:c>
      <x:c r="D215" s="70" t="str">
        <x:v>HL</x:v>
      </x:c>
      <x:c r="E215" s="70" t="str">
        <x:v>目录层核对</x:v>
      </x:c>
      <x:c r="F215" s="70" t="str">
        <x:v>IB官方2026科目表；具体guide/首末考季另核</x:v>
      </x:c>
      <x:c r="G215" s="70" t="str">
        <x:v>启用前按年份和本校授权复核</x:v>
      </x:c>
      <x:c r="H215" s="70" t="str">
        <x:v>课程目录层</x:v>
      </x:c>
      <x:c r="I215" s="70" t="str">
        <x:v>校内成绩按学校规则；外考成绩不自动换GPA</x:v>
      </x:c>
      <x:c r="J215" s="70" t="str">
        <x:v>人工选择与审核</x:v>
      </x:c>
      <x:c r="K215" s="70" t="str">
        <x:v>IB subject code；SL/HL另存，非独立报名组合码</x:v>
      </x:c>
      <x:c r="L215" s="70" t="str"/>
      <x:c r="M215" s="70" t="str">
        <x:v>V3-IBDP</x:v>
      </x:c>
      <x:c r="N215" s="70" t="str">
        <x:v>https://ibo.org/globalassets/new-structure/programmes/dp/pdfs/all-dp-subjects-list-en.pdf</x:v>
      </x:c>
    </x:row>
    <x:row r="216" ht="72" customHeight="1">
      <x:c r="A216" s="71" t="str">
        <x:v>C215</x:v>
      </x:c>
      <x:c r="B216" s="70" t="str">
        <x:v>IB-DP</x:v>
      </x:c>
      <x:c r="C216" s="70" t="str">
        <x:v>学历学科</x:v>
      </x:c>
      <x:c r="D216" s="70" t="str">
        <x:v>SL</x:v>
      </x:c>
      <x:c r="E216" s="70" t="str">
        <x:v>目录层核对</x:v>
      </x:c>
      <x:c r="F216" s="70" t="str">
        <x:v>IB官方2026科目表；具体guide/首末考季另核</x:v>
      </x:c>
      <x:c r="G216" s="70" t="str">
        <x:v>启用前按年份和本校授权复核</x:v>
      </x:c>
      <x:c r="H216" s="70" t="str">
        <x:v>课程目录层</x:v>
      </x:c>
      <x:c r="I216" s="70" t="str">
        <x:v>校内成绩按学校规则；外考成绩不自动换GPA</x:v>
      </x:c>
      <x:c r="J216" s="70" t="str">
        <x:v>人工选择与审核</x:v>
      </x:c>
      <x:c r="K216" s="70" t="str">
        <x:v>IB subject code；SL/HL另存，非独立报名组合码</x:v>
      </x:c>
      <x:c r="L216" s="70" t="str"/>
      <x:c r="M216" s="70" t="str">
        <x:v>V3-IBDP</x:v>
      </x:c>
      <x:c r="N216" s="70" t="str">
        <x:v>https://ibo.org/globalassets/new-structure/programmes/dp/pdfs/all-dp-subjects-list-en.pdf</x:v>
      </x:c>
    </x:row>
    <x:row r="217" ht="72" customHeight="1">
      <x:c r="A217" s="71" t="str">
        <x:v>C216</x:v>
      </x:c>
      <x:c r="B217" s="70" t="str">
        <x:v>IB-DP</x:v>
      </x:c>
      <x:c r="C217" s="70" t="str">
        <x:v>学历学科</x:v>
      </x:c>
      <x:c r="D217" s="70" t="str">
        <x:v>HL</x:v>
      </x:c>
      <x:c r="E217" s="70" t="str">
        <x:v>目录层核对</x:v>
      </x:c>
      <x:c r="F217" s="70" t="str">
        <x:v>IB官方2026科目表；具体guide/首末考季另核</x:v>
      </x:c>
      <x:c r="G217" s="70" t="str">
        <x:v>启用前按年份和本校授权复核</x:v>
      </x:c>
      <x:c r="H217" s="70" t="str">
        <x:v>课程目录层</x:v>
      </x:c>
      <x:c r="I217" s="70" t="str">
        <x:v>校内成绩按学校规则；外考成绩不自动换GPA</x:v>
      </x:c>
      <x:c r="J217" s="70" t="str">
        <x:v>人工选择与审核</x:v>
      </x:c>
      <x:c r="K217" s="70" t="str">
        <x:v>IB subject code；SL/HL另存，非独立报名组合码</x:v>
      </x:c>
      <x:c r="L217" s="70" t="str"/>
      <x:c r="M217" s="70" t="str">
        <x:v>V3-IBDP</x:v>
      </x:c>
      <x:c r="N217" s="70" t="str">
        <x:v>https://ibo.org/globalassets/new-structure/programmes/dp/pdfs/all-dp-subjects-list-en.pdf</x:v>
      </x:c>
    </x:row>
    <x:row r="218" ht="72" customHeight="1">
      <x:c r="A218" s="71" t="str">
        <x:v>C217</x:v>
      </x:c>
      <x:c r="B218" s="70" t="str">
        <x:v>IB-DP</x:v>
      </x:c>
      <x:c r="C218" s="70" t="str">
        <x:v>学历学科</x:v>
      </x:c>
      <x:c r="D218" s="70" t="str">
        <x:v>SL</x:v>
      </x:c>
      <x:c r="E218" s="70" t="str">
        <x:v>目录层核对</x:v>
      </x:c>
      <x:c r="F218" s="70" t="str">
        <x:v>IB官方2026科目表；具体guide/首末考季另核</x:v>
      </x:c>
      <x:c r="G218" s="70" t="str">
        <x:v>启用前按年份和本校授权复核</x:v>
      </x:c>
      <x:c r="H218" s="70" t="str">
        <x:v>课程目录层</x:v>
      </x:c>
      <x:c r="I218" s="70" t="str">
        <x:v>校内成绩按学校规则；外考成绩不自动换GPA</x:v>
      </x:c>
      <x:c r="J218" s="70" t="str">
        <x:v>人工选择与审核</x:v>
      </x:c>
      <x:c r="K218" s="70" t="str">
        <x:v>IB subject code；SL/HL另存，非独立报名组合码</x:v>
      </x:c>
      <x:c r="L218" s="70" t="str"/>
      <x:c r="M218" s="70" t="str">
        <x:v>V3-IBDP</x:v>
      </x:c>
      <x:c r="N218" s="70" t="str">
        <x:v>https://ibo.org/globalassets/new-structure/programmes/dp/pdfs/all-dp-subjects-list-en.pdf</x:v>
      </x:c>
    </x:row>
    <x:row r="219" ht="72" customHeight="1">
      <x:c r="A219" s="71" t="str">
        <x:v>C218</x:v>
      </x:c>
      <x:c r="B219" s="70" t="str">
        <x:v>IB-DP</x:v>
      </x:c>
      <x:c r="C219" s="70" t="str">
        <x:v>学历学科</x:v>
      </x:c>
      <x:c r="D219" s="70" t="str">
        <x:v>HL</x:v>
      </x:c>
      <x:c r="E219" s="70" t="str">
        <x:v>目录层核对</x:v>
      </x:c>
      <x:c r="F219" s="70" t="str">
        <x:v>IB官方2026科目表；具体guide/首末考季另核</x:v>
      </x:c>
      <x:c r="G219" s="70" t="str">
        <x:v>启用前按年份和本校授权复核</x:v>
      </x:c>
      <x:c r="H219" s="70" t="str">
        <x:v>课程目录层</x:v>
      </x:c>
      <x:c r="I219" s="70" t="str">
        <x:v>校内成绩按学校规则；外考成绩不自动换GPA</x:v>
      </x:c>
      <x:c r="J219" s="70" t="str">
        <x:v>人工选择与审核</x:v>
      </x:c>
      <x:c r="K219" s="70" t="str">
        <x:v>IB subject code；SL/HL另存，非独立报名组合码</x:v>
      </x:c>
      <x:c r="L219" s="70" t="str"/>
      <x:c r="M219" s="70" t="str">
        <x:v>V3-IBDP</x:v>
      </x:c>
      <x:c r="N219" s="70" t="str">
        <x:v>https://ibo.org/globalassets/new-structure/programmes/dp/pdfs/all-dp-subjects-list-en.pdf</x:v>
      </x:c>
    </x:row>
    <x:row r="220" ht="72" customHeight="1">
      <x:c r="A220" s="71" t="str">
        <x:v>C219</x:v>
      </x:c>
      <x:c r="B220" s="70" t="str">
        <x:v>IB-DP</x:v>
      </x:c>
      <x:c r="C220" s="70" t="str">
        <x:v>学历学科</x:v>
      </x:c>
      <x:c r="D220" s="70" t="str">
        <x:v>SL</x:v>
      </x:c>
      <x:c r="E220" s="70" t="str">
        <x:v>目录层核对</x:v>
      </x:c>
      <x:c r="F220" s="70" t="str">
        <x:v>IB官方2026科目表；具体guide/首末考季另核</x:v>
      </x:c>
      <x:c r="G220" s="70" t="str">
        <x:v>启用前按年份和本校授权复核</x:v>
      </x:c>
      <x:c r="H220" s="70" t="str">
        <x:v>课程目录层</x:v>
      </x:c>
      <x:c r="I220" s="70" t="str">
        <x:v>校内成绩按学校规则；外考成绩不自动换GPA</x:v>
      </x:c>
      <x:c r="J220" s="70" t="str">
        <x:v>人工选择与审核</x:v>
      </x:c>
      <x:c r="K220" s="70" t="str">
        <x:v>IB subject code；SL/HL另存，非独立报名组合码</x:v>
      </x:c>
      <x:c r="L220" s="70" t="str"/>
      <x:c r="M220" s="70" t="str">
        <x:v>V3-IBDP</x:v>
      </x:c>
      <x:c r="N220" s="70" t="str">
        <x:v>https://ibo.org/globalassets/new-structure/programmes/dp/pdfs/all-dp-subjects-list-en.pdf</x:v>
      </x:c>
    </x:row>
    <x:row r="221" ht="72" customHeight="1">
      <x:c r="A221" s="71" t="str">
        <x:v>C220</x:v>
      </x:c>
      <x:c r="B221" s="70" t="str">
        <x:v>IB-DP</x:v>
      </x:c>
      <x:c r="C221" s="70" t="str">
        <x:v>学历学科</x:v>
      </x:c>
      <x:c r="D221" s="70" t="str">
        <x:v>HL</x:v>
      </x:c>
      <x:c r="E221" s="70" t="str">
        <x:v>目录层核对</x:v>
      </x:c>
      <x:c r="F221" s="70" t="str">
        <x:v>IB官方2026科目表；具体guide/首末考季另核</x:v>
      </x:c>
      <x:c r="G221" s="70" t="str">
        <x:v>启用前按年份和本校授权复核</x:v>
      </x:c>
      <x:c r="H221" s="70" t="str">
        <x:v>课程目录层</x:v>
      </x:c>
      <x:c r="I221" s="70" t="str">
        <x:v>校内成绩按学校规则；外考成绩不自动换GPA</x:v>
      </x:c>
      <x:c r="J221" s="70" t="str">
        <x:v>人工选择与审核</x:v>
      </x:c>
      <x:c r="K221" s="70" t="str">
        <x:v>IB subject code；SL/HL另存，非独立报名组合码</x:v>
      </x:c>
      <x:c r="L221" s="70" t="str"/>
      <x:c r="M221" s="70" t="str">
        <x:v>V3-IBDP</x:v>
      </x:c>
      <x:c r="N221" s="70" t="str">
        <x:v>https://ibo.org/globalassets/new-structure/programmes/dp/pdfs/all-dp-subjects-list-en.pdf</x:v>
      </x:c>
    </x:row>
    <x:row r="222" ht="72" customHeight="1">
      <x:c r="A222" s="71" t="str">
        <x:v>C221</x:v>
      </x:c>
      <x:c r="B222" s="70" t="str">
        <x:v>IB-DP</x:v>
      </x:c>
      <x:c r="C222" s="70" t="str">
        <x:v>学历学科</x:v>
      </x:c>
      <x:c r="D222" s="70" t="str">
        <x:v>SL</x:v>
      </x:c>
      <x:c r="E222" s="70" t="str">
        <x:v>目录层核对</x:v>
      </x:c>
      <x:c r="F222" s="70" t="str">
        <x:v>IB官方2026科目表；具体guide/首末考季另核</x:v>
      </x:c>
      <x:c r="G222" s="70" t="str">
        <x:v>启用前按年份和本校授权复核</x:v>
      </x:c>
      <x:c r="H222" s="70" t="str">
        <x:v>课程目录层</x:v>
      </x:c>
      <x:c r="I222" s="70" t="str">
        <x:v>校内成绩按学校规则；外考成绩不自动换GPA</x:v>
      </x:c>
      <x:c r="J222" s="70" t="str">
        <x:v>人工选择与审核</x:v>
      </x:c>
      <x:c r="K222" s="70" t="str">
        <x:v>IB subject code；SL/HL另存，非独立报名组合码</x:v>
      </x:c>
      <x:c r="L222" s="70" t="str"/>
      <x:c r="M222" s="70" t="str">
        <x:v>V3-IBDP</x:v>
      </x:c>
      <x:c r="N222" s="70" t="str">
        <x:v>https://ibo.org/globalassets/new-structure/programmes/dp/pdfs/all-dp-subjects-list-en.pdf</x:v>
      </x:c>
    </x:row>
    <x:row r="223" ht="72" customHeight="1">
      <x:c r="A223" s="71" t="str">
        <x:v>C222</x:v>
      </x:c>
      <x:c r="B223" s="70" t="str">
        <x:v>IB-DP</x:v>
      </x:c>
      <x:c r="C223" s="70" t="str">
        <x:v>学历学科</x:v>
      </x:c>
      <x:c r="D223" s="70" t="str">
        <x:v>HL</x:v>
      </x:c>
      <x:c r="E223" s="70" t="str">
        <x:v>目录层核对</x:v>
      </x:c>
      <x:c r="F223" s="70" t="str">
        <x:v>IB官方2026科目表；具体guide/首末考季另核</x:v>
      </x:c>
      <x:c r="G223" s="70" t="str">
        <x:v>启用前按年份和本校授权复核</x:v>
      </x:c>
      <x:c r="H223" s="70" t="str">
        <x:v>课程目录层</x:v>
      </x:c>
      <x:c r="I223" s="70" t="str">
        <x:v>校内成绩按学校规则；外考成绩不自动换GPA</x:v>
      </x:c>
      <x:c r="J223" s="70" t="str">
        <x:v>人工选择与审核</x:v>
      </x:c>
      <x:c r="K223" s="70" t="str">
        <x:v>IB subject code；SL/HL另存，非独立报名组合码</x:v>
      </x:c>
      <x:c r="L223" s="70" t="str"/>
      <x:c r="M223" s="70" t="str">
        <x:v>V3-IBDP</x:v>
      </x:c>
      <x:c r="N223" s="70" t="str">
        <x:v>https://ibo.org/globalassets/new-structure/programmes/dp/pdfs/all-dp-subjects-list-en.pdf</x:v>
      </x:c>
    </x:row>
    <x:row r="224" ht="72" customHeight="1">
      <x:c r="A224" s="71" t="str">
        <x:v>C223</x:v>
      </x:c>
      <x:c r="B224" s="70" t="str">
        <x:v>IB-DP</x:v>
      </x:c>
      <x:c r="C224" s="70" t="str">
        <x:v>学历学科</x:v>
      </x:c>
      <x:c r="D224" s="70" t="str">
        <x:v>SL</x:v>
      </x:c>
      <x:c r="E224" s="70" t="str">
        <x:v>目录层核对</x:v>
      </x:c>
      <x:c r="F224" s="70" t="str">
        <x:v>IB官方2026科目表；具体guide/首末考季另核</x:v>
      </x:c>
      <x:c r="G224" s="70" t="str">
        <x:v>启用前按年份和本校授权复核</x:v>
      </x:c>
      <x:c r="H224" s="70" t="str">
        <x:v>课程目录层</x:v>
      </x:c>
      <x:c r="I224" s="70" t="str">
        <x:v>校内成绩按学校规则；外考成绩不自动换GPA</x:v>
      </x:c>
      <x:c r="J224" s="70" t="str">
        <x:v>人工选择与审核</x:v>
      </x:c>
      <x:c r="K224" s="70" t="str">
        <x:v>IB subject code；SL/HL另存，非独立报名组合码</x:v>
      </x:c>
      <x:c r="L224" s="70" t="str"/>
      <x:c r="M224" s="70" t="str">
        <x:v>V3-IBDP</x:v>
      </x:c>
      <x:c r="N224" s="70" t="str">
        <x:v>https://ibo.org/globalassets/new-structure/programmes/dp/pdfs/all-dp-subjects-list-en.pdf</x:v>
      </x:c>
    </x:row>
    <x:row r="225" ht="72" customHeight="1">
      <x:c r="A225" s="71" t="str">
        <x:v>C224</x:v>
      </x:c>
      <x:c r="B225" s="70" t="str">
        <x:v>IB-DP</x:v>
      </x:c>
      <x:c r="C225" s="70" t="str">
        <x:v>学历学科</x:v>
      </x:c>
      <x:c r="D225" s="70" t="str">
        <x:v>HL</x:v>
      </x:c>
      <x:c r="E225" s="70" t="str">
        <x:v>目录层核对</x:v>
      </x:c>
      <x:c r="F225" s="70" t="str">
        <x:v>IB官方2026科目表；具体guide/首末考季另核</x:v>
      </x:c>
      <x:c r="G225" s="70" t="str">
        <x:v>启用前按年份和本校授权复核</x:v>
      </x:c>
      <x:c r="H225" s="70" t="str">
        <x:v>课程目录层</x:v>
      </x:c>
      <x:c r="I225" s="70" t="str">
        <x:v>校内成绩按学校规则；外考成绩不自动换GPA</x:v>
      </x:c>
      <x:c r="J225" s="70" t="str">
        <x:v>人工选择与审核</x:v>
      </x:c>
      <x:c r="K225" s="70" t="str">
        <x:v>IB subject code；SL/HL另存，非独立报名组合码</x:v>
      </x:c>
      <x:c r="L225" s="70" t="str"/>
      <x:c r="M225" s="70" t="str">
        <x:v>V3-IBDP</x:v>
      </x:c>
      <x:c r="N225" s="70" t="str">
        <x:v>https://ibo.org/globalassets/new-structure/programmes/dp/pdfs/all-dp-subjects-list-en.pdf</x:v>
      </x:c>
    </x:row>
    <x:row r="226" ht="72" customHeight="1">
      <x:c r="A226" s="71" t="str">
        <x:v>C225</x:v>
      </x:c>
      <x:c r="B226" s="70" t="str">
        <x:v>IB-DP</x:v>
      </x:c>
      <x:c r="C226" s="70" t="str">
        <x:v>学历学科</x:v>
      </x:c>
      <x:c r="D226" s="70" t="str">
        <x:v>SL</x:v>
      </x:c>
      <x:c r="E226" s="70" t="str">
        <x:v>目录层核对</x:v>
      </x:c>
      <x:c r="F226" s="70" t="str">
        <x:v>IB官方2026科目表；具体guide/首末考季另核</x:v>
      </x:c>
      <x:c r="G226" s="70" t="str">
        <x:v>启用前按年份和本校授权复核</x:v>
      </x:c>
      <x:c r="H226" s="70" t="str">
        <x:v>课程目录层</x:v>
      </x:c>
      <x:c r="I226" s="70" t="str">
        <x:v>校内成绩按学校规则；外考成绩不自动换GPA</x:v>
      </x:c>
      <x:c r="J226" s="70" t="str">
        <x:v>人工选择与审核</x:v>
      </x:c>
      <x:c r="K226" s="70" t="str">
        <x:v>IB subject code；SL/HL另存，非独立报名组合码</x:v>
      </x:c>
      <x:c r="L226" s="70" t="str"/>
      <x:c r="M226" s="70" t="str">
        <x:v>V3-IBDP</x:v>
      </x:c>
      <x:c r="N226" s="70" t="str">
        <x:v>https://ibo.org/globalassets/new-structure/programmes/dp/pdfs/all-dp-subjects-list-en.pdf</x:v>
      </x:c>
    </x:row>
    <x:row r="227" ht="72" customHeight="1">
      <x:c r="A227" s="71" t="str">
        <x:v>C226</x:v>
      </x:c>
      <x:c r="B227" s="70" t="str">
        <x:v>IB-DP</x:v>
      </x:c>
      <x:c r="C227" s="70" t="str">
        <x:v>学历学科</x:v>
      </x:c>
      <x:c r="D227" s="70" t="str">
        <x:v>HL</x:v>
      </x:c>
      <x:c r="E227" s="70" t="str">
        <x:v>目录层核对</x:v>
      </x:c>
      <x:c r="F227" s="70" t="str">
        <x:v>IB官方2026科目表；具体guide/首末考季另核</x:v>
      </x:c>
      <x:c r="G227" s="70" t="str">
        <x:v>启用前按年份和本校授权复核</x:v>
      </x:c>
      <x:c r="H227" s="70" t="str">
        <x:v>课程目录层</x:v>
      </x:c>
      <x:c r="I227" s="70" t="str">
        <x:v>校内成绩按学校规则；外考成绩不自动换GPA</x:v>
      </x:c>
      <x:c r="J227" s="70" t="str">
        <x:v>人工选择与审核</x:v>
      </x:c>
      <x:c r="K227" s="70" t="str">
        <x:v>IB subject code；SL/HL另存，非独立报名组合码</x:v>
      </x:c>
      <x:c r="L227" s="70" t="str"/>
      <x:c r="M227" s="70" t="str">
        <x:v>V3-IBDP</x:v>
      </x:c>
      <x:c r="N227" s="70" t="str">
        <x:v>https://ibo.org/globalassets/new-structure/programmes/dp/pdfs/all-dp-subjects-list-en.pdf</x:v>
      </x:c>
    </x:row>
    <x:row r="228" ht="72" customHeight="1">
      <x:c r="A228" s="71" t="str">
        <x:v>C227</x:v>
      </x:c>
      <x:c r="B228" s="70" t="str">
        <x:v>IB-DP</x:v>
      </x:c>
      <x:c r="C228" s="70" t="str">
        <x:v>学历学科</x:v>
      </x:c>
      <x:c r="D228" s="70" t="str">
        <x:v>SL</x:v>
      </x:c>
      <x:c r="E228" s="70" t="str">
        <x:v>目录层核对</x:v>
      </x:c>
      <x:c r="F228" s="70" t="str">
        <x:v>IB官方2026科目表；具体guide/首末考季另核</x:v>
      </x:c>
      <x:c r="G228" s="70" t="str">
        <x:v>启用前按年份和本校授权复核</x:v>
      </x:c>
      <x:c r="H228" s="70" t="str">
        <x:v>课程目录层</x:v>
      </x:c>
      <x:c r="I228" s="70" t="str">
        <x:v>校内成绩按学校规则；外考成绩不自动换GPA</x:v>
      </x:c>
      <x:c r="J228" s="70" t="str">
        <x:v>人工选择与审核</x:v>
      </x:c>
      <x:c r="K228" s="70" t="str">
        <x:v>IB subject code；SL/HL另存，非独立报名组合码</x:v>
      </x:c>
      <x:c r="L228" s="70" t="str"/>
      <x:c r="M228" s="70" t="str">
        <x:v>V3-IBDP</x:v>
      </x:c>
      <x:c r="N228" s="70" t="str">
        <x:v>https://ibo.org/globalassets/new-structure/programmes/dp/pdfs/all-dp-subjects-list-en.pdf</x:v>
      </x:c>
    </x:row>
    <x:row r="229" ht="72" customHeight="1">
      <x:c r="A229" s="71" t="str">
        <x:v>C228</x:v>
      </x:c>
      <x:c r="B229" s="70" t="str">
        <x:v>IB-DP</x:v>
      </x:c>
      <x:c r="C229" s="70" t="str">
        <x:v>学历学科</x:v>
      </x:c>
      <x:c r="D229" s="70" t="str">
        <x:v>HL</x:v>
      </x:c>
      <x:c r="E229" s="70" t="str">
        <x:v>目录层核对</x:v>
      </x:c>
      <x:c r="F229" s="70" t="str">
        <x:v>IB官方2026科目表；具体guide/首末考季另核</x:v>
      </x:c>
      <x:c r="G229" s="70" t="str">
        <x:v>启用前按年份和本校授权复核</x:v>
      </x:c>
      <x:c r="H229" s="70" t="str">
        <x:v>课程目录层</x:v>
      </x:c>
      <x:c r="I229" s="70" t="str">
        <x:v>校内成绩按学校规则；外考成绩不自动换GPA</x:v>
      </x:c>
      <x:c r="J229" s="70" t="str">
        <x:v>人工选择与审核</x:v>
      </x:c>
      <x:c r="K229" s="70" t="str">
        <x:v>IB subject code；SL/HL另存，非独立报名组合码</x:v>
      </x:c>
      <x:c r="L229" s="70" t="str"/>
      <x:c r="M229" s="70" t="str">
        <x:v>V3-IBDP</x:v>
      </x:c>
      <x:c r="N229" s="70" t="str">
        <x:v>https://ibo.org/globalassets/new-structure/programmes/dp/pdfs/all-dp-subjects-list-en.pdf</x:v>
      </x:c>
    </x:row>
    <x:row r="230" ht="72" customHeight="1">
      <x:c r="A230" s="71" t="str">
        <x:v>C229</x:v>
      </x:c>
      <x:c r="B230" s="70" t="str">
        <x:v>IB-DP</x:v>
      </x:c>
      <x:c r="C230" s="70" t="str">
        <x:v>学历学科</x:v>
      </x:c>
      <x:c r="D230" s="70" t="str">
        <x:v>SL</x:v>
      </x:c>
      <x:c r="E230" s="70" t="str">
        <x:v>目录层核对</x:v>
      </x:c>
      <x:c r="F230" s="70" t="str">
        <x:v>IB官方2026科目表；具体guide/首末考季另核</x:v>
      </x:c>
      <x:c r="G230" s="70" t="str">
        <x:v>启用前按年份和本校授权复核</x:v>
      </x:c>
      <x:c r="H230" s="70" t="str">
        <x:v>课程目录层</x:v>
      </x:c>
      <x:c r="I230" s="70" t="str">
        <x:v>校内成绩按学校规则；外考成绩不自动换GPA</x:v>
      </x:c>
      <x:c r="J230" s="70" t="str">
        <x:v>人工选择与审核</x:v>
      </x:c>
      <x:c r="K230" s="70" t="str">
        <x:v>IB subject code；SL/HL另存，非独立报名组合码</x:v>
      </x:c>
      <x:c r="L230" s="70" t="str"/>
      <x:c r="M230" s="70" t="str">
        <x:v>V3-IBDP</x:v>
      </x:c>
      <x:c r="N230" s="70" t="str">
        <x:v>https://ibo.org/globalassets/new-structure/programmes/dp/pdfs/all-dp-subjects-list-en.pdf</x:v>
      </x:c>
    </x:row>
    <x:row r="231" ht="72" customHeight="1">
      <x:c r="A231" s="71" t="str">
        <x:v>C230</x:v>
      </x:c>
      <x:c r="B231" s="70" t="str">
        <x:v>IB-DP</x:v>
      </x:c>
      <x:c r="C231" s="70" t="str">
        <x:v>学历学科</x:v>
      </x:c>
      <x:c r="D231" s="70" t="str">
        <x:v>HL</x:v>
      </x:c>
      <x:c r="E231" s="70" t="str">
        <x:v>目录层核对</x:v>
      </x:c>
      <x:c r="F231" s="70" t="str">
        <x:v>IB官方2026科目表；具体guide/首末考季另核</x:v>
      </x:c>
      <x:c r="G231" s="70" t="str">
        <x:v>启用前按年份和本校授权复核</x:v>
      </x:c>
      <x:c r="H231" s="70" t="str">
        <x:v>课程目录层</x:v>
      </x:c>
      <x:c r="I231" s="70" t="str">
        <x:v>校内成绩按学校规则；外考成绩不自动换GPA</x:v>
      </x:c>
      <x:c r="J231" s="70" t="str">
        <x:v>人工选择与审核</x:v>
      </x:c>
      <x:c r="K231" s="70" t="str">
        <x:v>IB subject code；SL/HL另存，非独立报名组合码</x:v>
      </x:c>
      <x:c r="L231" s="70" t="str"/>
      <x:c r="M231" s="70" t="str">
        <x:v>V3-IBDP</x:v>
      </x:c>
      <x:c r="N231" s="70" t="str">
        <x:v>https://ibo.org/globalassets/new-structure/programmes/dp/pdfs/all-dp-subjects-list-en.pdf</x:v>
      </x:c>
    </x:row>
    <x:row r="232" ht="72" customHeight="1">
      <x:c r="A232" s="71" t="str">
        <x:v>C231</x:v>
      </x:c>
      <x:c r="B232" s="70" t="str">
        <x:v>IB-DP</x:v>
      </x:c>
      <x:c r="C232" s="70" t="str">
        <x:v>学历学科</x:v>
      </x:c>
      <x:c r="D232" s="70" t="str">
        <x:v>SL</x:v>
      </x:c>
      <x:c r="E232" s="70" t="str">
        <x:v>目录层核对</x:v>
      </x:c>
      <x:c r="F232" s="70" t="str">
        <x:v>IB官方2026科目表；具体guide/首末考季另核</x:v>
      </x:c>
      <x:c r="G232" s="70" t="str">
        <x:v>启用前按年份和本校授权复核</x:v>
      </x:c>
      <x:c r="H232" s="70" t="str">
        <x:v>课程目录层</x:v>
      </x:c>
      <x:c r="I232" s="70" t="str">
        <x:v>校内成绩按学校规则；外考成绩不自动换GPA</x:v>
      </x:c>
      <x:c r="J232" s="70" t="str">
        <x:v>人工选择与审核</x:v>
      </x:c>
      <x:c r="K232" s="70" t="str">
        <x:v>IB subject code；SL/HL另存，非独立报名组合码</x:v>
      </x:c>
      <x:c r="L232" s="70" t="str"/>
      <x:c r="M232" s="70" t="str">
        <x:v>V3-IBDP</x:v>
      </x:c>
      <x:c r="N232" s="70" t="str">
        <x:v>https://ibo.org/globalassets/new-structure/programmes/dp/pdfs/all-dp-subjects-list-en.pdf</x:v>
      </x:c>
    </x:row>
    <x:row r="233" ht="72" customHeight="1">
      <x:c r="A233" s="71" t="str">
        <x:v>C232</x:v>
      </x:c>
      <x:c r="B233" s="70" t="str">
        <x:v>IB-DP</x:v>
      </x:c>
      <x:c r="C233" s="70" t="str">
        <x:v>学历学科</x:v>
      </x:c>
      <x:c r="D233" s="70" t="str">
        <x:v>HL</x:v>
      </x:c>
      <x:c r="E233" s="70" t="str">
        <x:v>目录层核对</x:v>
      </x:c>
      <x:c r="F233" s="70" t="str">
        <x:v>IB官方2026科目表；具体guide/首末考季另核</x:v>
      </x:c>
      <x:c r="G233" s="70" t="str">
        <x:v>启用前按年份和本校授权复核</x:v>
      </x:c>
      <x:c r="H233" s="70" t="str">
        <x:v>课程目录层</x:v>
      </x:c>
      <x:c r="I233" s="70" t="str">
        <x:v>校内成绩按学校规则；外考成绩不自动换GPA</x:v>
      </x:c>
      <x:c r="J233" s="70" t="str">
        <x:v>人工选择与审核</x:v>
      </x:c>
      <x:c r="K233" s="70" t="str">
        <x:v>IB subject code；SL/HL另存，非独立报名组合码</x:v>
      </x:c>
      <x:c r="L233" s="70" t="str"/>
      <x:c r="M233" s="70" t="str">
        <x:v>V3-IBDP</x:v>
      </x:c>
      <x:c r="N233" s="70" t="str">
        <x:v>https://ibo.org/globalassets/new-structure/programmes/dp/pdfs/all-dp-subjects-list-en.pdf</x:v>
      </x:c>
    </x:row>
    <x:row r="234" ht="72" customHeight="1">
      <x:c r="A234" s="71" t="str">
        <x:v>C233</x:v>
      </x:c>
      <x:c r="B234" s="70" t="str">
        <x:v>IB-DP</x:v>
      </x:c>
      <x:c r="C234" s="70" t="str">
        <x:v>学历学科</x:v>
      </x:c>
      <x:c r="D234" s="70" t="str">
        <x:v>SL</x:v>
      </x:c>
      <x:c r="E234" s="70" t="str">
        <x:v>目录层核对</x:v>
      </x:c>
      <x:c r="F234" s="70" t="str">
        <x:v>IB官方2026科目表；具体guide/首末考季另核</x:v>
      </x:c>
      <x:c r="G234" s="70" t="str">
        <x:v>启用前按年份和本校授权复核</x:v>
      </x:c>
      <x:c r="H234" s="70" t="str">
        <x:v>课程目录层</x:v>
      </x:c>
      <x:c r="I234" s="70" t="str">
        <x:v>校内成绩按学校规则；外考成绩不自动换GPA</x:v>
      </x:c>
      <x:c r="J234" s="70" t="str">
        <x:v>人工选择与审核</x:v>
      </x:c>
      <x:c r="K234" s="70" t="str">
        <x:v>IB subject code；SL/HL另存，非独立报名组合码</x:v>
      </x:c>
      <x:c r="L234" s="70" t="str"/>
      <x:c r="M234" s="70" t="str">
        <x:v>V3-IBDP</x:v>
      </x:c>
      <x:c r="N234" s="70" t="str">
        <x:v>https://ibo.org/globalassets/new-structure/programmes/dp/pdfs/all-dp-subjects-list-en.pdf</x:v>
      </x:c>
    </x:row>
    <x:row r="235" ht="72" customHeight="1">
      <x:c r="A235" s="71" t="str">
        <x:v>C234</x:v>
      </x:c>
      <x:c r="B235" s="70" t="str">
        <x:v>IB-DP</x:v>
      </x:c>
      <x:c r="C235" s="70" t="str">
        <x:v>学历学科</x:v>
      </x:c>
      <x:c r="D235" s="70" t="str">
        <x:v>HL</x:v>
      </x:c>
      <x:c r="E235" s="70" t="str">
        <x:v>目录层核对</x:v>
      </x:c>
      <x:c r="F235" s="70" t="str">
        <x:v>IB官方2026科目表；具体guide/首末考季另核</x:v>
      </x:c>
      <x:c r="G235" s="70" t="str">
        <x:v>启用前按年份和本校授权复核</x:v>
      </x:c>
      <x:c r="H235" s="70" t="str">
        <x:v>课程目录层</x:v>
      </x:c>
      <x:c r="I235" s="70" t="str">
        <x:v>校内成绩按学校规则；外考成绩不自动换GPA</x:v>
      </x:c>
      <x:c r="J235" s="70" t="str">
        <x:v>人工选择与审核</x:v>
      </x:c>
      <x:c r="K235" s="70" t="str">
        <x:v>IB subject code；SL/HL另存，非独立报名组合码</x:v>
      </x:c>
      <x:c r="L235" s="70" t="str"/>
      <x:c r="M235" s="70" t="str">
        <x:v>V3-IBDP</x:v>
      </x:c>
      <x:c r="N235" s="70" t="str">
        <x:v>https://ibo.org/globalassets/new-structure/programmes/dp/pdfs/all-dp-subjects-list-en.pdf</x:v>
      </x:c>
    </x:row>
    <x:row r="236" ht="72" customHeight="1">
      <x:c r="A236" s="71" t="str">
        <x:v>C235</x:v>
      </x:c>
      <x:c r="B236" s="70" t="str">
        <x:v>IB-DP</x:v>
      </x:c>
      <x:c r="C236" s="70" t="str">
        <x:v>学历学科</x:v>
      </x:c>
      <x:c r="D236" s="70" t="str">
        <x:v>SL</x:v>
      </x:c>
      <x:c r="E236" s="70" t="str">
        <x:v>目录层核对</x:v>
      </x:c>
      <x:c r="F236" s="70" t="str">
        <x:v>IB官方2026科目表；具体guide/首末考季另核</x:v>
      </x:c>
      <x:c r="G236" s="70" t="str">
        <x:v>启用前按年份和本校授权复核</x:v>
      </x:c>
      <x:c r="H236" s="70" t="str">
        <x:v>课程目录层</x:v>
      </x:c>
      <x:c r="I236" s="70" t="str">
        <x:v>校内成绩按学校规则；外考成绩不自动换GPA</x:v>
      </x:c>
      <x:c r="J236" s="70" t="str">
        <x:v>人工选择与审核</x:v>
      </x:c>
      <x:c r="K236" s="70" t="str">
        <x:v>IB subject code；SL/HL另存，非独立报名组合码</x:v>
      </x:c>
      <x:c r="L236" s="70" t="str"/>
      <x:c r="M236" s="70" t="str">
        <x:v>V3-IBDP</x:v>
      </x:c>
      <x:c r="N236" s="70" t="str">
        <x:v>https://ibo.org/globalassets/new-structure/programmes/dp/pdfs/all-dp-subjects-list-en.pdf</x:v>
      </x:c>
    </x:row>
    <x:row r="237" ht="72" customHeight="1">
      <x:c r="A237" s="71" t="str">
        <x:v>C236</x:v>
      </x:c>
      <x:c r="B237" s="70" t="str">
        <x:v>IB-DP</x:v>
      </x:c>
      <x:c r="C237" s="70" t="str">
        <x:v>学历学科</x:v>
      </x:c>
      <x:c r="D237" s="70" t="str">
        <x:v>SL</x:v>
      </x:c>
      <x:c r="E237" s="70" t="str">
        <x:v>目录层核对</x:v>
      </x:c>
      <x:c r="F237" s="70" t="str">
        <x:v>IB官方2026科目表；具体guide/首末考季另核</x:v>
      </x:c>
      <x:c r="G237" s="70" t="str">
        <x:v>启用前按年份和本校授权复核</x:v>
      </x:c>
      <x:c r="H237" s="70" t="str">
        <x:v>课程目录层</x:v>
      </x:c>
      <x:c r="I237" s="70" t="str">
        <x:v>校内成绩按学校规则；外考成绩不自动换GPA</x:v>
      </x:c>
      <x:c r="J237" s="70" t="str">
        <x:v>人工选择与审核</x:v>
      </x:c>
      <x:c r="K237" s="70" t="str">
        <x:v>IB subject code；SL/HL另存，非独立报名组合码</x:v>
      </x:c>
      <x:c r="L237" s="70" t="str"/>
      <x:c r="M237" s="70" t="str">
        <x:v>V3-IBDP</x:v>
      </x:c>
      <x:c r="N237" s="70" t="str">
        <x:v>https://ibo.org/globalassets/new-structure/programmes/dp/pdfs/all-dp-subjects-list-en.pdf</x:v>
      </x:c>
    </x:row>
    <x:row r="238" ht="72" customHeight="1">
      <x:c r="A238" s="71" t="str">
        <x:v>C237</x:v>
      </x:c>
      <x:c r="B238" s="70" t="str">
        <x:v>IB-DP</x:v>
      </x:c>
      <x:c r="C238" s="70" t="str">
        <x:v>学历学科</x:v>
      </x:c>
      <x:c r="D238" s="70" t="str">
        <x:v>SL</x:v>
      </x:c>
      <x:c r="E238" s="70" t="str">
        <x:v>目录层核对</x:v>
      </x:c>
      <x:c r="F238" s="70" t="str">
        <x:v>IB官方2026科目表；具体guide/首末考季另核</x:v>
      </x:c>
      <x:c r="G238" s="70" t="str">
        <x:v>启用前按年份和本校授权复核</x:v>
      </x:c>
      <x:c r="H238" s="70" t="str">
        <x:v>课程目录层</x:v>
      </x:c>
      <x:c r="I238" s="70" t="str">
        <x:v>校内成绩按学校规则；外考成绩不自动换GPA</x:v>
      </x:c>
      <x:c r="J238" s="70" t="str">
        <x:v>人工选择与审核</x:v>
      </x:c>
      <x:c r="K238" s="70" t="str">
        <x:v>IB subject code；SL/HL另存，非独立报名组合码</x:v>
      </x:c>
      <x:c r="L238" s="70" t="str"/>
      <x:c r="M238" s="70" t="str">
        <x:v>V3-IBDP</x:v>
      </x:c>
      <x:c r="N238" s="70" t="str">
        <x:v>https://ibo.org/globalassets/new-structure/programmes/dp/pdfs/all-dp-subjects-list-en.pdf</x:v>
      </x:c>
    </x:row>
    <x:row r="239" ht="72" customHeight="1">
      <x:c r="A239" s="71" t="str">
        <x:v>C238</x:v>
      </x:c>
      <x:c r="B239" s="70" t="str">
        <x:v>IB-DP</x:v>
      </x:c>
      <x:c r="C239" s="70" t="str">
        <x:v>学历学科</x:v>
      </x:c>
      <x:c r="D239" s="70" t="str">
        <x:v>SL</x:v>
      </x:c>
      <x:c r="E239" s="70" t="str">
        <x:v>目录层核对</x:v>
      </x:c>
      <x:c r="F239" s="70" t="str">
        <x:v>IB官方2026科目表；具体guide/首末考季另核</x:v>
      </x:c>
      <x:c r="G239" s="70" t="str">
        <x:v>启用前按年份和本校授权复核</x:v>
      </x:c>
      <x:c r="H239" s="70" t="str">
        <x:v>课程目录层</x:v>
      </x:c>
      <x:c r="I239" s="70" t="str">
        <x:v>校内成绩按学校规则；外考成绩不自动换GPA</x:v>
      </x:c>
      <x:c r="J239" s="70" t="str">
        <x:v>人工选择与审核</x:v>
      </x:c>
      <x:c r="K239" s="70" t="str">
        <x:v>IB subject code；SL/HL另存，非独立报名组合码</x:v>
      </x:c>
      <x:c r="L239" s="70" t="str"/>
      <x:c r="M239" s="70" t="str">
        <x:v>V3-IBDP</x:v>
      </x:c>
      <x:c r="N239" s="70" t="str">
        <x:v>https://ibo.org/globalassets/new-structure/programmes/dp/pdfs/all-dp-subjects-list-en.pdf</x:v>
      </x:c>
    </x:row>
    <x:row r="240" ht="72" customHeight="1">
      <x:c r="A240" s="71" t="str">
        <x:v>C239</x:v>
      </x:c>
      <x:c r="B240" s="70" t="str">
        <x:v>IB-DP</x:v>
      </x:c>
      <x:c r="C240" s="70" t="str">
        <x:v>学历学科</x:v>
      </x:c>
      <x:c r="D240" s="70" t="str">
        <x:v>SL</x:v>
      </x:c>
      <x:c r="E240" s="70" t="str">
        <x:v>目录层核对</x:v>
      </x:c>
      <x:c r="F240" s="70" t="str">
        <x:v>IB官方2026科目表；具体guide/首末考季另核</x:v>
      </x:c>
      <x:c r="G240" s="70" t="str">
        <x:v>启用前按年份和本校授权复核</x:v>
      </x:c>
      <x:c r="H240" s="70" t="str">
        <x:v>课程目录层</x:v>
      </x:c>
      <x:c r="I240" s="70" t="str">
        <x:v>校内成绩按学校规则；外考成绩不自动换GPA</x:v>
      </x:c>
      <x:c r="J240" s="70" t="str">
        <x:v>人工选择与审核</x:v>
      </x:c>
      <x:c r="K240" s="70" t="str">
        <x:v>IB subject code；SL/HL另存，非独立报名组合码</x:v>
      </x:c>
      <x:c r="L240" s="70" t="str"/>
      <x:c r="M240" s="70" t="str">
        <x:v>V3-IBDP</x:v>
      </x:c>
      <x:c r="N240" s="70" t="str">
        <x:v>https://ibo.org/globalassets/new-structure/programmes/dp/pdfs/all-dp-subjects-list-en.pdf</x:v>
      </x:c>
    </x:row>
    <x:row r="241" ht="72" customHeight="1">
      <x:c r="A241" s="71" t="str">
        <x:v>C240</x:v>
      </x:c>
      <x:c r="B241" s="70" t="str">
        <x:v>IB-DP</x:v>
      </x:c>
      <x:c r="C241" s="70" t="str">
        <x:v>学历学科</x:v>
      </x:c>
      <x:c r="D241" s="70" t="str">
        <x:v>SL</x:v>
      </x:c>
      <x:c r="E241" s="70" t="str">
        <x:v>目录层核对</x:v>
      </x:c>
      <x:c r="F241" s="70" t="str">
        <x:v>IB官方2026科目表；具体guide/首末考季另核</x:v>
      </x:c>
      <x:c r="G241" s="70" t="str">
        <x:v>启用前按年份和本校授权复核</x:v>
      </x:c>
      <x:c r="H241" s="70" t="str">
        <x:v>课程目录层</x:v>
      </x:c>
      <x:c r="I241" s="70" t="str">
        <x:v>校内成绩按学校规则；外考成绩不自动换GPA</x:v>
      </x:c>
      <x:c r="J241" s="70" t="str">
        <x:v>人工选择与审核</x:v>
      </x:c>
      <x:c r="K241" s="70" t="str">
        <x:v>IB subject code；SL/HL另存，非独立报名组合码</x:v>
      </x:c>
      <x:c r="L241" s="70" t="str"/>
      <x:c r="M241" s="70" t="str">
        <x:v>V3-IBDP</x:v>
      </x:c>
      <x:c r="N241" s="70" t="str">
        <x:v>https://ibo.org/globalassets/new-structure/programmes/dp/pdfs/all-dp-subjects-list-en.pdf</x:v>
      </x:c>
    </x:row>
    <x:row r="242" ht="72" customHeight="1">
      <x:c r="A242" s="71" t="str">
        <x:v>C241</x:v>
      </x:c>
      <x:c r="B242" s="70" t="str">
        <x:v>IB-DP</x:v>
      </x:c>
      <x:c r="C242" s="70" t="str">
        <x:v>学历学科</x:v>
      </x:c>
      <x:c r="D242" s="70" t="str">
        <x:v>SL</x:v>
      </x:c>
      <x:c r="E242" s="70" t="str">
        <x:v>目录层核对</x:v>
      </x:c>
      <x:c r="F242" s="70" t="str">
        <x:v>IB官方2026科目表；具体guide/首末考季另核</x:v>
      </x:c>
      <x:c r="G242" s="70" t="str">
        <x:v>启用前按年份和本校授权复核</x:v>
      </x:c>
      <x:c r="H242" s="70" t="str">
        <x:v>课程目录层</x:v>
      </x:c>
      <x:c r="I242" s="70" t="str">
        <x:v>校内成绩按学校规则；外考成绩不自动换GPA</x:v>
      </x:c>
      <x:c r="J242" s="70" t="str">
        <x:v>人工选择与审核</x:v>
      </x:c>
      <x:c r="K242" s="70" t="str">
        <x:v>IB subject code；SL/HL另存，非独立报名组合码</x:v>
      </x:c>
      <x:c r="L242" s="70" t="str"/>
      <x:c r="M242" s="70" t="str">
        <x:v>V3-IBDP</x:v>
      </x:c>
      <x:c r="N242" s="70" t="str">
        <x:v>https://ibo.org/globalassets/new-structure/programmes/dp/pdfs/all-dp-subjects-list-en.pdf</x:v>
      </x:c>
    </x:row>
    <x:row r="243" ht="72" customHeight="1">
      <x:c r="A243" s="71" t="str">
        <x:v>C242</x:v>
      </x:c>
      <x:c r="B243" s="70" t="str">
        <x:v>IB-DP</x:v>
      </x:c>
      <x:c r="C243" s="70" t="str">
        <x:v>学历学科</x:v>
      </x:c>
      <x:c r="D243" s="70" t="str">
        <x:v>SL</x:v>
      </x:c>
      <x:c r="E243" s="70" t="str">
        <x:v>目录层核对</x:v>
      </x:c>
      <x:c r="F243" s="70" t="str">
        <x:v>IB官方2026科目表；具体guide/首末考季另核</x:v>
      </x:c>
      <x:c r="G243" s="70" t="str">
        <x:v>启用前按年份和本校授权复核</x:v>
      </x:c>
      <x:c r="H243" s="70" t="str">
        <x:v>课程目录层</x:v>
      </x:c>
      <x:c r="I243" s="70" t="str">
        <x:v>校内成绩按学校规则；外考成绩不自动换GPA</x:v>
      </x:c>
      <x:c r="J243" s="70" t="str">
        <x:v>人工选择与审核</x:v>
      </x:c>
      <x:c r="K243" s="70" t="str">
        <x:v>IB subject code；SL/HL另存，非独立报名组合码</x:v>
      </x:c>
      <x:c r="L243" s="70" t="str"/>
      <x:c r="M243" s="70" t="str">
        <x:v>V3-IBDP</x:v>
      </x:c>
      <x:c r="N243" s="70" t="str">
        <x:v>https://ibo.org/globalassets/new-structure/programmes/dp/pdfs/all-dp-subjects-list-en.pdf</x:v>
      </x:c>
    </x:row>
    <x:row r="244" ht="72" customHeight="1">
      <x:c r="A244" s="71" t="str">
        <x:v>C243</x:v>
      </x:c>
      <x:c r="B244" s="70" t="str">
        <x:v>IB-DP</x:v>
      </x:c>
      <x:c r="C244" s="70" t="str">
        <x:v>学历学科</x:v>
      </x:c>
      <x:c r="D244" s="70" t="str">
        <x:v>HL</x:v>
      </x:c>
      <x:c r="E244" s="70" t="str">
        <x:v>目录层核对</x:v>
      </x:c>
      <x:c r="F244" s="70" t="str">
        <x:v>IB官方2026科目表；具体guide/首末考季另核</x:v>
      </x:c>
      <x:c r="G244" s="70" t="str">
        <x:v>启用前按年份和本校授权复核</x:v>
      </x:c>
      <x:c r="H244" s="70" t="str">
        <x:v>课程目录层</x:v>
      </x:c>
      <x:c r="I244" s="70" t="str">
        <x:v>校内成绩按学校规则；外考成绩不自动换GPA</x:v>
      </x:c>
      <x:c r="J244" s="70" t="str">
        <x:v>人工选择与审核</x:v>
      </x:c>
      <x:c r="K244" s="70" t="str">
        <x:v>IB subject code；SL/HL另存，非独立报名组合码</x:v>
      </x:c>
      <x:c r="L244" s="70" t="str"/>
      <x:c r="M244" s="70" t="str">
        <x:v>V3-IBDP</x:v>
      </x:c>
      <x:c r="N244" s="70" t="str">
        <x:v>https://ibo.org/globalassets/new-structure/programmes/dp/pdfs/all-dp-subjects-list-en.pdf</x:v>
      </x:c>
    </x:row>
    <x:row r="245" ht="72" customHeight="1">
      <x:c r="A245" s="71" t="str">
        <x:v>C244</x:v>
      </x:c>
      <x:c r="B245" s="70" t="str">
        <x:v>IB-DP</x:v>
      </x:c>
      <x:c r="C245" s="70" t="str">
        <x:v>学历学科</x:v>
      </x:c>
      <x:c r="D245" s="70" t="str">
        <x:v>SL</x:v>
      </x:c>
      <x:c r="E245" s="70" t="str">
        <x:v>目录层核对</x:v>
      </x:c>
      <x:c r="F245" s="70" t="str">
        <x:v>IB官方2026科目表；具体guide/首末考季另核</x:v>
      </x:c>
      <x:c r="G245" s="70" t="str">
        <x:v>启用前按年份和本校授权复核</x:v>
      </x:c>
      <x:c r="H245" s="70" t="str">
        <x:v>课程目录层</x:v>
      </x:c>
      <x:c r="I245" s="70" t="str">
        <x:v>校内成绩按学校规则；外考成绩不自动换GPA</x:v>
      </x:c>
      <x:c r="J245" s="70" t="str">
        <x:v>人工选择与审核</x:v>
      </x:c>
      <x:c r="K245" s="70" t="str">
        <x:v>IB subject code；SL/HL另存，非独立报名组合码</x:v>
      </x:c>
      <x:c r="L245" s="70" t="str"/>
      <x:c r="M245" s="70" t="str">
        <x:v>V3-IBDP</x:v>
      </x:c>
      <x:c r="N245" s="70" t="str">
        <x:v>https://ibo.org/globalassets/new-structure/programmes/dp/pdfs/all-dp-subjects-list-en.pdf</x:v>
      </x:c>
    </x:row>
    <x:row r="246" ht="72" customHeight="1">
      <x:c r="A246" s="71" t="str">
        <x:v>C245</x:v>
      </x:c>
      <x:c r="B246" s="70" t="str">
        <x:v>IB-DP</x:v>
      </x:c>
      <x:c r="C246" s="70" t="str">
        <x:v>学历学科</x:v>
      </x:c>
      <x:c r="D246" s="70" t="str">
        <x:v>HL</x:v>
      </x:c>
      <x:c r="E246" s="70" t="str">
        <x:v>目录层核对</x:v>
      </x:c>
      <x:c r="F246" s="70" t="str">
        <x:v>IB官方2026科目表；具体guide/首末考季另核</x:v>
      </x:c>
      <x:c r="G246" s="70" t="str">
        <x:v>启用前按年份和本校授权复核</x:v>
      </x:c>
      <x:c r="H246" s="70" t="str">
        <x:v>课程目录层</x:v>
      </x:c>
      <x:c r="I246" s="70" t="str">
        <x:v>校内成绩按学校规则；外考成绩不自动换GPA</x:v>
      </x:c>
      <x:c r="J246" s="70" t="str">
        <x:v>人工选择与审核</x:v>
      </x:c>
      <x:c r="K246" s="70" t="str">
        <x:v>IB subject code；SL/HL另存，非独立报名组合码</x:v>
      </x:c>
      <x:c r="L246" s="70" t="str"/>
      <x:c r="M246" s="70" t="str">
        <x:v>V3-IBDP</x:v>
      </x:c>
      <x:c r="N246" s="70" t="str">
        <x:v>https://ibo.org/globalassets/new-structure/programmes/dp/pdfs/all-dp-subjects-list-en.pdf</x:v>
      </x:c>
    </x:row>
    <x:row r="247" ht="72" customHeight="1">
      <x:c r="A247" s="71" t="str">
        <x:v>C246</x:v>
      </x:c>
      <x:c r="B247" s="70" t="str">
        <x:v>IB-DP</x:v>
      </x:c>
      <x:c r="C247" s="70" t="str">
        <x:v>学历学科</x:v>
      </x:c>
      <x:c r="D247" s="70" t="str">
        <x:v>SL</x:v>
      </x:c>
      <x:c r="E247" s="70" t="str">
        <x:v>目录层核对</x:v>
      </x:c>
      <x:c r="F247" s="70" t="str">
        <x:v>IB官方2026科目表；具体guide/首末考季另核</x:v>
      </x:c>
      <x:c r="G247" s="70" t="str">
        <x:v>启用前按年份和本校授权复核</x:v>
      </x:c>
      <x:c r="H247" s="70" t="str">
        <x:v>课程目录层</x:v>
      </x:c>
      <x:c r="I247" s="70" t="str">
        <x:v>校内成绩按学校规则；外考成绩不自动换GPA</x:v>
      </x:c>
      <x:c r="J247" s="70" t="str">
        <x:v>人工选择与审核</x:v>
      </x:c>
      <x:c r="K247" s="70" t="str">
        <x:v>IB subject code；SL/HL另存，非独立报名组合码</x:v>
      </x:c>
      <x:c r="L247" s="70" t="str"/>
      <x:c r="M247" s="70" t="str">
        <x:v>V3-IBDP</x:v>
      </x:c>
      <x:c r="N247" s="70" t="str">
        <x:v>https://ibo.org/globalassets/new-structure/programmes/dp/pdfs/all-dp-subjects-list-en.pdf</x:v>
      </x:c>
    </x:row>
    <x:row r="248" ht="72" customHeight="1">
      <x:c r="A248" s="71" t="str">
        <x:v>C247</x:v>
      </x:c>
      <x:c r="B248" s="70" t="str">
        <x:v>IB-DP</x:v>
      </x:c>
      <x:c r="C248" s="70" t="str">
        <x:v>学历学科</x:v>
      </x:c>
      <x:c r="D248" s="70" t="str">
        <x:v>HL</x:v>
      </x:c>
      <x:c r="E248" s="70" t="str">
        <x:v>目录层核对</x:v>
      </x:c>
      <x:c r="F248" s="70" t="str">
        <x:v>IB官方2026科目表；具体guide/首末考季另核</x:v>
      </x:c>
      <x:c r="G248" s="70" t="str">
        <x:v>启用前按年份和本校授权复核</x:v>
      </x:c>
      <x:c r="H248" s="70" t="str">
        <x:v>课程目录层</x:v>
      </x:c>
      <x:c r="I248" s="70" t="str">
        <x:v>校内成绩按学校规则；外考成绩不自动换GPA</x:v>
      </x:c>
      <x:c r="J248" s="70" t="str">
        <x:v>人工选择与审核</x:v>
      </x:c>
      <x:c r="K248" s="70" t="str">
        <x:v>IB subject code；SL/HL另存，非独立报名组合码</x:v>
      </x:c>
      <x:c r="L248" s="70" t="str"/>
      <x:c r="M248" s="70" t="str">
        <x:v>V3-IBDP</x:v>
      </x:c>
      <x:c r="N248" s="70" t="str">
        <x:v>https://ibo.org/globalassets/new-structure/programmes/dp/pdfs/all-dp-subjects-list-en.pdf</x:v>
      </x:c>
    </x:row>
    <x:row r="249" ht="72" customHeight="1">
      <x:c r="A249" s="71" t="str">
        <x:v>C248</x:v>
      </x:c>
      <x:c r="B249" s="70" t="str">
        <x:v>IB-DP</x:v>
      </x:c>
      <x:c r="C249" s="70" t="str">
        <x:v>学历学科</x:v>
      </x:c>
      <x:c r="D249" s="70" t="str">
        <x:v>SL</x:v>
      </x:c>
      <x:c r="E249" s="70" t="str">
        <x:v>目录层核对</x:v>
      </x:c>
      <x:c r="F249" s="70" t="str">
        <x:v>IB官方2026科目表；具体guide/首末考季另核</x:v>
      </x:c>
      <x:c r="G249" s="70" t="str">
        <x:v>启用前按年份和本校授权复核</x:v>
      </x:c>
      <x:c r="H249" s="70" t="str">
        <x:v>课程目录层</x:v>
      </x:c>
      <x:c r="I249" s="70" t="str">
        <x:v>校内成绩按学校规则；外考成绩不自动换GPA</x:v>
      </x:c>
      <x:c r="J249" s="70" t="str">
        <x:v>人工选择与审核</x:v>
      </x:c>
      <x:c r="K249" s="70" t="str">
        <x:v>IB subject code；SL/HL另存，非独立报名组合码</x:v>
      </x:c>
      <x:c r="L249" s="70" t="str"/>
      <x:c r="M249" s="70" t="str">
        <x:v>V3-IBDP</x:v>
      </x:c>
      <x:c r="N249" s="70" t="str">
        <x:v>https://ibo.org/globalassets/new-structure/programmes/dp/pdfs/all-dp-subjects-list-en.pdf</x:v>
      </x:c>
    </x:row>
    <x:row r="250" ht="72" customHeight="1">
      <x:c r="A250" s="71" t="str">
        <x:v>C249</x:v>
      </x:c>
      <x:c r="B250" s="70" t="str">
        <x:v>IB-DP</x:v>
      </x:c>
      <x:c r="C250" s="70" t="str">
        <x:v>学历学科</x:v>
      </x:c>
      <x:c r="D250" s="70" t="str">
        <x:v>HL</x:v>
      </x:c>
      <x:c r="E250" s="70" t="str">
        <x:v>目录层核对</x:v>
      </x:c>
      <x:c r="F250" s="70" t="str">
        <x:v>IB官方2026科目表；具体guide/首末考季另核</x:v>
      </x:c>
      <x:c r="G250" s="70" t="str">
        <x:v>启用前按年份和本校授权复核</x:v>
      </x:c>
      <x:c r="H250" s="70" t="str">
        <x:v>课程目录层</x:v>
      </x:c>
      <x:c r="I250" s="70" t="str">
        <x:v>校内成绩按学校规则；外考成绩不自动换GPA</x:v>
      </x:c>
      <x:c r="J250" s="70" t="str">
        <x:v>人工选择与审核</x:v>
      </x:c>
      <x:c r="K250" s="70" t="str">
        <x:v>IB subject code；SL/HL另存，非独立报名组合码</x:v>
      </x:c>
      <x:c r="L250" s="70" t="str"/>
      <x:c r="M250" s="70" t="str">
        <x:v>V3-IBDP</x:v>
      </x:c>
      <x:c r="N250" s="70" t="str">
        <x:v>https://ibo.org/globalassets/new-structure/programmes/dp/pdfs/all-dp-subjects-list-en.pdf</x:v>
      </x:c>
    </x:row>
    <x:row r="251" ht="72" customHeight="1">
      <x:c r="A251" s="71" t="str">
        <x:v>C250</x:v>
      </x:c>
      <x:c r="B251" s="70" t="str">
        <x:v>IB-DP</x:v>
      </x:c>
      <x:c r="C251" s="70" t="str">
        <x:v>学历学科</x:v>
      </x:c>
      <x:c r="D251" s="70" t="str">
        <x:v>SL</x:v>
      </x:c>
      <x:c r="E251" s="70" t="str">
        <x:v>目录层核对</x:v>
      </x:c>
      <x:c r="F251" s="70" t="str">
        <x:v>IB官方2026科目表；具体guide/首末考季另核</x:v>
      </x:c>
      <x:c r="G251" s="70" t="str">
        <x:v>启用前按年份和本校授权复核</x:v>
      </x:c>
      <x:c r="H251" s="70" t="str">
        <x:v>课程目录层</x:v>
      </x:c>
      <x:c r="I251" s="70" t="str">
        <x:v>校内成绩按学校规则；外考成绩不自动换GPA</x:v>
      </x:c>
      <x:c r="J251" s="70" t="str">
        <x:v>人工选择与审核</x:v>
      </x:c>
      <x:c r="K251" s="70" t="str">
        <x:v>IB subject code；SL/HL另存，非独立报名组合码</x:v>
      </x:c>
      <x:c r="L251" s="70" t="str"/>
      <x:c r="M251" s="70" t="str">
        <x:v>V3-IBDP</x:v>
      </x:c>
      <x:c r="N251" s="70" t="str">
        <x:v>https://ibo.org/globalassets/new-structure/programmes/dp/pdfs/all-dp-subjects-list-en.pdf</x:v>
      </x:c>
    </x:row>
    <x:row r="252" ht="72" customHeight="1">
      <x:c r="A252" s="71" t="str">
        <x:v>C251</x:v>
      </x:c>
      <x:c r="B252" s="70" t="str">
        <x:v>IB-DP</x:v>
      </x:c>
      <x:c r="C252" s="70" t="str">
        <x:v>学历学科</x:v>
      </x:c>
      <x:c r="D252" s="70" t="str">
        <x:v>HL</x:v>
      </x:c>
      <x:c r="E252" s="70" t="str">
        <x:v>目录层核对</x:v>
      </x:c>
      <x:c r="F252" s="70" t="str">
        <x:v>IB官方2026科目表；具体guide/首末考季另核</x:v>
      </x:c>
      <x:c r="G252" s="70" t="str">
        <x:v>启用前按年份和本校授权复核</x:v>
      </x:c>
      <x:c r="H252" s="70" t="str">
        <x:v>课程目录层</x:v>
      </x:c>
      <x:c r="I252" s="70" t="str">
        <x:v>校内成绩按学校规则；外考成绩不自动换GPA</x:v>
      </x:c>
      <x:c r="J252" s="70" t="str">
        <x:v>人工选择与审核</x:v>
      </x:c>
      <x:c r="K252" s="70" t="str">
        <x:v>IB subject code；SL/HL另存，非独立报名组合码</x:v>
      </x:c>
      <x:c r="L252" s="70" t="str"/>
      <x:c r="M252" s="70" t="str">
        <x:v>V3-IBDP</x:v>
      </x:c>
      <x:c r="N252" s="70" t="str">
        <x:v>https://ibo.org/globalassets/new-structure/programmes/dp/pdfs/all-dp-subjects-list-en.pdf</x:v>
      </x:c>
    </x:row>
    <x:row r="253" ht="72" customHeight="1">
      <x:c r="A253" s="71" t="str">
        <x:v>C252</x:v>
      </x:c>
      <x:c r="B253" s="70" t="str">
        <x:v>IB-DP</x:v>
      </x:c>
      <x:c r="C253" s="70" t="str">
        <x:v>学历学科</x:v>
      </x:c>
      <x:c r="D253" s="70" t="str">
        <x:v>HL</x:v>
      </x:c>
      <x:c r="E253" s="70" t="str">
        <x:v>目录层核对</x:v>
      </x:c>
      <x:c r="F253" s="70" t="str">
        <x:v>IB官方2026科目表；具体guide/首末考季另核</x:v>
      </x:c>
      <x:c r="G253" s="70" t="str">
        <x:v>启用前按年份和本校授权复核</x:v>
      </x:c>
      <x:c r="H253" s="70" t="str">
        <x:v>课程目录层</x:v>
      </x:c>
      <x:c r="I253" s="70" t="str">
        <x:v>校内成绩按学校规则；外考成绩不自动换GPA</x:v>
      </x:c>
      <x:c r="J253" s="70" t="str">
        <x:v>人工选择与审核</x:v>
      </x:c>
      <x:c r="K253" s="70" t="str">
        <x:v>IB subject code；SL/HL另存，非独立报名组合码</x:v>
      </x:c>
      <x:c r="L253" s="70" t="str"/>
      <x:c r="M253" s="70" t="str">
        <x:v>V3-IBDP</x:v>
      </x:c>
      <x:c r="N253" s="70" t="str">
        <x:v>https://ibo.org/globalassets/new-structure/programmes/dp/pdfs/all-dp-subjects-list-en.pdf</x:v>
      </x:c>
    </x:row>
    <x:row r="254" ht="72" customHeight="1">
      <x:c r="A254" s="71" t="str">
        <x:v>C253</x:v>
      </x:c>
      <x:c r="B254" s="70" t="str">
        <x:v>IB-DP</x:v>
      </x:c>
      <x:c r="C254" s="70" t="str">
        <x:v>学历学科</x:v>
      </x:c>
      <x:c r="D254" s="70" t="str">
        <x:v>HL</x:v>
      </x:c>
      <x:c r="E254" s="70" t="str">
        <x:v>目录层核对</x:v>
      </x:c>
      <x:c r="F254" s="70" t="str">
        <x:v>IB官方2026科目表；具体guide/首末考季另核</x:v>
      </x:c>
      <x:c r="G254" s="70" t="str">
        <x:v>启用前按年份和本校授权复核</x:v>
      </x:c>
      <x:c r="H254" s="70" t="str">
        <x:v>课程目录层</x:v>
      </x:c>
      <x:c r="I254" s="70" t="str">
        <x:v>校内成绩按学校规则；外考成绩不自动换GPA</x:v>
      </x:c>
      <x:c r="J254" s="70" t="str">
        <x:v>人工选择与审核</x:v>
      </x:c>
      <x:c r="K254" s="70" t="str">
        <x:v>IB subject code；SL/HL另存，非独立报名组合码</x:v>
      </x:c>
      <x:c r="L254" s="70" t="str"/>
      <x:c r="M254" s="70" t="str">
        <x:v>V3-IBDP</x:v>
      </x:c>
      <x:c r="N254" s="70" t="str">
        <x:v>https://ibo.org/globalassets/new-structure/programmes/dp/pdfs/all-dp-subjects-list-en.pdf</x:v>
      </x:c>
    </x:row>
    <x:row r="255" ht="72" customHeight="1">
      <x:c r="A255" s="71" t="str">
        <x:v>C254</x:v>
      </x:c>
      <x:c r="B255" s="70" t="str">
        <x:v>IB-DP</x:v>
      </x:c>
      <x:c r="C255" s="70" t="str">
        <x:v>学历学科</x:v>
      </x:c>
      <x:c r="D255" s="70" t="str">
        <x:v>HL</x:v>
      </x:c>
      <x:c r="E255" s="70" t="str">
        <x:v>目录层核对</x:v>
      </x:c>
      <x:c r="F255" s="70" t="str">
        <x:v>IB官方2026科目表；具体guide/首末考季另核</x:v>
      </x:c>
      <x:c r="G255" s="70" t="str">
        <x:v>启用前按年份和本校授权复核</x:v>
      </x:c>
      <x:c r="H255" s="70" t="str">
        <x:v>课程目录层</x:v>
      </x:c>
      <x:c r="I255" s="70" t="str">
        <x:v>校内成绩按学校规则；外考成绩不自动换GPA</x:v>
      </x:c>
      <x:c r="J255" s="70" t="str">
        <x:v>人工选择与审核</x:v>
      </x:c>
      <x:c r="K255" s="70" t="str">
        <x:v>IB subject code；SL/HL另存，非独立报名组合码</x:v>
      </x:c>
      <x:c r="L255" s="70" t="str"/>
      <x:c r="M255" s="70" t="str">
        <x:v>V3-IBDP</x:v>
      </x:c>
      <x:c r="N255" s="70" t="str">
        <x:v>https://ibo.org/globalassets/new-structure/programmes/dp/pdfs/all-dp-subjects-list-en.pdf</x:v>
      </x:c>
    </x:row>
    <x:row r="256" ht="72" customHeight="1">
      <x:c r="A256" s="71" t="str">
        <x:v>C255</x:v>
      </x:c>
      <x:c r="B256" s="70" t="str">
        <x:v>IB-DP</x:v>
      </x:c>
      <x:c r="C256" s="70" t="str">
        <x:v>学历学科</x:v>
      </x:c>
      <x:c r="D256" s="70" t="str">
        <x:v>SL</x:v>
      </x:c>
      <x:c r="E256" s="70" t="str">
        <x:v>目录层核对</x:v>
      </x:c>
      <x:c r="F256" s="70" t="str">
        <x:v>IB官方2026科目表；具体guide/首末考季另核</x:v>
      </x:c>
      <x:c r="G256" s="70" t="str">
        <x:v>启用前按年份和本校授权复核</x:v>
      </x:c>
      <x:c r="H256" s="70" t="str">
        <x:v>课程目录层</x:v>
      </x:c>
      <x:c r="I256" s="70" t="str">
        <x:v>校内成绩按学校规则；外考成绩不自动换GPA</x:v>
      </x:c>
      <x:c r="J256" s="70" t="str">
        <x:v>人工选择与审核</x:v>
      </x:c>
      <x:c r="K256" s="70" t="str">
        <x:v>IB subject code；SL/HL另存，非独立报名组合码</x:v>
      </x:c>
      <x:c r="L256" s="70" t="str"/>
      <x:c r="M256" s="70" t="str">
        <x:v>V3-IBDP</x:v>
      </x:c>
      <x:c r="N256" s="70" t="str">
        <x:v>https://ibo.org/globalassets/new-structure/programmes/dp/pdfs/all-dp-subjects-list-en.pdf</x:v>
      </x:c>
    </x:row>
    <x:row r="257" ht="72" customHeight="1">
      <x:c r="A257" s="71" t="str">
        <x:v>C256</x:v>
      </x:c>
      <x:c r="B257" s="70" t="str">
        <x:v>IB-DP</x:v>
      </x:c>
      <x:c r="C257" s="70" t="str">
        <x:v>学历学科</x:v>
      </x:c>
      <x:c r="D257" s="70" t="str">
        <x:v>HL</x:v>
      </x:c>
      <x:c r="E257" s="70" t="str">
        <x:v>目录层核对</x:v>
      </x:c>
      <x:c r="F257" s="70" t="str">
        <x:v>IB官方2026科目表；具体guide/首末考季另核</x:v>
      </x:c>
      <x:c r="G257" s="70" t="str">
        <x:v>启用前按年份和本校授权复核</x:v>
      </x:c>
      <x:c r="H257" s="70" t="str">
        <x:v>课程目录层</x:v>
      </x:c>
      <x:c r="I257" s="70" t="str">
        <x:v>校内成绩按学校规则；外考成绩不自动换GPA</x:v>
      </x:c>
      <x:c r="J257" s="70" t="str">
        <x:v>人工选择与审核</x:v>
      </x:c>
      <x:c r="K257" s="70" t="str">
        <x:v>IB subject code；SL/HL另存，非独立报名组合码</x:v>
      </x:c>
      <x:c r="L257" s="70" t="str"/>
      <x:c r="M257" s="70" t="str">
        <x:v>V3-IBDP</x:v>
      </x:c>
      <x:c r="N257" s="70" t="str">
        <x:v>https://ibo.org/globalassets/new-structure/programmes/dp/pdfs/all-dp-subjects-list-en.pdf</x:v>
      </x:c>
    </x:row>
    <x:row r="258" ht="72" customHeight="1">
      <x:c r="A258" s="71" t="str">
        <x:v>C257</x:v>
      </x:c>
      <x:c r="B258" s="70" t="str">
        <x:v>IB-DP</x:v>
      </x:c>
      <x:c r="C258" s="70" t="str">
        <x:v>学历学科</x:v>
      </x:c>
      <x:c r="D258" s="70" t="str">
        <x:v>SL</x:v>
      </x:c>
      <x:c r="E258" s="70" t="str">
        <x:v>目录层核对</x:v>
      </x:c>
      <x:c r="F258" s="70" t="str">
        <x:v>IB官方2026科目表；具体guide/首末考季另核</x:v>
      </x:c>
      <x:c r="G258" s="70" t="str">
        <x:v>启用前按年份和本校授权复核</x:v>
      </x:c>
      <x:c r="H258" s="70" t="str">
        <x:v>课程目录层</x:v>
      </x:c>
      <x:c r="I258" s="70" t="str">
        <x:v>校内成绩按学校规则；外考成绩不自动换GPA</x:v>
      </x:c>
      <x:c r="J258" s="70" t="str">
        <x:v>人工选择与审核</x:v>
      </x:c>
      <x:c r="K258" s="70" t="str">
        <x:v>IB subject code；SL/HL另存，非独立报名组合码</x:v>
      </x:c>
      <x:c r="L258" s="70" t="str"/>
      <x:c r="M258" s="70" t="str">
        <x:v>V3-IBDP</x:v>
      </x:c>
      <x:c r="N258" s="70" t="str">
        <x:v>https://ibo.org/globalassets/new-structure/programmes/dp/pdfs/all-dp-subjects-list-en.pdf</x:v>
      </x:c>
    </x:row>
    <x:row r="259" ht="72" customHeight="1">
      <x:c r="A259" s="71" t="str">
        <x:v>C258</x:v>
      </x:c>
      <x:c r="B259" s="70" t="str">
        <x:v>IB-DP</x:v>
      </x:c>
      <x:c r="C259" s="70" t="str">
        <x:v>学历学科</x:v>
      </x:c>
      <x:c r="D259" s="70" t="str">
        <x:v>HL</x:v>
      </x:c>
      <x:c r="E259" s="70" t="str">
        <x:v>目录层核对</x:v>
      </x:c>
      <x:c r="F259" s="70" t="str">
        <x:v>IB官方2026科目表；具体guide/首末考季另核</x:v>
      </x:c>
      <x:c r="G259" s="70" t="str">
        <x:v>启用前按年份和本校授权复核</x:v>
      </x:c>
      <x:c r="H259" s="70" t="str">
        <x:v>课程目录层</x:v>
      </x:c>
      <x:c r="I259" s="70" t="str">
        <x:v>校内成绩按学校规则；外考成绩不自动换GPA</x:v>
      </x:c>
      <x:c r="J259" s="70" t="str">
        <x:v>人工选择与审核</x:v>
      </x:c>
      <x:c r="K259" s="70" t="str">
        <x:v>IB subject code；SL/HL另存，非独立报名组合码</x:v>
      </x:c>
      <x:c r="L259" s="70" t="str"/>
      <x:c r="M259" s="70" t="str">
        <x:v>V3-IBDP</x:v>
      </x:c>
      <x:c r="N259" s="70" t="str">
        <x:v>https://ibo.org/globalassets/new-structure/programmes/dp/pdfs/all-dp-subjects-list-en.pdf</x:v>
      </x:c>
    </x:row>
    <x:row r="260" ht="72" customHeight="1">
      <x:c r="A260" s="71" t="str">
        <x:v>C259</x:v>
      </x:c>
      <x:c r="B260" s="70" t="str">
        <x:v>IB-DP</x:v>
      </x:c>
      <x:c r="C260" s="70" t="str">
        <x:v>学历学科</x:v>
      </x:c>
      <x:c r="D260" s="70" t="str">
        <x:v>SL</x:v>
      </x:c>
      <x:c r="E260" s="70" t="str">
        <x:v>目录层核对</x:v>
      </x:c>
      <x:c r="F260" s="70" t="str">
        <x:v>IB官方2026科目表；具体guide/首末考季另核</x:v>
      </x:c>
      <x:c r="G260" s="70" t="str">
        <x:v>启用前按年份和本校授权复核</x:v>
      </x:c>
      <x:c r="H260" s="70" t="str">
        <x:v>课程目录层</x:v>
      </x:c>
      <x:c r="I260" s="70" t="str">
        <x:v>校内成绩按学校规则；外考成绩不自动换GPA</x:v>
      </x:c>
      <x:c r="J260" s="70" t="str">
        <x:v>人工选择与审核</x:v>
      </x:c>
      <x:c r="K260" s="70" t="str">
        <x:v>IB subject code；SL/HL另存，非独立报名组合码</x:v>
      </x:c>
      <x:c r="L260" s="70" t="str"/>
      <x:c r="M260" s="70" t="str">
        <x:v>V3-IBDP</x:v>
      </x:c>
      <x:c r="N260" s="70" t="str">
        <x:v>https://ibo.org/globalassets/new-structure/programmes/dp/pdfs/all-dp-subjects-list-en.pdf</x:v>
      </x:c>
    </x:row>
    <x:row r="261" ht="72" customHeight="1">
      <x:c r="A261" s="71" t="str">
        <x:v>C260</x:v>
      </x:c>
      <x:c r="B261" s="70" t="str">
        <x:v>IB-DP</x:v>
      </x:c>
      <x:c r="C261" s="70" t="str">
        <x:v>学历学科</x:v>
      </x:c>
      <x:c r="D261" s="70" t="str">
        <x:v>HL</x:v>
      </x:c>
      <x:c r="E261" s="70" t="str">
        <x:v>目录层核对</x:v>
      </x:c>
      <x:c r="F261" s="70" t="str">
        <x:v>IB官方2026科目表；具体guide/首末考季另核</x:v>
      </x:c>
      <x:c r="G261" s="70" t="str">
        <x:v>启用前按年份和本校授权复核</x:v>
      </x:c>
      <x:c r="H261" s="70" t="str">
        <x:v>课程目录层</x:v>
      </x:c>
      <x:c r="I261" s="70" t="str">
        <x:v>校内成绩按学校规则；外考成绩不自动换GPA</x:v>
      </x:c>
      <x:c r="J261" s="70" t="str">
        <x:v>人工选择与审核</x:v>
      </x:c>
      <x:c r="K261" s="70" t="str">
        <x:v>IB subject code；SL/HL另存，非独立报名组合码</x:v>
      </x:c>
      <x:c r="L261" s="70" t="str"/>
      <x:c r="M261" s="70" t="str">
        <x:v>V3-IBDP</x:v>
      </x:c>
      <x:c r="N261" s="70" t="str">
        <x:v>https://ibo.org/globalassets/new-structure/programmes/dp/pdfs/all-dp-subjects-list-en.pdf</x:v>
      </x:c>
    </x:row>
    <x:row r="262" ht="72" customHeight="1">
      <x:c r="A262" s="71" t="str">
        <x:v>C261</x:v>
      </x:c>
      <x:c r="B262" s="70" t="str">
        <x:v>IB-DP</x:v>
      </x:c>
      <x:c r="C262" s="70" t="str">
        <x:v>学历学科</x:v>
      </x:c>
      <x:c r="D262" s="70" t="str">
        <x:v>SL</x:v>
      </x:c>
      <x:c r="E262" s="70" t="str">
        <x:v>目录层核对</x:v>
      </x:c>
      <x:c r="F262" s="70" t="str">
        <x:v>IB官方2026科目表；具体guide/首末考季另核</x:v>
      </x:c>
      <x:c r="G262" s="70" t="str">
        <x:v>启用前按年份和本校授权复核</x:v>
      </x:c>
      <x:c r="H262" s="70" t="str">
        <x:v>课程目录层</x:v>
      </x:c>
      <x:c r="I262" s="70" t="str">
        <x:v>校内成绩按学校规则；外考成绩不自动换GPA</x:v>
      </x:c>
      <x:c r="J262" s="70" t="str">
        <x:v>人工选择与审核</x:v>
      </x:c>
      <x:c r="K262" s="70" t="str">
        <x:v>IB subject code；SL/HL另存，非独立报名组合码</x:v>
      </x:c>
      <x:c r="L262" s="70" t="str"/>
      <x:c r="M262" s="70" t="str">
        <x:v>V3-IBDP</x:v>
      </x:c>
      <x:c r="N262" s="70" t="str">
        <x:v>https://ibo.org/globalassets/new-structure/programmes/dp/pdfs/all-dp-subjects-list-en.pdf</x:v>
      </x:c>
    </x:row>
    <x:row r="263" ht="72" customHeight="1">
      <x:c r="A263" s="71" t="str">
        <x:v>C262</x:v>
      </x:c>
      <x:c r="B263" s="70" t="str">
        <x:v>IB-DP</x:v>
      </x:c>
      <x:c r="C263" s="70" t="str">
        <x:v>学历学科</x:v>
      </x:c>
      <x:c r="D263" s="70" t="str">
        <x:v>HL</x:v>
      </x:c>
      <x:c r="E263" s="70" t="str">
        <x:v>目录层核对</x:v>
      </x:c>
      <x:c r="F263" s="70" t="str">
        <x:v>IB官方2026科目表；具体guide/首末考季另核</x:v>
      </x:c>
      <x:c r="G263" s="70" t="str">
        <x:v>启用前按年份和本校授权复核</x:v>
      </x:c>
      <x:c r="H263" s="70" t="str">
        <x:v>课程目录层</x:v>
      </x:c>
      <x:c r="I263" s="70" t="str">
        <x:v>校内成绩按学校规则；外考成绩不自动换GPA</x:v>
      </x:c>
      <x:c r="J263" s="70" t="str">
        <x:v>人工选择与审核</x:v>
      </x:c>
      <x:c r="K263" s="70" t="str">
        <x:v>IB subject code；SL/HL另存，非独立报名组合码</x:v>
      </x:c>
      <x:c r="L263" s="70" t="str"/>
      <x:c r="M263" s="70" t="str">
        <x:v>V3-IBDP</x:v>
      </x:c>
      <x:c r="N263" s="70" t="str">
        <x:v>https://ibo.org/globalassets/new-structure/programmes/dp/pdfs/all-dp-subjects-list-en.pdf</x:v>
      </x:c>
    </x:row>
    <x:row r="264" ht="72" customHeight="1">
      <x:c r="A264" s="71" t="str">
        <x:v>C263</x:v>
      </x:c>
      <x:c r="B264" s="70" t="str">
        <x:v>IB-DP</x:v>
      </x:c>
      <x:c r="C264" s="70" t="str">
        <x:v>学历学科</x:v>
      </x:c>
      <x:c r="D264" s="70" t="str">
        <x:v>SL</x:v>
      </x:c>
      <x:c r="E264" s="70" t="str">
        <x:v>目录层核对</x:v>
      </x:c>
      <x:c r="F264" s="70" t="str">
        <x:v>IB官方2026科目表；具体guide/首末考季另核</x:v>
      </x:c>
      <x:c r="G264" s="70" t="str">
        <x:v>启用前按年份和本校授权复核</x:v>
      </x:c>
      <x:c r="H264" s="70" t="str">
        <x:v>课程目录层</x:v>
      </x:c>
      <x:c r="I264" s="70" t="str">
        <x:v>校内成绩按学校规则；外考成绩不自动换GPA</x:v>
      </x:c>
      <x:c r="J264" s="70" t="str">
        <x:v>人工选择与审核</x:v>
      </x:c>
      <x:c r="K264" s="70" t="str">
        <x:v>IB subject code；SL/HL另存，非独立报名组合码</x:v>
      </x:c>
      <x:c r="L264" s="70" t="str"/>
      <x:c r="M264" s="70" t="str">
        <x:v>V3-IBDP</x:v>
      </x:c>
      <x:c r="N264" s="70" t="str">
        <x:v>https://ibo.org/globalassets/new-structure/programmes/dp/pdfs/all-dp-subjects-list-en.pdf</x:v>
      </x:c>
    </x:row>
    <x:row r="265" ht="72" customHeight="1">
      <x:c r="A265" s="71" t="str">
        <x:v>C264</x:v>
      </x:c>
      <x:c r="B265" s="70" t="str">
        <x:v>IB-DP</x:v>
      </x:c>
      <x:c r="C265" s="70" t="str">
        <x:v>学历学科</x:v>
      </x:c>
      <x:c r="D265" s="70" t="str">
        <x:v>SL</x:v>
      </x:c>
      <x:c r="E265" s="70" t="str">
        <x:v>目录层核对</x:v>
      </x:c>
      <x:c r="F265" s="70" t="str">
        <x:v>IB官方2026科目表；具体guide/首末考季另核</x:v>
      </x:c>
      <x:c r="G265" s="70" t="str">
        <x:v>启用前按年份和本校授权复核</x:v>
      </x:c>
      <x:c r="H265" s="70" t="str">
        <x:v>课程目录层</x:v>
      </x:c>
      <x:c r="I265" s="70" t="str">
        <x:v>校内成绩按学校规则；外考成绩不自动换GPA</x:v>
      </x:c>
      <x:c r="J265" s="70" t="str">
        <x:v>人工选择与审核</x:v>
      </x:c>
      <x:c r="K265" s="70" t="str">
        <x:v>IB subject code；SL/HL另存，非独立报名组合码</x:v>
      </x:c>
      <x:c r="L265" s="70" t="str"/>
      <x:c r="M265" s="70" t="str">
        <x:v>V3-IBDP</x:v>
      </x:c>
      <x:c r="N265" s="70" t="str">
        <x:v>https://ibo.org/globalassets/new-structure/programmes/dp/pdfs/all-dp-subjects-list-en.pdf</x:v>
      </x:c>
    </x:row>
    <x:row r="266" ht="72" customHeight="1">
      <x:c r="A266" s="71" t="str">
        <x:v>C265</x:v>
      </x:c>
      <x:c r="B266" s="70" t="str">
        <x:v>IB-DP</x:v>
      </x:c>
      <x:c r="C266" s="70" t="str">
        <x:v>学历学科</x:v>
      </x:c>
      <x:c r="D266" s="70" t="str">
        <x:v>HL</x:v>
      </x:c>
      <x:c r="E266" s="70" t="str">
        <x:v>目录层核对</x:v>
      </x:c>
      <x:c r="F266" s="70" t="str">
        <x:v>IB官方2026科目表；具体guide/首末考季另核</x:v>
      </x:c>
      <x:c r="G266" s="70" t="str">
        <x:v>启用前按年份和本校授权复核</x:v>
      </x:c>
      <x:c r="H266" s="70" t="str">
        <x:v>课程目录层</x:v>
      </x:c>
      <x:c r="I266" s="70" t="str">
        <x:v>校内成绩按学校规则；外考成绩不自动换GPA</x:v>
      </x:c>
      <x:c r="J266" s="70" t="str">
        <x:v>人工选择与审核</x:v>
      </x:c>
      <x:c r="K266" s="70" t="str">
        <x:v>IB subject code；SL/HL另存，非独立报名组合码</x:v>
      </x:c>
      <x:c r="L266" s="70" t="str"/>
      <x:c r="M266" s="70" t="str">
        <x:v>V3-IBDP</x:v>
      </x:c>
      <x:c r="N266" s="70" t="str">
        <x:v>https://ibo.org/globalassets/new-structure/programmes/dp/pdfs/all-dp-subjects-list-en.pdf</x:v>
      </x:c>
    </x:row>
    <x:row r="267" ht="72" customHeight="1">
      <x:c r="A267" s="71" t="str">
        <x:v>C266</x:v>
      </x:c>
      <x:c r="B267" s="70" t="str">
        <x:v>IB-DP</x:v>
      </x:c>
      <x:c r="C267" s="70" t="str">
        <x:v>学历学科</x:v>
      </x:c>
      <x:c r="D267" s="70" t="str">
        <x:v>SL</x:v>
      </x:c>
      <x:c r="E267" s="70" t="str">
        <x:v>目录层核对</x:v>
      </x:c>
      <x:c r="F267" s="70" t="str">
        <x:v>IB官方2026科目表；具体guide/首末考季另核</x:v>
      </x:c>
      <x:c r="G267" s="70" t="str">
        <x:v>启用前按年份和本校授权复核</x:v>
      </x:c>
      <x:c r="H267" s="70" t="str">
        <x:v>课程目录层</x:v>
      </x:c>
      <x:c r="I267" s="70" t="str">
        <x:v>校内成绩按学校规则；外考成绩不自动换GPA</x:v>
      </x:c>
      <x:c r="J267" s="70" t="str">
        <x:v>人工选择与审核</x:v>
      </x:c>
      <x:c r="K267" s="70" t="str">
        <x:v>IB subject code；SL/HL另存，非独立报名组合码</x:v>
      </x:c>
      <x:c r="L267" s="70" t="str"/>
      <x:c r="M267" s="70" t="str">
        <x:v>V3-IBDP</x:v>
      </x:c>
      <x:c r="N267" s="70" t="str">
        <x:v>https://ibo.org/globalassets/new-structure/programmes/dp/pdfs/all-dp-subjects-list-en.pdf</x:v>
      </x:c>
    </x:row>
    <x:row r="268" ht="72" customHeight="1">
      <x:c r="A268" s="71" t="str">
        <x:v>C267</x:v>
      </x:c>
      <x:c r="B268" s="70" t="str">
        <x:v>IB-DP</x:v>
      </x:c>
      <x:c r="C268" s="70" t="str">
        <x:v>学历学科</x:v>
      </x:c>
      <x:c r="D268" s="70" t="str">
        <x:v>HL</x:v>
      </x:c>
      <x:c r="E268" s="70" t="str">
        <x:v>目录层核对</x:v>
      </x:c>
      <x:c r="F268" s="70" t="str">
        <x:v>IB官方2026科目表；具体guide/首末考季另核</x:v>
      </x:c>
      <x:c r="G268" s="70" t="str">
        <x:v>启用前按年份和本校授权复核</x:v>
      </x:c>
      <x:c r="H268" s="70" t="str">
        <x:v>课程目录层</x:v>
      </x:c>
      <x:c r="I268" s="70" t="str">
        <x:v>校内成绩按学校规则；外考成绩不自动换GPA</x:v>
      </x:c>
      <x:c r="J268" s="70" t="str">
        <x:v>人工选择与审核</x:v>
      </x:c>
      <x:c r="K268" s="70" t="str">
        <x:v>IB subject code；SL/HL另存，非独立报名组合码</x:v>
      </x:c>
      <x:c r="L268" s="70" t="str"/>
      <x:c r="M268" s="70" t="str">
        <x:v>V3-IBDP</x:v>
      </x:c>
      <x:c r="N268" s="70" t="str">
        <x:v>https://ibo.org/globalassets/new-structure/programmes/dp/pdfs/all-dp-subjects-list-en.pdf</x:v>
      </x:c>
    </x:row>
    <x:row r="269" ht="72" customHeight="1">
      <x:c r="A269" s="71" t="str">
        <x:v>C268</x:v>
      </x:c>
      <x:c r="B269" s="70" t="str">
        <x:v>IB-DP</x:v>
      </x:c>
      <x:c r="C269" s="70" t="str">
        <x:v>学历学科</x:v>
      </x:c>
      <x:c r="D269" s="70" t="str">
        <x:v>SL</x:v>
      </x:c>
      <x:c r="E269" s="70" t="str">
        <x:v>目录层核对</x:v>
      </x:c>
      <x:c r="F269" s="70" t="str">
        <x:v>IB官方2026科目表；具体guide/首末考季另核</x:v>
      </x:c>
      <x:c r="G269" s="70" t="str">
        <x:v>启用前按年份和本校授权复核</x:v>
      </x:c>
      <x:c r="H269" s="70" t="str">
        <x:v>课程目录层</x:v>
      </x:c>
      <x:c r="I269" s="70" t="str">
        <x:v>校内成绩按学校规则；外考成绩不自动换GPA</x:v>
      </x:c>
      <x:c r="J269" s="70" t="str">
        <x:v>人工选择与审核</x:v>
      </x:c>
      <x:c r="K269" s="70" t="str">
        <x:v>IB subject code；SL/HL另存，非独立报名组合码</x:v>
      </x:c>
      <x:c r="L269" s="70" t="str"/>
      <x:c r="M269" s="70" t="str">
        <x:v>V3-IBDP</x:v>
      </x:c>
      <x:c r="N269" s="70" t="str">
        <x:v>https://ibo.org/globalassets/new-structure/programmes/dp/pdfs/all-dp-subjects-list-en.pdf</x:v>
      </x:c>
    </x:row>
    <x:row r="270" ht="72" customHeight="1">
      <x:c r="A270" s="71" t="str">
        <x:v>C269</x:v>
      </x:c>
      <x:c r="B270" s="70" t="str">
        <x:v>IB-DP</x:v>
      </x:c>
      <x:c r="C270" s="70" t="str">
        <x:v>学历学科</x:v>
      </x:c>
      <x:c r="D270" s="70" t="str">
        <x:v>HL</x:v>
      </x:c>
      <x:c r="E270" s="70" t="str">
        <x:v>目录层核对</x:v>
      </x:c>
      <x:c r="F270" s="70" t="str">
        <x:v>IB官方2026科目表；具体guide/首末考季另核</x:v>
      </x:c>
      <x:c r="G270" s="70" t="str">
        <x:v>启用前按年份和本校授权复核</x:v>
      </x:c>
      <x:c r="H270" s="70" t="str">
        <x:v>课程目录层</x:v>
      </x:c>
      <x:c r="I270" s="70" t="str">
        <x:v>校内成绩按学校规则；外考成绩不自动换GPA</x:v>
      </x:c>
      <x:c r="J270" s="70" t="str">
        <x:v>人工选择与审核</x:v>
      </x:c>
      <x:c r="K270" s="70" t="str">
        <x:v>IB subject code；SL/HL另存，非独立报名组合码</x:v>
      </x:c>
      <x:c r="L270" s="70" t="str"/>
      <x:c r="M270" s="70" t="str">
        <x:v>V3-IBDP</x:v>
      </x:c>
      <x:c r="N270" s="70" t="str">
        <x:v>https://ibo.org/globalassets/new-structure/programmes/dp/pdfs/all-dp-subjects-list-en.pdf</x:v>
      </x:c>
    </x:row>
    <x:row r="271" ht="72" customHeight="1">
      <x:c r="A271" s="71" t="str">
        <x:v>C270</x:v>
      </x:c>
      <x:c r="B271" s="70" t="str">
        <x:v>IB-DP</x:v>
      </x:c>
      <x:c r="C271" s="70" t="str">
        <x:v>学历学科</x:v>
      </x:c>
      <x:c r="D271" s="70" t="str">
        <x:v>SL</x:v>
      </x:c>
      <x:c r="E271" s="70" t="str">
        <x:v>目录层核对</x:v>
      </x:c>
      <x:c r="F271" s="70" t="str">
        <x:v>IB官方2026科目表；具体guide/首末考季另核</x:v>
      </x:c>
      <x:c r="G271" s="70" t="str">
        <x:v>启用前按年份和本校授权复核</x:v>
      </x:c>
      <x:c r="H271" s="70" t="str">
        <x:v>课程目录层</x:v>
      </x:c>
      <x:c r="I271" s="70" t="str">
        <x:v>校内成绩按学校规则；外考成绩不自动换GPA</x:v>
      </x:c>
      <x:c r="J271" s="70" t="str">
        <x:v>人工选择与审核</x:v>
      </x:c>
      <x:c r="K271" s="70" t="str">
        <x:v>IB subject code；SL/HL另存，非独立报名组合码</x:v>
      </x:c>
      <x:c r="L271" s="70" t="str"/>
      <x:c r="M271" s="70" t="str">
        <x:v>V3-IBDP</x:v>
      </x:c>
      <x:c r="N271" s="70" t="str">
        <x:v>https://ibo.org/globalassets/new-structure/programmes/dp/pdfs/all-dp-subjects-list-en.pdf</x:v>
      </x:c>
    </x:row>
    <x:row r="272" ht="72" customHeight="1">
      <x:c r="A272" s="71" t="str">
        <x:v>C271</x:v>
      </x:c>
      <x:c r="B272" s="70" t="str">
        <x:v>IB-DP</x:v>
      </x:c>
      <x:c r="C272" s="70" t="str">
        <x:v>学历学科</x:v>
      </x:c>
      <x:c r="D272" s="70" t="str">
        <x:v>HL</x:v>
      </x:c>
      <x:c r="E272" s="70" t="str">
        <x:v>目录层核对</x:v>
      </x:c>
      <x:c r="F272" s="70" t="str">
        <x:v>IB官方2026科目表；具体guide/首末考季另核</x:v>
      </x:c>
      <x:c r="G272" s="70" t="str">
        <x:v>启用前按年份和本校授权复核</x:v>
      </x:c>
      <x:c r="H272" s="70" t="str">
        <x:v>课程目录层</x:v>
      </x:c>
      <x:c r="I272" s="70" t="str">
        <x:v>校内成绩按学校规则；外考成绩不自动换GPA</x:v>
      </x:c>
      <x:c r="J272" s="70" t="str">
        <x:v>人工选择与审核</x:v>
      </x:c>
      <x:c r="K272" s="70" t="str">
        <x:v>IB subject code；SL/HL另存，非独立报名组合码</x:v>
      </x:c>
      <x:c r="L272" s="70" t="str"/>
      <x:c r="M272" s="70" t="str">
        <x:v>V3-IBDP</x:v>
      </x:c>
      <x:c r="N272" s="70" t="str">
        <x:v>https://ibo.org/globalassets/new-structure/programmes/dp/pdfs/all-dp-subjects-list-en.pdf</x:v>
      </x:c>
    </x:row>
    <x:row r="273" ht="72" customHeight="1">
      <x:c r="A273" s="71" t="str">
        <x:v>C272</x:v>
      </x:c>
      <x:c r="B273" s="70" t="str">
        <x:v>IB-DP</x:v>
      </x:c>
      <x:c r="C273" s="70" t="str">
        <x:v>学历学科</x:v>
      </x:c>
      <x:c r="D273" s="70" t="str">
        <x:v>SL</x:v>
      </x:c>
      <x:c r="E273" s="70" t="str">
        <x:v>目录层核对</x:v>
      </x:c>
      <x:c r="F273" s="70" t="str">
        <x:v>IB官方2026科目表；具体guide/首末考季另核</x:v>
      </x:c>
      <x:c r="G273" s="70" t="str">
        <x:v>启用前按年份和本校授权复核</x:v>
      </x:c>
      <x:c r="H273" s="70" t="str">
        <x:v>课程目录层</x:v>
      </x:c>
      <x:c r="I273" s="70" t="str">
        <x:v>校内成绩按学校规则；外考成绩不自动换GPA</x:v>
      </x:c>
      <x:c r="J273" s="70" t="str">
        <x:v>人工选择与审核</x:v>
      </x:c>
      <x:c r="K273" s="70" t="str">
        <x:v>IB subject code；SL/HL另存，非独立报名组合码</x:v>
      </x:c>
      <x:c r="L273" s="70" t="str"/>
      <x:c r="M273" s="70" t="str">
        <x:v>V3-IBDP</x:v>
      </x:c>
      <x:c r="N273" s="70" t="str">
        <x:v>https://ibo.org/globalassets/new-structure/programmes/dp/pdfs/all-dp-subjects-list-en.pdf</x:v>
      </x:c>
    </x:row>
    <x:row r="274" ht="72" customHeight="1">
      <x:c r="A274" s="71" t="str">
        <x:v>C273</x:v>
      </x:c>
      <x:c r="B274" s="70" t="str">
        <x:v>IB-DP</x:v>
      </x:c>
      <x:c r="C274" s="70" t="str">
        <x:v>学历学科</x:v>
      </x:c>
      <x:c r="D274" s="70" t="str">
        <x:v>HL</x:v>
      </x:c>
      <x:c r="E274" s="70" t="str">
        <x:v>目录层核对</x:v>
      </x:c>
      <x:c r="F274" s="70" t="str">
        <x:v>IB官方2026科目表；具体guide/首末考季另核</x:v>
      </x:c>
      <x:c r="G274" s="70" t="str">
        <x:v>启用前按年份和本校授权复核</x:v>
      </x:c>
      <x:c r="H274" s="70" t="str">
        <x:v>课程目录层</x:v>
      </x:c>
      <x:c r="I274" s="70" t="str">
        <x:v>校内成绩按学校规则；外考成绩不自动换GPA</x:v>
      </x:c>
      <x:c r="J274" s="70" t="str">
        <x:v>人工选择与审核</x:v>
      </x:c>
      <x:c r="K274" s="70" t="str">
        <x:v>IB subject code；SL/HL另存，非独立报名组合码</x:v>
      </x:c>
      <x:c r="L274" s="70" t="str"/>
      <x:c r="M274" s="70" t="str">
        <x:v>V3-IBDP</x:v>
      </x:c>
      <x:c r="N274" s="70" t="str">
        <x:v>https://ibo.org/globalassets/new-structure/programmes/dp/pdfs/all-dp-subjects-list-en.pdf</x:v>
      </x:c>
    </x:row>
    <x:row r="275" ht="72" customHeight="1">
      <x:c r="A275" s="71" t="str">
        <x:v>C274</x:v>
      </x:c>
      <x:c r="B275" s="70" t="str">
        <x:v>IB-DP</x:v>
      </x:c>
      <x:c r="C275" s="70" t="str">
        <x:v>学历学科</x:v>
      </x:c>
      <x:c r="D275" s="70" t="str">
        <x:v>SL</x:v>
      </x:c>
      <x:c r="E275" s="70" t="str">
        <x:v>目录层核对</x:v>
      </x:c>
      <x:c r="F275" s="70" t="str">
        <x:v>IB官方2026科目表；具体guide/首末考季另核</x:v>
      </x:c>
      <x:c r="G275" s="70" t="str">
        <x:v>启用前按年份和本校授权复核</x:v>
      </x:c>
      <x:c r="H275" s="70" t="str">
        <x:v>课程目录层</x:v>
      </x:c>
      <x:c r="I275" s="70" t="str">
        <x:v>校内成绩按学校规则；外考成绩不自动换GPA</x:v>
      </x:c>
      <x:c r="J275" s="70" t="str">
        <x:v>人工选择与审核</x:v>
      </x:c>
      <x:c r="K275" s="70" t="str">
        <x:v>IB subject code；SL/HL另存，非独立报名组合码</x:v>
      </x:c>
      <x:c r="L275" s="70" t="str"/>
      <x:c r="M275" s="70" t="str">
        <x:v>V3-IBDP</x:v>
      </x:c>
      <x:c r="N275" s="70" t="str">
        <x:v>https://ibo.org/globalassets/new-structure/programmes/dp/pdfs/all-dp-subjects-list-en.pdf</x:v>
      </x:c>
    </x:row>
    <x:row r="276" ht="72" customHeight="1">
      <x:c r="A276" s="71" t="str">
        <x:v>C275</x:v>
      </x:c>
      <x:c r="B276" s="70" t="str">
        <x:v>IB-DP</x:v>
      </x:c>
      <x:c r="C276" s="70" t="str">
        <x:v>学历学科</x:v>
      </x:c>
      <x:c r="D276" s="70" t="str">
        <x:v>HL</x:v>
      </x:c>
      <x:c r="E276" s="70" t="str">
        <x:v>目录层核对</x:v>
      </x:c>
      <x:c r="F276" s="70" t="str">
        <x:v>IB官方2026科目表；具体guide/首末考季另核</x:v>
      </x:c>
      <x:c r="G276" s="70" t="str">
        <x:v>启用前按年份和本校授权复核</x:v>
      </x:c>
      <x:c r="H276" s="70" t="str">
        <x:v>课程目录层</x:v>
      </x:c>
      <x:c r="I276" s="70" t="str">
        <x:v>校内成绩按学校规则；外考成绩不自动换GPA</x:v>
      </x:c>
      <x:c r="J276" s="70" t="str">
        <x:v>人工选择与审核</x:v>
      </x:c>
      <x:c r="K276" s="70" t="str">
        <x:v>IB subject code；SL/HL另存，非独立报名组合码</x:v>
      </x:c>
      <x:c r="L276" s="70" t="str"/>
      <x:c r="M276" s="70" t="str">
        <x:v>V3-IBDP</x:v>
      </x:c>
      <x:c r="N276" s="70" t="str">
        <x:v>https://ibo.org/globalassets/new-structure/programmes/dp/pdfs/all-dp-subjects-list-en.pdf</x:v>
      </x:c>
    </x:row>
    <x:row r="277" ht="72" customHeight="1">
      <x:c r="A277" s="71" t="str">
        <x:v>C276</x:v>
      </x:c>
      <x:c r="B277" s="70" t="str">
        <x:v>IB-DP</x:v>
      </x:c>
      <x:c r="C277" s="70" t="str">
        <x:v>学历学科</x:v>
      </x:c>
      <x:c r="D277" s="70" t="str">
        <x:v>SL</x:v>
      </x:c>
      <x:c r="E277" s="70" t="str">
        <x:v>目录层核对</x:v>
      </x:c>
      <x:c r="F277" s="70" t="str">
        <x:v>IB官方2026科目表；具体guide/首末考季另核</x:v>
      </x:c>
      <x:c r="G277" s="70" t="str">
        <x:v>启用前按年份和本校授权复核</x:v>
      </x:c>
      <x:c r="H277" s="70" t="str">
        <x:v>课程目录层</x:v>
      </x:c>
      <x:c r="I277" s="70" t="str">
        <x:v>校内成绩按学校规则；外考成绩不自动换GPA</x:v>
      </x:c>
      <x:c r="J277" s="70" t="str">
        <x:v>人工选择与审核</x:v>
      </x:c>
      <x:c r="K277" s="70" t="str">
        <x:v>IB subject code；SL/HL另存，非独立报名组合码</x:v>
      </x:c>
      <x:c r="L277" s="70" t="str"/>
      <x:c r="M277" s="70" t="str">
        <x:v>V3-IBDP</x:v>
      </x:c>
      <x:c r="N277" s="70" t="str">
        <x:v>https://ibo.org/globalassets/new-structure/programmes/dp/pdfs/all-dp-subjects-list-en.pdf</x:v>
      </x:c>
    </x:row>
    <x:row r="278" ht="72" customHeight="1">
      <x:c r="A278" s="71" t="str">
        <x:v>C277</x:v>
      </x:c>
      <x:c r="B278" s="70" t="str">
        <x:v>IB-DP</x:v>
      </x:c>
      <x:c r="C278" s="70" t="str">
        <x:v>学历学科</x:v>
      </x:c>
      <x:c r="D278" s="70" t="str">
        <x:v>HL</x:v>
      </x:c>
      <x:c r="E278" s="70" t="str">
        <x:v>目录层核对</x:v>
      </x:c>
      <x:c r="F278" s="70" t="str">
        <x:v>IB官方2026科目表；具体guide/首末考季另核</x:v>
      </x:c>
      <x:c r="G278" s="70" t="str">
        <x:v>启用前按年份和本校授权复核</x:v>
      </x:c>
      <x:c r="H278" s="70" t="str">
        <x:v>课程目录层</x:v>
      </x:c>
      <x:c r="I278" s="70" t="str">
        <x:v>校内成绩按学校规则；外考成绩不自动换GPA</x:v>
      </x:c>
      <x:c r="J278" s="70" t="str">
        <x:v>人工选择与审核</x:v>
      </x:c>
      <x:c r="K278" s="70" t="str">
        <x:v>IB subject code；SL/HL另存，非独立报名组合码</x:v>
      </x:c>
      <x:c r="L278" s="70" t="str"/>
      <x:c r="M278" s="70" t="str">
        <x:v>V3-IBDP</x:v>
      </x:c>
      <x:c r="N278" s="70" t="str">
        <x:v>https://ibo.org/globalassets/new-structure/programmes/dp/pdfs/all-dp-subjects-list-en.pdf</x:v>
      </x:c>
    </x:row>
    <x:row r="279" ht="72" customHeight="1">
      <x:c r="A279" s="71" t="str">
        <x:v>C278</x:v>
      </x:c>
      <x:c r="B279" s="70" t="str">
        <x:v>IB-DP</x:v>
      </x:c>
      <x:c r="C279" s="70" t="str">
        <x:v>学历学科</x:v>
      </x:c>
      <x:c r="D279" s="70" t="str">
        <x:v>SL</x:v>
      </x:c>
      <x:c r="E279" s="70" t="str">
        <x:v>目录层核对</x:v>
      </x:c>
      <x:c r="F279" s="70" t="str">
        <x:v>IB官方2026科目表；具体guide/首末考季另核</x:v>
      </x:c>
      <x:c r="G279" s="70" t="str">
        <x:v>启用前按年份和本校授权复核</x:v>
      </x:c>
      <x:c r="H279" s="70" t="str">
        <x:v>课程目录层</x:v>
      </x:c>
      <x:c r="I279" s="70" t="str">
        <x:v>校内成绩按学校规则；外考成绩不自动换GPA</x:v>
      </x:c>
      <x:c r="J279" s="70" t="str">
        <x:v>人工选择与审核</x:v>
      </x:c>
      <x:c r="K279" s="70" t="str">
        <x:v>IB subject code；SL/HL另存，非独立报名组合码</x:v>
      </x:c>
      <x:c r="L279" s="70" t="str"/>
      <x:c r="M279" s="70" t="str">
        <x:v>V3-IBDP</x:v>
      </x:c>
      <x:c r="N279" s="70" t="str">
        <x:v>https://ibo.org/globalassets/new-structure/programmes/dp/pdfs/all-dp-subjects-list-en.pdf</x:v>
      </x:c>
    </x:row>
    <x:row r="280" ht="72" customHeight="1">
      <x:c r="A280" s="71" t="str">
        <x:v>C279</x:v>
      </x:c>
      <x:c r="B280" s="70" t="str">
        <x:v>IB-DP</x:v>
      </x:c>
      <x:c r="C280" s="70" t="str">
        <x:v>学历学科</x:v>
      </x:c>
      <x:c r="D280" s="70" t="str">
        <x:v>HL</x:v>
      </x:c>
      <x:c r="E280" s="70" t="str">
        <x:v>目录层核对</x:v>
      </x:c>
      <x:c r="F280" s="70" t="str">
        <x:v>IB官方2026科目表；具体guide/首末考季另核</x:v>
      </x:c>
      <x:c r="G280" s="70" t="str">
        <x:v>启用前按年份和本校授权复核</x:v>
      </x:c>
      <x:c r="H280" s="70" t="str">
        <x:v>课程目录层</x:v>
      </x:c>
      <x:c r="I280" s="70" t="str">
        <x:v>校内成绩按学校规则；外考成绩不自动换GPA</x:v>
      </x:c>
      <x:c r="J280" s="70" t="str">
        <x:v>人工选择与审核</x:v>
      </x:c>
      <x:c r="K280" s="70" t="str">
        <x:v>IB subject code；SL/HL另存，非独立报名组合码</x:v>
      </x:c>
      <x:c r="L280" s="70" t="str"/>
      <x:c r="M280" s="70" t="str">
        <x:v>V3-IBDP</x:v>
      </x:c>
      <x:c r="N280" s="70" t="str">
        <x:v>https://ibo.org/globalassets/new-structure/programmes/dp/pdfs/all-dp-subjects-list-en.pdf</x:v>
      </x:c>
    </x:row>
    <x:row r="281" ht="72" customHeight="1">
      <x:c r="A281" s="71" t="str">
        <x:v>C280</x:v>
      </x:c>
      <x:c r="B281" s="70" t="str">
        <x:v>IB-DP</x:v>
      </x:c>
      <x:c r="C281" s="70" t="str">
        <x:v>学历学科</x:v>
      </x:c>
      <x:c r="D281" s="70" t="str">
        <x:v>SL</x:v>
      </x:c>
      <x:c r="E281" s="70" t="str">
        <x:v>目录层核对</x:v>
      </x:c>
      <x:c r="F281" s="70" t="str">
        <x:v>IB官方2026科目表；具体guide/首末考季另核</x:v>
      </x:c>
      <x:c r="G281" s="70" t="str">
        <x:v>启用前按年份和本校授权复核</x:v>
      </x:c>
      <x:c r="H281" s="70" t="str">
        <x:v>课程目录层</x:v>
      </x:c>
      <x:c r="I281" s="70" t="str">
        <x:v>校内成绩按学校规则；外考成绩不自动换GPA</x:v>
      </x:c>
      <x:c r="J281" s="70" t="str">
        <x:v>人工选择与审核</x:v>
      </x:c>
      <x:c r="K281" s="70" t="str">
        <x:v>IB subject code；SL/HL另存，非独立报名组合码</x:v>
      </x:c>
      <x:c r="L281" s="70" t="str"/>
      <x:c r="M281" s="70" t="str">
        <x:v>V3-IBDP</x:v>
      </x:c>
      <x:c r="N281" s="70" t="str">
        <x:v>https://ibo.org/globalassets/new-structure/programmes/dp/pdfs/all-dp-subjects-list-en.pdf</x:v>
      </x:c>
    </x:row>
    <x:row r="282" ht="72" customHeight="1">
      <x:c r="A282" s="71" t="str">
        <x:v>C281</x:v>
      </x:c>
      <x:c r="B282" s="70" t="str">
        <x:v>IB-DP</x:v>
      </x:c>
      <x:c r="C282" s="70" t="str">
        <x:v>学历学科</x:v>
      </x:c>
      <x:c r="D282" s="70" t="str">
        <x:v>HL</x:v>
      </x:c>
      <x:c r="E282" s="70" t="str">
        <x:v>目录层核对</x:v>
      </x:c>
      <x:c r="F282" s="70" t="str">
        <x:v>IB官方2026科目表；具体guide/首末考季另核</x:v>
      </x:c>
      <x:c r="G282" s="70" t="str">
        <x:v>启用前按年份和本校授权复核</x:v>
      </x:c>
      <x:c r="H282" s="70" t="str">
        <x:v>课程目录层</x:v>
      </x:c>
      <x:c r="I282" s="70" t="str">
        <x:v>校内成绩按学校规则；外考成绩不自动换GPA</x:v>
      </x:c>
      <x:c r="J282" s="70" t="str">
        <x:v>人工选择与审核</x:v>
      </x:c>
      <x:c r="K282" s="70" t="str">
        <x:v>IB subject code；SL/HL另存，非独立报名组合码</x:v>
      </x:c>
      <x:c r="L282" s="70" t="str"/>
      <x:c r="M282" s="70" t="str">
        <x:v>V3-IBDP</x:v>
      </x:c>
      <x:c r="N282" s="70" t="str">
        <x:v>https://ibo.org/globalassets/new-structure/programmes/dp/pdfs/all-dp-subjects-list-en.pdf</x:v>
      </x:c>
    </x:row>
    <x:row r="283" ht="72" customHeight="1">
      <x:c r="A283" s="71" t="str">
        <x:v>C282</x:v>
      </x:c>
      <x:c r="B283" s="70" t="str">
        <x:v>IB-DP</x:v>
      </x:c>
      <x:c r="C283" s="70" t="str">
        <x:v>学历学科</x:v>
      </x:c>
      <x:c r="D283" s="70" t="str">
        <x:v>SL</x:v>
      </x:c>
      <x:c r="E283" s="70" t="str">
        <x:v>目录层核对</x:v>
      </x:c>
      <x:c r="F283" s="70" t="str">
        <x:v>IB官方2026科目表；具体guide/首末考季另核</x:v>
      </x:c>
      <x:c r="G283" s="70" t="str">
        <x:v>启用前按年份和本校授权复核</x:v>
      </x:c>
      <x:c r="H283" s="70" t="str">
        <x:v>课程目录层</x:v>
      </x:c>
      <x:c r="I283" s="70" t="str">
        <x:v>校内成绩按学校规则；外考成绩不自动换GPA</x:v>
      </x:c>
      <x:c r="J283" s="70" t="str">
        <x:v>人工选择与审核</x:v>
      </x:c>
      <x:c r="K283" s="70" t="str">
        <x:v>IB subject code；SL/HL另存，非独立报名组合码</x:v>
      </x:c>
      <x:c r="L283" s="70" t="str"/>
      <x:c r="M283" s="70" t="str">
        <x:v>V3-IBDP</x:v>
      </x:c>
      <x:c r="N283" s="70" t="str">
        <x:v>https://ibo.org/globalassets/new-structure/programmes/dp/pdfs/all-dp-subjects-list-en.pdf</x:v>
      </x:c>
    </x:row>
    <x:row r="284" ht="72" customHeight="1">
      <x:c r="A284" s="71" t="str">
        <x:v>C283</x:v>
      </x:c>
      <x:c r="B284" s="70" t="str">
        <x:v>IB-DP</x:v>
      </x:c>
      <x:c r="C284" s="70" t="str">
        <x:v>学历学科</x:v>
      </x:c>
      <x:c r="D284" s="70" t="str">
        <x:v>HL</x:v>
      </x:c>
      <x:c r="E284" s="70" t="str">
        <x:v>目录层核对</x:v>
      </x:c>
      <x:c r="F284" s="70" t="str">
        <x:v>IB官方2026科目表；具体guide/首末考季另核</x:v>
      </x:c>
      <x:c r="G284" s="70" t="str">
        <x:v>启用前按年份和本校授权复核</x:v>
      </x:c>
      <x:c r="H284" s="70" t="str">
        <x:v>课程目录层</x:v>
      </x:c>
      <x:c r="I284" s="70" t="str">
        <x:v>校内成绩按学校规则；外考成绩不自动换GPA</x:v>
      </x:c>
      <x:c r="J284" s="70" t="str">
        <x:v>人工选择与审核</x:v>
      </x:c>
      <x:c r="K284" s="70" t="str">
        <x:v>IB subject code；SL/HL另存，非独立报名组合码</x:v>
      </x:c>
      <x:c r="L284" s="70" t="str"/>
      <x:c r="M284" s="70" t="str">
        <x:v>V3-IBDP</x:v>
      </x:c>
      <x:c r="N284" s="70" t="str">
        <x:v>https://ibo.org/globalassets/new-structure/programmes/dp/pdfs/all-dp-subjects-list-en.pdf</x:v>
      </x:c>
    </x:row>
    <x:row r="285" ht="72" customHeight="1">
      <x:c r="A285" s="71" t="str">
        <x:v>C284</x:v>
      </x:c>
      <x:c r="B285" s="70" t="str">
        <x:v>IB-DP</x:v>
      </x:c>
      <x:c r="C285" s="70" t="str">
        <x:v>学历学科</x:v>
      </x:c>
      <x:c r="D285" s="70" t="str">
        <x:v>SL</x:v>
      </x:c>
      <x:c r="E285" s="70" t="str">
        <x:v>目录层核对</x:v>
      </x:c>
      <x:c r="F285" s="70" t="str">
        <x:v>IB官方2026科目表；具体guide/首末考季另核</x:v>
      </x:c>
      <x:c r="G285" s="70" t="str">
        <x:v>启用前按年份和本校授权复核</x:v>
      </x:c>
      <x:c r="H285" s="70" t="str">
        <x:v>课程目录层</x:v>
      </x:c>
      <x:c r="I285" s="70" t="str">
        <x:v>校内成绩按学校规则；外考成绩不自动换GPA</x:v>
      </x:c>
      <x:c r="J285" s="70" t="str">
        <x:v>人工选择与审核</x:v>
      </x:c>
      <x:c r="K285" s="70" t="str">
        <x:v>IB subject code；SL/HL另存，非独立报名组合码</x:v>
      </x:c>
      <x:c r="L285" s="70" t="str"/>
      <x:c r="M285" s="70" t="str">
        <x:v>V3-IBDP</x:v>
      </x:c>
      <x:c r="N285" s="70" t="str">
        <x:v>https://ibo.org/globalassets/new-structure/programmes/dp/pdfs/all-dp-subjects-list-en.pdf</x:v>
      </x:c>
    </x:row>
    <x:row r="286" ht="72" customHeight="1">
      <x:c r="A286" s="71" t="str">
        <x:v>C285</x:v>
      </x:c>
      <x:c r="B286" s="70" t="str">
        <x:v>IB-DP</x:v>
      </x:c>
      <x:c r="C286" s="70" t="str">
        <x:v>学历学科</x:v>
      </x:c>
      <x:c r="D286" s="70" t="str">
        <x:v>HL</x:v>
      </x:c>
      <x:c r="E286" s="70" t="str">
        <x:v>目录层核对</x:v>
      </x:c>
      <x:c r="F286" s="70" t="str">
        <x:v>IB官方2026科目表；具体guide/首末考季另核</x:v>
      </x:c>
      <x:c r="G286" s="70" t="str">
        <x:v>启用前按年份和本校授权复核</x:v>
      </x:c>
      <x:c r="H286" s="70" t="str">
        <x:v>课程目录层</x:v>
      </x:c>
      <x:c r="I286" s="70" t="str">
        <x:v>校内成绩按学校规则；外考成绩不自动换GPA</x:v>
      </x:c>
      <x:c r="J286" s="70" t="str">
        <x:v>人工选择与审核</x:v>
      </x:c>
      <x:c r="K286" s="70" t="str">
        <x:v>IB subject code；SL/HL另存，非独立报名组合码</x:v>
      </x:c>
      <x:c r="L286" s="70" t="str"/>
      <x:c r="M286" s="70" t="str">
        <x:v>V3-IBDP</x:v>
      </x:c>
      <x:c r="N286" s="70" t="str">
        <x:v>https://ibo.org/globalassets/new-structure/programmes/dp/pdfs/all-dp-subjects-list-en.pdf</x:v>
      </x:c>
    </x:row>
    <x:row r="287" ht="72" customHeight="1">
      <x:c r="A287" s="71" t="str">
        <x:v>C286</x:v>
      </x:c>
      <x:c r="B287" s="70" t="str">
        <x:v>IB-DP</x:v>
      </x:c>
      <x:c r="C287" s="70" t="str">
        <x:v>学历学科</x:v>
      </x:c>
      <x:c r="D287" s="70" t="str">
        <x:v>SL</x:v>
      </x:c>
      <x:c r="E287" s="70" t="str">
        <x:v>目录层核对</x:v>
      </x:c>
      <x:c r="F287" s="70" t="str">
        <x:v>IB官方2026科目表；具体guide/首末考季另核</x:v>
      </x:c>
      <x:c r="G287" s="70" t="str">
        <x:v>启用前按年份和本校授权复核</x:v>
      </x:c>
      <x:c r="H287" s="70" t="str">
        <x:v>课程目录层</x:v>
      </x:c>
      <x:c r="I287" s="70" t="str">
        <x:v>校内成绩按学校规则；外考成绩不自动换GPA</x:v>
      </x:c>
      <x:c r="J287" s="70" t="str">
        <x:v>人工选择与审核</x:v>
      </x:c>
      <x:c r="K287" s="70" t="str">
        <x:v>IB subject code；SL/HL另存，非独立报名组合码</x:v>
      </x:c>
      <x:c r="L287" s="70" t="str"/>
      <x:c r="M287" s="70" t="str">
        <x:v>V3-IBDP</x:v>
      </x:c>
      <x:c r="N287" s="70" t="str">
        <x:v>https://ibo.org/globalassets/new-structure/programmes/dp/pdfs/all-dp-subjects-list-en.pdf</x:v>
      </x:c>
    </x:row>
    <x:row r="288" ht="72" customHeight="1">
      <x:c r="A288" s="71" t="str">
        <x:v>C287</x:v>
      </x:c>
      <x:c r="B288" s="70" t="str">
        <x:v>IB-DP</x:v>
      </x:c>
      <x:c r="C288" s="70" t="str">
        <x:v>学历学科</x:v>
      </x:c>
      <x:c r="D288" s="70" t="str">
        <x:v>HL</x:v>
      </x:c>
      <x:c r="E288" s="70" t="str">
        <x:v>目录层核对</x:v>
      </x:c>
      <x:c r="F288" s="70" t="str">
        <x:v>IB官方2026科目表；具体guide/首末考季另核</x:v>
      </x:c>
      <x:c r="G288" s="70" t="str">
        <x:v>启用前按年份和本校授权复核</x:v>
      </x:c>
      <x:c r="H288" s="70" t="str">
        <x:v>课程目录层</x:v>
      </x:c>
      <x:c r="I288" s="70" t="str">
        <x:v>校内成绩按学校规则；外考成绩不自动换GPA</x:v>
      </x:c>
      <x:c r="J288" s="70" t="str">
        <x:v>人工选择与审核</x:v>
      </x:c>
      <x:c r="K288" s="70" t="str">
        <x:v>IB subject code；SL/HL另存，非独立报名组合码</x:v>
      </x:c>
      <x:c r="L288" s="70" t="str"/>
      <x:c r="M288" s="70" t="str">
        <x:v>V3-IBDP</x:v>
      </x:c>
      <x:c r="N288" s="70" t="str">
        <x:v>https://ibo.org/globalassets/new-structure/programmes/dp/pdfs/all-dp-subjects-list-en.pdf</x:v>
      </x:c>
    </x:row>
    <x:row r="289" ht="72" customHeight="1">
      <x:c r="A289" s="71" t="str">
        <x:v>C288</x:v>
      </x:c>
      <x:c r="B289" s="70" t="str">
        <x:v>IB-DP</x:v>
      </x:c>
      <x:c r="C289" s="70" t="str">
        <x:v>学历学科</x:v>
      </x:c>
      <x:c r="D289" s="70" t="str">
        <x:v>SL</x:v>
      </x:c>
      <x:c r="E289" s="70" t="str">
        <x:v>目录层核对</x:v>
      </x:c>
      <x:c r="F289" s="70" t="str">
        <x:v>IB官方2026科目表；具体guide/首末考季另核</x:v>
      </x:c>
      <x:c r="G289" s="70" t="str">
        <x:v>启用前按年份和本校授权复核</x:v>
      </x:c>
      <x:c r="H289" s="70" t="str">
        <x:v>课程目录层</x:v>
      </x:c>
      <x:c r="I289" s="70" t="str">
        <x:v>校内成绩按学校规则；外考成绩不自动换GPA</x:v>
      </x:c>
      <x:c r="J289" s="70" t="str">
        <x:v>人工选择与审核</x:v>
      </x:c>
      <x:c r="K289" s="70" t="str">
        <x:v>IB subject code；SL/HL另存，非独立报名组合码</x:v>
      </x:c>
      <x:c r="L289" s="70" t="str"/>
      <x:c r="M289" s="70" t="str">
        <x:v>V3-IBDP</x:v>
      </x:c>
      <x:c r="N289" s="70" t="str">
        <x:v>https://ibo.org/globalassets/new-structure/programmes/dp/pdfs/all-dp-subjects-list-en.pdf</x:v>
      </x:c>
    </x:row>
    <x:row r="290" ht="72" customHeight="1">
      <x:c r="A290" s="71" t="str">
        <x:v>C289</x:v>
      </x:c>
      <x:c r="B290" s="70" t="str">
        <x:v>IB-DP</x:v>
      </x:c>
      <x:c r="C290" s="70" t="str">
        <x:v>学历学科</x:v>
      </x:c>
      <x:c r="D290" s="70" t="str">
        <x:v>HL</x:v>
      </x:c>
      <x:c r="E290" s="70" t="str">
        <x:v>目录层核对</x:v>
      </x:c>
      <x:c r="F290" s="70" t="str">
        <x:v>IB官方2026科目表；具体guide/首末考季另核</x:v>
      </x:c>
      <x:c r="G290" s="70" t="str">
        <x:v>启用前按年份和本校授权复核</x:v>
      </x:c>
      <x:c r="H290" s="70" t="str">
        <x:v>课程目录层</x:v>
      </x:c>
      <x:c r="I290" s="70" t="str">
        <x:v>校内成绩按学校规则；外考成绩不自动换GPA</x:v>
      </x:c>
      <x:c r="J290" s="70" t="str">
        <x:v>人工选择与审核</x:v>
      </x:c>
      <x:c r="K290" s="70" t="str">
        <x:v>IB subject code；SL/HL另存，非独立报名组合码</x:v>
      </x:c>
      <x:c r="L290" s="70" t="str"/>
      <x:c r="M290" s="70" t="str">
        <x:v>V3-IBDP</x:v>
      </x:c>
      <x:c r="N290" s="70" t="str">
        <x:v>https://ibo.org/globalassets/new-structure/programmes/dp/pdfs/all-dp-subjects-list-en.pdf</x:v>
      </x:c>
    </x:row>
    <x:row r="291" ht="72" customHeight="1">
      <x:c r="A291" s="71" t="str">
        <x:v>C290</x:v>
      </x:c>
      <x:c r="B291" s="70" t="str">
        <x:v>IB-DP</x:v>
      </x:c>
      <x:c r="C291" s="70" t="str">
        <x:v>学历学科</x:v>
      </x:c>
      <x:c r="D291" s="70" t="str">
        <x:v>SL</x:v>
      </x:c>
      <x:c r="E291" s="70" t="str">
        <x:v>目录层核对</x:v>
      </x:c>
      <x:c r="F291" s="70" t="str">
        <x:v>IB官方2026科目表；具体guide/首末考季另核</x:v>
      </x:c>
      <x:c r="G291" s="70" t="str">
        <x:v>启用前按年份和本校授权复核</x:v>
      </x:c>
      <x:c r="H291" s="70" t="str">
        <x:v>课程目录层</x:v>
      </x:c>
      <x:c r="I291" s="70" t="str">
        <x:v>校内成绩按学校规则；外考成绩不自动换GPA</x:v>
      </x:c>
      <x:c r="J291" s="70" t="str">
        <x:v>人工选择与审核</x:v>
      </x:c>
      <x:c r="K291" s="70" t="str">
        <x:v>IB subject code；SL/HL另存，非独立报名组合码</x:v>
      </x:c>
      <x:c r="L291" s="70" t="str"/>
      <x:c r="M291" s="70" t="str">
        <x:v>V3-IBDP</x:v>
      </x:c>
      <x:c r="N291" s="70" t="str">
        <x:v>https://ibo.org/globalassets/new-structure/programmes/dp/pdfs/all-dp-subjects-list-en.pdf</x:v>
      </x:c>
    </x:row>
    <x:row r="292" ht="72" customHeight="1">
      <x:c r="A292" s="71" t="str">
        <x:v>C291</x:v>
      </x:c>
      <x:c r="B292" s="70" t="str">
        <x:v>IB-DP</x:v>
      </x:c>
      <x:c r="C292" s="70" t="str">
        <x:v>学历学科</x:v>
      </x:c>
      <x:c r="D292" s="70" t="str">
        <x:v>HL</x:v>
      </x:c>
      <x:c r="E292" s="70" t="str">
        <x:v>目录层核对</x:v>
      </x:c>
      <x:c r="F292" s="70" t="str">
        <x:v>IB官方2026科目表；具体guide/首末考季另核</x:v>
      </x:c>
      <x:c r="G292" s="70" t="str">
        <x:v>启用前按年份和本校授权复核</x:v>
      </x:c>
      <x:c r="H292" s="70" t="str">
        <x:v>课程目录层</x:v>
      </x:c>
      <x:c r="I292" s="70" t="str">
        <x:v>校内成绩按学校规则；外考成绩不自动换GPA</x:v>
      </x:c>
      <x:c r="J292" s="70" t="str">
        <x:v>人工选择与审核</x:v>
      </x:c>
      <x:c r="K292" s="70" t="str">
        <x:v>IB subject code；SL/HL另存，非独立报名组合码</x:v>
      </x:c>
      <x:c r="L292" s="70" t="str"/>
      <x:c r="M292" s="70" t="str">
        <x:v>V3-IBDP</x:v>
      </x:c>
      <x:c r="N292" s="70" t="str">
        <x:v>https://ibo.org/globalassets/new-structure/programmes/dp/pdfs/all-dp-subjects-list-en.pdf</x:v>
      </x:c>
    </x:row>
    <x:row r="293" ht="72" customHeight="1">
      <x:c r="A293" s="71" t="str">
        <x:v>C292</x:v>
      </x:c>
      <x:c r="B293" s="70" t="str">
        <x:v>IB-DP</x:v>
      </x:c>
      <x:c r="C293" s="70" t="str">
        <x:v>核心项目</x:v>
      </x:c>
      <x:c r="D293" s="70" t="str">
        <x:v>DP core</x:v>
      </x:c>
      <x:c r="E293" s="70" t="str">
        <x:v>目录层核对</x:v>
      </x:c>
      <x:c r="F293" s="70" t="str">
        <x:v>2026-09-17目录快照；按开课/考试年份复核</x:v>
      </x:c>
      <x:c r="G293" s="70" t="str">
        <x:v>启用前按年份和本校授权复核</x:v>
      </x:c>
      <x:c r="H293" s="70" t="str">
        <x:v>课程目录层</x:v>
      </x:c>
      <x:c r="I293" s="70" t="str">
        <x:v>非普通分数学科；学校另定评价</x:v>
      </x:c>
      <x:c r="J293" s="70" t="str">
        <x:v>人工选择与审核</x:v>
      </x:c>
      <x:c r="K293" s="70" t="str">
        <x:v>未预填官方代码</x:v>
      </x:c>
      <x:c r="L293" s="70" t="str"/>
      <x:c r="M293" s="70" t="str">
        <x:v>V3-IB-CORE</x:v>
      </x:c>
      <x:c r="N293" s="70" t="str">
        <x:v>https://ibo.org/programmes/diploma-programme/curriculum/</x:v>
      </x:c>
    </x:row>
    <x:row r="294" ht="72" customHeight="1">
      <x:c r="A294" s="71" t="str">
        <x:v>C293</x:v>
      </x:c>
      <x:c r="B294" s="70" t="str">
        <x:v>IB-DP</x:v>
      </x:c>
      <x:c r="C294" s="70" t="str">
        <x:v>核心项目</x:v>
      </x:c>
      <x:c r="D294" s="70" t="str">
        <x:v>DP core</x:v>
      </x:c>
      <x:c r="E294" s="70" t="str">
        <x:v>目录层核对</x:v>
      </x:c>
      <x:c r="F294" s="70" t="str">
        <x:v>2026-09-17目录快照；按开课/考试年份复核</x:v>
      </x:c>
      <x:c r="G294" s="70" t="str">
        <x:v>启用前按年份和本校授权复核</x:v>
      </x:c>
      <x:c r="H294" s="70" t="str">
        <x:v>课程目录层</x:v>
      </x:c>
      <x:c r="I294" s="70" t="str">
        <x:v>非普通分数学科；学校另定评价</x:v>
      </x:c>
      <x:c r="J294" s="70" t="str">
        <x:v>人工选择与审核</x:v>
      </x:c>
      <x:c r="K294" s="70" t="str">
        <x:v>未预填官方代码</x:v>
      </x:c>
      <x:c r="L294" s="70" t="str"/>
      <x:c r="M294" s="70" t="str">
        <x:v>V3-IB-CORE</x:v>
      </x:c>
      <x:c r="N294" s="70" t="str">
        <x:v>https://ibo.org/programmes/diploma-programme/curriculum/</x:v>
      </x:c>
    </x:row>
    <x:row r="295" ht="72" customHeight="1">
      <x:c r="A295" s="71" t="str">
        <x:v>C294</x:v>
      </x:c>
      <x:c r="B295" s="70" t="str">
        <x:v>IB-DP</x:v>
      </x:c>
      <x:c r="C295" s="70" t="str">
        <x:v>核心项目</x:v>
      </x:c>
      <x:c r="D295" s="70" t="str">
        <x:v>DP core</x:v>
      </x:c>
      <x:c r="E295" s="70" t="str">
        <x:v>目录层核对</x:v>
      </x:c>
      <x:c r="F295" s="70" t="str">
        <x:v>2026-09-17目录快照；按开课/考试年份复核</x:v>
      </x:c>
      <x:c r="G295" s="70" t="str">
        <x:v>启用前按年份和本校授权复核</x:v>
      </x:c>
      <x:c r="H295" s="70" t="str">
        <x:v>课程目录层</x:v>
      </x:c>
      <x:c r="I295" s="70" t="str">
        <x:v>非普通分数学科；学校另定评价</x:v>
      </x:c>
      <x:c r="J295" s="70" t="str">
        <x:v>人工选择与审核</x:v>
      </x:c>
      <x:c r="K295" s="70" t="str">
        <x:v>未预填官方代码</x:v>
      </x:c>
      <x:c r="L295" s="70" t="str"/>
      <x:c r="M295" s="70" t="str">
        <x:v>V3-IB-CORE</x:v>
      </x:c>
      <x:c r="N295" s="70" t="str">
        <x:v>https://ibo.org/programmes/diploma-programme/curriculum/</x:v>
      </x:c>
    </x:row>
    <x:row r="296" ht="72" customHeight="1">
      <x:c r="A296" s="71" t="str">
        <x:v>C295</x:v>
      </x:c>
      <x:c r="B296" s="70" t="str">
        <x:v>SG-AL</x:v>
      </x:c>
      <x:c r="C296" s="70" t="str">
        <x:v>学历学科</x:v>
      </x:c>
      <x:c r="D296" s="70" t="str">
        <x:v>H1</x:v>
      </x:c>
      <x:c r="E296" s="70" t="str">
        <x:v>2026考季目录核对</x:v>
      </x:c>
      <x:c r="F296" s="70" t="str">
        <x:v>2026学校考生；2027启用须对照V3-SG27</x:v>
      </x:c>
      <x:c r="G296" s="70" t="str">
        <x:v>启用前按年份和本校授权复核</x:v>
      </x:c>
      <x:c r="H296" s="70" t="str">
        <x:v>课程目录层</x:v>
      </x:c>
      <x:c r="I296" s="70" t="str">
        <x:v>校内成绩按学校规则；外考成绩不自动换GPA</x:v>
      </x:c>
      <x:c r="J296" s="70" t="str">
        <x:v>人工选择与审核</x:v>
      </x:c>
      <x:c r="K296" s="70" t="str">
        <x:v>官方大纲/课程代码</x:v>
      </x:c>
      <x:c r="L296" s="70" t="str"/>
      <x:c r="M296" s="70" t="str">
        <x:v>V3-SG26</x:v>
      </x:c>
      <x:c r="N296" s="70" t="str">
        <x:v>https://www.seab.gov.sg/gce-a-level/a-level-syllabuses-examined-for-school-candidates-2026/</x:v>
      </x:c>
    </x:row>
    <x:row r="297" ht="72" customHeight="1">
      <x:c r="A297" s="71" t="str">
        <x:v>C296</x:v>
      </x:c>
      <x:c r="B297" s="70" t="str">
        <x:v>SG-AL</x:v>
      </x:c>
      <x:c r="C297" s="70" t="str">
        <x:v>学历学科</x:v>
      </x:c>
      <x:c r="D297" s="70" t="str">
        <x:v>H1</x:v>
      </x:c>
      <x:c r="E297" s="70" t="str">
        <x:v>2026考季目录核对</x:v>
      </x:c>
      <x:c r="F297" s="70" t="str">
        <x:v>2026学校考生；2027启用须对照V3-SG27</x:v>
      </x:c>
      <x:c r="G297" s="70" t="str">
        <x:v>启用前按年份和本校授权复核</x:v>
      </x:c>
      <x:c r="H297" s="70" t="str">
        <x:v>课程目录层</x:v>
      </x:c>
      <x:c r="I297" s="70" t="str">
        <x:v>校内成绩按学校规则；外考成绩不自动换GPA</x:v>
      </x:c>
      <x:c r="J297" s="70" t="str">
        <x:v>人工选择与审核</x:v>
      </x:c>
      <x:c r="K297" s="70" t="str">
        <x:v>官方大纲/课程代码</x:v>
      </x:c>
      <x:c r="L297" s="70" t="str"/>
      <x:c r="M297" s="70" t="str">
        <x:v>V3-SG26</x:v>
      </x:c>
      <x:c r="N297" s="70" t="str">
        <x:v>https://www.seab.gov.sg/gce-a-level/a-level-syllabuses-examined-for-school-candidates-2026/</x:v>
      </x:c>
    </x:row>
    <x:row r="298" ht="72" customHeight="1">
      <x:c r="A298" s="71" t="str">
        <x:v>C297</x:v>
      </x:c>
      <x:c r="B298" s="70" t="str">
        <x:v>SG-AL</x:v>
      </x:c>
      <x:c r="C298" s="70" t="str">
        <x:v>学历学科</x:v>
      </x:c>
      <x:c r="D298" s="70" t="str">
        <x:v>H1</x:v>
      </x:c>
      <x:c r="E298" s="70" t="str">
        <x:v>2026考季目录核对</x:v>
      </x:c>
      <x:c r="F298" s="70" t="str">
        <x:v>2026学校考生；2027启用须对照V3-SG27</x:v>
      </x:c>
      <x:c r="G298" s="70" t="str">
        <x:v>启用前按年份和本校授权复核</x:v>
      </x:c>
      <x:c r="H298" s="70" t="str">
        <x:v>课程目录层</x:v>
      </x:c>
      <x:c r="I298" s="70" t="str">
        <x:v>校内成绩按学校规则；外考成绩不自动换GPA</x:v>
      </x:c>
      <x:c r="J298" s="70" t="str">
        <x:v>人工选择与审核</x:v>
      </x:c>
      <x:c r="K298" s="70" t="str">
        <x:v>官方大纲/课程代码</x:v>
      </x:c>
      <x:c r="L298" s="70" t="str"/>
      <x:c r="M298" s="70" t="str">
        <x:v>V3-SG26</x:v>
      </x:c>
      <x:c r="N298" s="70" t="str">
        <x:v>https://www.seab.gov.sg/gce-a-level/a-level-syllabuses-examined-for-school-candidates-2026/</x:v>
      </x:c>
    </x:row>
    <x:row r="299" ht="72" customHeight="1">
      <x:c r="A299" s="71" t="str">
        <x:v>C298</x:v>
      </x:c>
      <x:c r="B299" s="70" t="str">
        <x:v>SG-AL</x:v>
      </x:c>
      <x:c r="C299" s="70" t="str">
        <x:v>学历学科</x:v>
      </x:c>
      <x:c r="D299" s="70" t="str">
        <x:v>H1</x:v>
      </x:c>
      <x:c r="E299" s="70" t="str">
        <x:v>2026考季目录核对</x:v>
      </x:c>
      <x:c r="F299" s="70" t="str">
        <x:v>2026学校考生；2027启用须对照V3-SG27</x:v>
      </x:c>
      <x:c r="G299" s="70" t="str">
        <x:v>启用前按年份和本校授权复核</x:v>
      </x:c>
      <x:c r="H299" s="70" t="str">
        <x:v>课程目录层</x:v>
      </x:c>
      <x:c r="I299" s="70" t="str">
        <x:v>校内成绩按学校规则；外考成绩不自动换GPA</x:v>
      </x:c>
      <x:c r="J299" s="70" t="str">
        <x:v>人工选择与审核</x:v>
      </x:c>
      <x:c r="K299" s="70" t="str">
        <x:v>官方大纲/课程代码</x:v>
      </x:c>
      <x:c r="L299" s="70" t="str"/>
      <x:c r="M299" s="70" t="str">
        <x:v>V3-SG26</x:v>
      </x:c>
      <x:c r="N299" s="70" t="str">
        <x:v>https://www.seab.gov.sg/gce-a-level/a-level-syllabuses-examined-for-school-candidates-2026/</x:v>
      </x:c>
    </x:row>
    <x:row r="300" ht="72" customHeight="1">
      <x:c r="A300" s="71" t="str">
        <x:v>C299</x:v>
      </x:c>
      <x:c r="B300" s="70" t="str">
        <x:v>SG-AL</x:v>
      </x:c>
      <x:c r="C300" s="70" t="str">
        <x:v>学历学科</x:v>
      </x:c>
      <x:c r="D300" s="70" t="str">
        <x:v>H1</x:v>
      </x:c>
      <x:c r="E300" s="70" t="str">
        <x:v>2026考季目录核对</x:v>
      </x:c>
      <x:c r="F300" s="70" t="str">
        <x:v>2026学校考生；2027启用须对照V3-SG27</x:v>
      </x:c>
      <x:c r="G300" s="70" t="str">
        <x:v>启用前按年份和本校授权复核</x:v>
      </x:c>
      <x:c r="H300" s="70" t="str">
        <x:v>课程目录层</x:v>
      </x:c>
      <x:c r="I300" s="70" t="str">
        <x:v>校内成绩按学校规则；外考成绩不自动换GPA</x:v>
      </x:c>
      <x:c r="J300" s="70" t="str">
        <x:v>人工选择与审核</x:v>
      </x:c>
      <x:c r="K300" s="70" t="str">
        <x:v>官方大纲/课程代码</x:v>
      </x:c>
      <x:c r="L300" s="70" t="str"/>
      <x:c r="M300" s="70" t="str">
        <x:v>V3-SG26</x:v>
      </x:c>
      <x:c r="N300" s="70" t="str">
        <x:v>https://www.seab.gov.sg/gce-a-level/a-level-syllabuses-examined-for-school-candidates-2026/</x:v>
      </x:c>
    </x:row>
    <x:row r="301" ht="72" customHeight="1">
      <x:c r="A301" s="71" t="str">
        <x:v>C300</x:v>
      </x:c>
      <x:c r="B301" s="70" t="str">
        <x:v>SG-AL</x:v>
      </x:c>
      <x:c r="C301" s="70" t="str">
        <x:v>学历学科</x:v>
      </x:c>
      <x:c r="D301" s="70" t="str">
        <x:v>H1</x:v>
      </x:c>
      <x:c r="E301" s="70" t="str">
        <x:v>2026考季目录核对</x:v>
      </x:c>
      <x:c r="F301" s="70" t="str">
        <x:v>2026学校考生；2027启用须对照V3-SG27</x:v>
      </x:c>
      <x:c r="G301" s="70" t="str">
        <x:v>启用前按年份和本校授权复核</x:v>
      </x:c>
      <x:c r="H301" s="70" t="str">
        <x:v>课程目录层</x:v>
      </x:c>
      <x:c r="I301" s="70" t="str">
        <x:v>校内成绩按学校规则；外考成绩不自动换GPA</x:v>
      </x:c>
      <x:c r="J301" s="70" t="str">
        <x:v>人工选择与审核</x:v>
      </x:c>
      <x:c r="K301" s="70" t="str">
        <x:v>官方大纲/课程代码</x:v>
      </x:c>
      <x:c r="L301" s="70" t="str"/>
      <x:c r="M301" s="70" t="str">
        <x:v>V3-SG26</x:v>
      </x:c>
      <x:c r="N301" s="70" t="str">
        <x:v>https://www.seab.gov.sg/gce-a-level/a-level-syllabuses-examined-for-school-candidates-2026/</x:v>
      </x:c>
    </x:row>
    <x:row r="302" ht="72" customHeight="1">
      <x:c r="A302" s="71" t="str">
        <x:v>C301</x:v>
      </x:c>
      <x:c r="B302" s="70" t="str">
        <x:v>SG-AL</x:v>
      </x:c>
      <x:c r="C302" s="70" t="str">
        <x:v>学历学科</x:v>
      </x:c>
      <x:c r="D302" s="70" t="str">
        <x:v>H1</x:v>
      </x:c>
      <x:c r="E302" s="70" t="str">
        <x:v>2026考季目录核对</x:v>
      </x:c>
      <x:c r="F302" s="70" t="str">
        <x:v>2026学校考生；2027启用须对照V3-SG27</x:v>
      </x:c>
      <x:c r="G302" s="70" t="str">
        <x:v>启用前按年份和本校授权复核</x:v>
      </x:c>
      <x:c r="H302" s="70" t="str">
        <x:v>课程目录层</x:v>
      </x:c>
      <x:c r="I302" s="70" t="str">
        <x:v>校内成绩按学校规则；外考成绩不自动换GPA</x:v>
      </x:c>
      <x:c r="J302" s="70" t="str">
        <x:v>人工选择与审核</x:v>
      </x:c>
      <x:c r="K302" s="70" t="str">
        <x:v>官方大纲/课程代码</x:v>
      </x:c>
      <x:c r="L302" s="70" t="str"/>
      <x:c r="M302" s="70" t="str">
        <x:v>V3-SG26</x:v>
      </x:c>
      <x:c r="N302" s="70" t="str">
        <x:v>https://www.seab.gov.sg/gce-a-level/a-level-syllabuses-examined-for-school-candidates-2026/</x:v>
      </x:c>
    </x:row>
    <x:row r="303" ht="72" customHeight="1">
      <x:c r="A303" s="71" t="str">
        <x:v>C302</x:v>
      </x:c>
      <x:c r="B303" s="70" t="str">
        <x:v>SG-AL</x:v>
      </x:c>
      <x:c r="C303" s="70" t="str">
        <x:v>学历学科</x:v>
      </x:c>
      <x:c r="D303" s="70" t="str">
        <x:v>H1</x:v>
      </x:c>
      <x:c r="E303" s="70" t="str">
        <x:v>2026考季目录核对</x:v>
      </x:c>
      <x:c r="F303" s="70" t="str">
        <x:v>2026学校考生；2027启用须对照V3-SG27</x:v>
      </x:c>
      <x:c r="G303" s="70" t="str">
        <x:v>启用前按年份和本校授权复核</x:v>
      </x:c>
      <x:c r="H303" s="70" t="str">
        <x:v>课程目录层</x:v>
      </x:c>
      <x:c r="I303" s="70" t="str">
        <x:v>校内成绩按学校规则；外考成绩不自动换GPA</x:v>
      </x:c>
      <x:c r="J303" s="70" t="str">
        <x:v>人工选择与审核</x:v>
      </x:c>
      <x:c r="K303" s="70" t="str">
        <x:v>官方大纲/课程代码</x:v>
      </x:c>
      <x:c r="L303" s="70" t="str"/>
      <x:c r="M303" s="70" t="str">
        <x:v>V3-SG26</x:v>
      </x:c>
      <x:c r="N303" s="70" t="str">
        <x:v>https://www.seab.gov.sg/gce-a-level/a-level-syllabuses-examined-for-school-candidates-2026/</x:v>
      </x:c>
    </x:row>
    <x:row r="304" ht="72" customHeight="1">
      <x:c r="A304" s="71" t="str">
        <x:v>C303</x:v>
      </x:c>
      <x:c r="B304" s="70" t="str">
        <x:v>SG-AL</x:v>
      </x:c>
      <x:c r="C304" s="70" t="str">
        <x:v>学历学科</x:v>
      </x:c>
      <x:c r="D304" s="70" t="str">
        <x:v>H1</x:v>
      </x:c>
      <x:c r="E304" s="70" t="str">
        <x:v>2026考季目录核对</x:v>
      </x:c>
      <x:c r="F304" s="70" t="str">
        <x:v>2026学校考生；2027启用须对照V3-SG27</x:v>
      </x:c>
      <x:c r="G304" s="70" t="str">
        <x:v>启用前按年份和本校授权复核</x:v>
      </x:c>
      <x:c r="H304" s="70" t="str">
        <x:v>课程目录层</x:v>
      </x:c>
      <x:c r="I304" s="70" t="str">
        <x:v>校内成绩按学校规则；外考成绩不自动换GPA</x:v>
      </x:c>
      <x:c r="J304" s="70" t="str">
        <x:v>人工选择与审核</x:v>
      </x:c>
      <x:c r="K304" s="70" t="str">
        <x:v>官方大纲/课程代码</x:v>
      </x:c>
      <x:c r="L304" s="70" t="str"/>
      <x:c r="M304" s="70" t="str">
        <x:v>V3-SG26</x:v>
      </x:c>
      <x:c r="N304" s="70" t="str">
        <x:v>https://www.seab.gov.sg/gce-a-level/a-level-syllabuses-examined-for-school-candidates-2026/</x:v>
      </x:c>
    </x:row>
    <x:row r="305" ht="72" customHeight="1">
      <x:c r="A305" s="71" t="str">
        <x:v>C304</x:v>
      </x:c>
      <x:c r="B305" s="70" t="str">
        <x:v>SG-AL</x:v>
      </x:c>
      <x:c r="C305" s="70" t="str">
        <x:v>学历学科</x:v>
      </x:c>
      <x:c r="D305" s="70" t="str">
        <x:v>H1</x:v>
      </x:c>
      <x:c r="E305" s="70" t="str">
        <x:v>2026考季目录核对</x:v>
      </x:c>
      <x:c r="F305" s="70" t="str">
        <x:v>2026学校考生；2027启用须对照V3-SG27</x:v>
      </x:c>
      <x:c r="G305" s="70" t="str">
        <x:v>启用前按年份和本校授权复核</x:v>
      </x:c>
      <x:c r="H305" s="70" t="str">
        <x:v>课程目录层</x:v>
      </x:c>
      <x:c r="I305" s="70" t="str">
        <x:v>校内成绩按学校规则；外考成绩不自动换GPA</x:v>
      </x:c>
      <x:c r="J305" s="70" t="str">
        <x:v>人工选择与审核</x:v>
      </x:c>
      <x:c r="K305" s="70" t="str">
        <x:v>官方大纲/课程代码</x:v>
      </x:c>
      <x:c r="L305" s="70" t="str"/>
      <x:c r="M305" s="70" t="str">
        <x:v>V3-SG26</x:v>
      </x:c>
      <x:c r="N305" s="70" t="str">
        <x:v>https://www.seab.gov.sg/gce-a-level/a-level-syllabuses-examined-for-school-candidates-2026/</x:v>
      </x:c>
    </x:row>
    <x:row r="306" ht="72" customHeight="1">
      <x:c r="A306" s="71" t="str">
        <x:v>C305</x:v>
      </x:c>
      <x:c r="B306" s="70" t="str">
        <x:v>SG-AL</x:v>
      </x:c>
      <x:c r="C306" s="70" t="str">
        <x:v>学历学科</x:v>
      </x:c>
      <x:c r="D306" s="70" t="str">
        <x:v>H1</x:v>
      </x:c>
      <x:c r="E306" s="70" t="str">
        <x:v>2026考季目录核对</x:v>
      </x:c>
      <x:c r="F306" s="70" t="str">
        <x:v>2026学校考生；2027启用须对照V3-SG27</x:v>
      </x:c>
      <x:c r="G306" s="70" t="str">
        <x:v>启用前按年份和本校授权复核</x:v>
      </x:c>
      <x:c r="H306" s="70" t="str">
        <x:v>课程目录层</x:v>
      </x:c>
      <x:c r="I306" s="70" t="str">
        <x:v>校内成绩按学校规则；外考成绩不自动换GPA</x:v>
      </x:c>
      <x:c r="J306" s="70" t="str">
        <x:v>人工选择与审核</x:v>
      </x:c>
      <x:c r="K306" s="70" t="str">
        <x:v>官方大纲/课程代码</x:v>
      </x:c>
      <x:c r="L306" s="70" t="str"/>
      <x:c r="M306" s="70" t="str">
        <x:v>V3-SG26</x:v>
      </x:c>
      <x:c r="N306" s="70" t="str">
        <x:v>https://www.seab.gov.sg/gce-a-level/a-level-syllabuses-examined-for-school-candidates-2026/</x:v>
      </x:c>
    </x:row>
    <x:row r="307" ht="72" customHeight="1">
      <x:c r="A307" s="71" t="str">
        <x:v>C306</x:v>
      </x:c>
      <x:c r="B307" s="70" t="str">
        <x:v>SG-AL</x:v>
      </x:c>
      <x:c r="C307" s="70" t="str">
        <x:v>学历学科</x:v>
      </x:c>
      <x:c r="D307" s="70" t="str">
        <x:v>H1</x:v>
      </x:c>
      <x:c r="E307" s="70" t="str">
        <x:v>2026考季目录核对</x:v>
      </x:c>
      <x:c r="F307" s="70" t="str">
        <x:v>2026学校考生；2027启用须对照V3-SG27</x:v>
      </x:c>
      <x:c r="G307" s="70" t="str">
        <x:v>启用前按年份和本校授权复核</x:v>
      </x:c>
      <x:c r="H307" s="70" t="str">
        <x:v>课程目录层</x:v>
      </x:c>
      <x:c r="I307" s="70" t="str">
        <x:v>校内成绩按学校规则；外考成绩不自动换GPA</x:v>
      </x:c>
      <x:c r="J307" s="70" t="str">
        <x:v>人工选择与审核</x:v>
      </x:c>
      <x:c r="K307" s="70" t="str">
        <x:v>官方大纲/课程代码</x:v>
      </x:c>
      <x:c r="L307" s="70" t="str"/>
      <x:c r="M307" s="70" t="str">
        <x:v>V3-SG26</x:v>
      </x:c>
      <x:c r="N307" s="70" t="str">
        <x:v>https://www.seab.gov.sg/gce-a-level/a-level-syllabuses-examined-for-school-candidates-2026/</x:v>
      </x:c>
    </x:row>
    <x:row r="308" ht="72" customHeight="1">
      <x:c r="A308" s="71" t="str">
        <x:v>C307</x:v>
      </x:c>
      <x:c r="B308" s="70" t="str">
        <x:v>SG-AL</x:v>
      </x:c>
      <x:c r="C308" s="70" t="str">
        <x:v>学历学科</x:v>
      </x:c>
      <x:c r="D308" s="70" t="str">
        <x:v>H1</x:v>
      </x:c>
      <x:c r="E308" s="70" t="str">
        <x:v>2026考季目录核对</x:v>
      </x:c>
      <x:c r="F308" s="70" t="str">
        <x:v>2026学校考生；2027启用须对照V3-SG27</x:v>
      </x:c>
      <x:c r="G308" s="70" t="str">
        <x:v>启用前按年份和本校授权复核</x:v>
      </x:c>
      <x:c r="H308" s="70" t="str">
        <x:v>课程目录层</x:v>
      </x:c>
      <x:c r="I308" s="70" t="str">
        <x:v>校内成绩按学校规则；外考成绩不自动换GPA</x:v>
      </x:c>
      <x:c r="J308" s="70" t="str">
        <x:v>人工选择与审核</x:v>
      </x:c>
      <x:c r="K308" s="70" t="str">
        <x:v>官方大纲/课程代码</x:v>
      </x:c>
      <x:c r="L308" s="70" t="str"/>
      <x:c r="M308" s="70" t="str">
        <x:v>V3-SG26</x:v>
      </x:c>
      <x:c r="N308" s="70" t="str">
        <x:v>https://www.seab.gov.sg/gce-a-level/a-level-syllabuses-examined-for-school-candidates-2026/</x:v>
      </x:c>
    </x:row>
    <x:row r="309" ht="72" customHeight="1">
      <x:c r="A309" s="71" t="str">
        <x:v>C308</x:v>
      </x:c>
      <x:c r="B309" s="70" t="str">
        <x:v>SG-AL</x:v>
      </x:c>
      <x:c r="C309" s="70" t="str">
        <x:v>学历学科</x:v>
      </x:c>
      <x:c r="D309" s="70" t="str">
        <x:v>H1</x:v>
      </x:c>
      <x:c r="E309" s="70" t="str">
        <x:v>2026考季目录核对</x:v>
      </x:c>
      <x:c r="F309" s="70" t="str">
        <x:v>2026学校考生；2027启用须对照V3-SG27</x:v>
      </x:c>
      <x:c r="G309" s="70" t="str">
        <x:v>启用前按年份和本校授权复核</x:v>
      </x:c>
      <x:c r="H309" s="70" t="str">
        <x:v>课程目录层</x:v>
      </x:c>
      <x:c r="I309" s="70" t="str">
        <x:v>校内成绩按学校规则；外考成绩不自动换GPA</x:v>
      </x:c>
      <x:c r="J309" s="70" t="str">
        <x:v>人工选择与审核</x:v>
      </x:c>
      <x:c r="K309" s="70" t="str">
        <x:v>官方大纲/课程代码</x:v>
      </x:c>
      <x:c r="L309" s="70" t="str"/>
      <x:c r="M309" s="70" t="str">
        <x:v>V3-SG26</x:v>
      </x:c>
      <x:c r="N309" s="70" t="str">
        <x:v>https://www.seab.gov.sg/gce-a-level/a-level-syllabuses-examined-for-school-candidates-2026/</x:v>
      </x:c>
    </x:row>
    <x:row r="310" ht="72" customHeight="1">
      <x:c r="A310" s="71" t="str">
        <x:v>C309</x:v>
      </x:c>
      <x:c r="B310" s="70" t="str">
        <x:v>SG-AL</x:v>
      </x:c>
      <x:c r="C310" s="70" t="str">
        <x:v>学历学科</x:v>
      </x:c>
      <x:c r="D310" s="70" t="str">
        <x:v>H1</x:v>
      </x:c>
      <x:c r="E310" s="70" t="str">
        <x:v>2026考季目录核对</x:v>
      </x:c>
      <x:c r="F310" s="70" t="str">
        <x:v>2026学校考生；2027启用须对照V3-SG27</x:v>
      </x:c>
      <x:c r="G310" s="70" t="str">
        <x:v>启用前按年份和本校授权复核</x:v>
      </x:c>
      <x:c r="H310" s="70" t="str">
        <x:v>课程目录层</x:v>
      </x:c>
      <x:c r="I310" s="70" t="str">
        <x:v>校内成绩按学校规则；外考成绩不自动换GPA</x:v>
      </x:c>
      <x:c r="J310" s="70" t="str">
        <x:v>人工选择与审核</x:v>
      </x:c>
      <x:c r="K310" s="70" t="str">
        <x:v>官方大纲/课程代码</x:v>
      </x:c>
      <x:c r="L310" s="70" t="str"/>
      <x:c r="M310" s="70" t="str">
        <x:v>V3-SG26</x:v>
      </x:c>
      <x:c r="N310" s="70" t="str">
        <x:v>https://www.seab.gov.sg/gce-a-level/a-level-syllabuses-examined-for-school-candidates-2026/</x:v>
      </x:c>
    </x:row>
    <x:row r="311" ht="72" customHeight="1">
      <x:c r="A311" s="71" t="str">
        <x:v>C310</x:v>
      </x:c>
      <x:c r="B311" s="70" t="str">
        <x:v>SG-AL</x:v>
      </x:c>
      <x:c r="C311" s="70" t="str">
        <x:v>学历学科</x:v>
      </x:c>
      <x:c r="D311" s="70" t="str">
        <x:v>H1</x:v>
      </x:c>
      <x:c r="E311" s="70" t="str">
        <x:v>2026考季目录核对</x:v>
      </x:c>
      <x:c r="F311" s="70" t="str">
        <x:v>2026学校考生；2027启用须对照V3-SG27</x:v>
      </x:c>
      <x:c r="G311" s="70" t="str">
        <x:v>启用前按年份和本校授权复核</x:v>
      </x:c>
      <x:c r="H311" s="70" t="str">
        <x:v>课程目录层</x:v>
      </x:c>
      <x:c r="I311" s="70" t="str">
        <x:v>校内成绩按学校规则；外考成绩不自动换GPA</x:v>
      </x:c>
      <x:c r="J311" s="70" t="str">
        <x:v>人工选择与审核</x:v>
      </x:c>
      <x:c r="K311" s="70" t="str">
        <x:v>官方大纲/课程代码</x:v>
      </x:c>
      <x:c r="L311" s="70" t="str"/>
      <x:c r="M311" s="70" t="str">
        <x:v>V3-SG26</x:v>
      </x:c>
      <x:c r="N311" s="70" t="str">
        <x:v>https://www.seab.gov.sg/gce-a-level/a-level-syllabuses-examined-for-school-candidates-2026/</x:v>
      </x:c>
    </x:row>
    <x:row r="312" ht="72" customHeight="1">
      <x:c r="A312" s="71" t="str">
        <x:v>C311</x:v>
      </x:c>
      <x:c r="B312" s="70" t="str">
        <x:v>SG-AL</x:v>
      </x:c>
      <x:c r="C312" s="70" t="str">
        <x:v>学历学科</x:v>
      </x:c>
      <x:c r="D312" s="70" t="str">
        <x:v>H1</x:v>
      </x:c>
      <x:c r="E312" s="70" t="str">
        <x:v>2026考季目录核对</x:v>
      </x:c>
      <x:c r="F312" s="70" t="str">
        <x:v>2026学校考生；2027启用须对照V3-SG27</x:v>
      </x:c>
      <x:c r="G312" s="70" t="str">
        <x:v>启用前按年份和本校授权复核</x:v>
      </x:c>
      <x:c r="H312" s="70" t="str">
        <x:v>课程目录层</x:v>
      </x:c>
      <x:c r="I312" s="70" t="str">
        <x:v>校内成绩按学校规则；外考成绩不自动换GPA</x:v>
      </x:c>
      <x:c r="J312" s="70" t="str">
        <x:v>人工选择与审核</x:v>
      </x:c>
      <x:c r="K312" s="70" t="str">
        <x:v>官方大纲/课程代码</x:v>
      </x:c>
      <x:c r="L312" s="70" t="str"/>
      <x:c r="M312" s="70" t="str">
        <x:v>V3-SG26</x:v>
      </x:c>
      <x:c r="N312" s="70" t="str">
        <x:v>https://www.seab.gov.sg/gce-a-level/a-level-syllabuses-examined-for-school-candidates-2026/</x:v>
      </x:c>
    </x:row>
    <x:row r="313" ht="72" customHeight="1">
      <x:c r="A313" s="71" t="str">
        <x:v>C312</x:v>
      </x:c>
      <x:c r="B313" s="70" t="str">
        <x:v>SG-AL</x:v>
      </x:c>
      <x:c r="C313" s="70" t="str">
        <x:v>学历学科</x:v>
      </x:c>
      <x:c r="D313" s="70" t="str">
        <x:v>H1</x:v>
      </x:c>
      <x:c r="E313" s="70" t="str">
        <x:v>2026考季目录核对</x:v>
      </x:c>
      <x:c r="F313" s="70" t="str">
        <x:v>2026学校考生；2027启用须对照V3-SG27</x:v>
      </x:c>
      <x:c r="G313" s="70" t="str">
        <x:v>启用前按年份和本校授权复核</x:v>
      </x:c>
      <x:c r="H313" s="70" t="str">
        <x:v>课程目录层</x:v>
      </x:c>
      <x:c r="I313" s="70" t="str">
        <x:v>校内成绩按学校规则；外考成绩不自动换GPA</x:v>
      </x:c>
      <x:c r="J313" s="70" t="str">
        <x:v>人工选择与审核</x:v>
      </x:c>
      <x:c r="K313" s="70" t="str">
        <x:v>官方大纲/课程代码</x:v>
      </x:c>
      <x:c r="L313" s="70" t="str"/>
      <x:c r="M313" s="70" t="str">
        <x:v>V3-SG26</x:v>
      </x:c>
      <x:c r="N313" s="70" t="str">
        <x:v>https://www.seab.gov.sg/gce-a-level/a-level-syllabuses-examined-for-school-candidates-2026/</x:v>
      </x:c>
    </x:row>
    <x:row r="314" ht="72" customHeight="1">
      <x:c r="A314" s="71" t="str">
        <x:v>C313</x:v>
      </x:c>
      <x:c r="B314" s="70" t="str">
        <x:v>SG-AL</x:v>
      </x:c>
      <x:c r="C314" s="70" t="str">
        <x:v>学历学科</x:v>
      </x:c>
      <x:c r="D314" s="70" t="str">
        <x:v>H1</x:v>
      </x:c>
      <x:c r="E314" s="70" t="str">
        <x:v>2026考季目录核对</x:v>
      </x:c>
      <x:c r="F314" s="70" t="str">
        <x:v>2026学校考生；2027启用须对照V3-SG27</x:v>
      </x:c>
      <x:c r="G314" s="70" t="str">
        <x:v>启用前按年份和本校授权复核</x:v>
      </x:c>
      <x:c r="H314" s="70" t="str">
        <x:v>课程目录层</x:v>
      </x:c>
      <x:c r="I314" s="70" t="str">
        <x:v>校内成绩按学校规则；外考成绩不自动换GPA</x:v>
      </x:c>
      <x:c r="J314" s="70" t="str">
        <x:v>人工选择与审核</x:v>
      </x:c>
      <x:c r="K314" s="70" t="str">
        <x:v>官方大纲/课程代码</x:v>
      </x:c>
      <x:c r="L314" s="70" t="str"/>
      <x:c r="M314" s="70" t="str">
        <x:v>V3-SG26</x:v>
      </x:c>
      <x:c r="N314" s="70" t="str">
        <x:v>https://www.seab.gov.sg/gce-a-level/a-level-syllabuses-examined-for-school-candidates-2026/</x:v>
      </x:c>
    </x:row>
    <x:row r="315" ht="72" customHeight="1">
      <x:c r="A315" s="71" t="str">
        <x:v>C314</x:v>
      </x:c>
      <x:c r="B315" s="70" t="str">
        <x:v>SG-AL</x:v>
      </x:c>
      <x:c r="C315" s="70" t="str">
        <x:v>学历学科</x:v>
      </x:c>
      <x:c r="D315" s="70" t="str">
        <x:v>H1</x:v>
      </x:c>
      <x:c r="E315" s="70" t="str">
        <x:v>2026考季目录核对</x:v>
      </x:c>
      <x:c r="F315" s="70" t="str">
        <x:v>2026学校考生；2027启用须对照V3-SG27</x:v>
      </x:c>
      <x:c r="G315" s="70" t="str">
        <x:v>启用前按年份和本校授权复核</x:v>
      </x:c>
      <x:c r="H315" s="70" t="str">
        <x:v>课程目录层</x:v>
      </x:c>
      <x:c r="I315" s="70" t="str">
        <x:v>校内成绩按学校规则；外考成绩不自动换GPA</x:v>
      </x:c>
      <x:c r="J315" s="70" t="str">
        <x:v>人工选择与审核</x:v>
      </x:c>
      <x:c r="K315" s="70" t="str">
        <x:v>官方大纲/课程代码</x:v>
      </x:c>
      <x:c r="L315" s="70" t="str"/>
      <x:c r="M315" s="70" t="str">
        <x:v>V3-SG26</x:v>
      </x:c>
      <x:c r="N315" s="70" t="str">
        <x:v>https://www.seab.gov.sg/gce-a-level/a-level-syllabuses-examined-for-school-candidates-2026/</x:v>
      </x:c>
    </x:row>
    <x:row r="316" ht="72" customHeight="1">
      <x:c r="A316" s="71" t="str">
        <x:v>C315</x:v>
      </x:c>
      <x:c r="B316" s="70" t="str">
        <x:v>SG-AL</x:v>
      </x:c>
      <x:c r="C316" s="70" t="str">
        <x:v>学历学科</x:v>
      </x:c>
      <x:c r="D316" s="70" t="str">
        <x:v>H1</x:v>
      </x:c>
      <x:c r="E316" s="70" t="str">
        <x:v>2026考季目录核对</x:v>
      </x:c>
      <x:c r="F316" s="70" t="str">
        <x:v>2026学校考生；2027启用须对照V3-SG27</x:v>
      </x:c>
      <x:c r="G316" s="70" t="str">
        <x:v>启用前按年份和本校授权复核</x:v>
      </x:c>
      <x:c r="H316" s="70" t="str">
        <x:v>课程目录层</x:v>
      </x:c>
      <x:c r="I316" s="70" t="str">
        <x:v>校内成绩按学校规则；外考成绩不自动换GPA</x:v>
      </x:c>
      <x:c r="J316" s="70" t="str">
        <x:v>人工选择与审核</x:v>
      </x:c>
      <x:c r="K316" s="70" t="str">
        <x:v>官方大纲/课程代码</x:v>
      </x:c>
      <x:c r="L316" s="70" t="str"/>
      <x:c r="M316" s="70" t="str">
        <x:v>V3-SG26</x:v>
      </x:c>
      <x:c r="N316" s="70" t="str">
        <x:v>https://www.seab.gov.sg/gce-a-level/a-level-syllabuses-examined-for-school-candidates-2026/</x:v>
      </x:c>
    </x:row>
    <x:row r="317" ht="72" customHeight="1">
      <x:c r="A317" s="71" t="str">
        <x:v>C316</x:v>
      </x:c>
      <x:c r="B317" s="70" t="str">
        <x:v>SG-AL</x:v>
      </x:c>
      <x:c r="C317" s="70" t="str">
        <x:v>学历学科</x:v>
      </x:c>
      <x:c r="D317" s="70" t="str">
        <x:v>H2</x:v>
      </x:c>
      <x:c r="E317" s="70" t="str">
        <x:v>2026考季目录核对</x:v>
      </x:c>
      <x:c r="F317" s="70" t="str">
        <x:v>2026学校考生；2027启用须对照V3-SG27</x:v>
      </x:c>
      <x:c r="G317" s="70" t="str">
        <x:v>启用前按年份和本校授权复核</x:v>
      </x:c>
      <x:c r="H317" s="70" t="str">
        <x:v>课程目录层</x:v>
      </x:c>
      <x:c r="I317" s="70" t="str">
        <x:v>校内成绩按学校规则；外考成绩不自动换GPA</x:v>
      </x:c>
      <x:c r="J317" s="70" t="str">
        <x:v>人工选择与审核</x:v>
      </x:c>
      <x:c r="K317" s="70" t="str">
        <x:v>官方大纲/课程代码</x:v>
      </x:c>
      <x:c r="L317" s="70" t="str"/>
      <x:c r="M317" s="70" t="str">
        <x:v>V3-SG26</x:v>
      </x:c>
      <x:c r="N317" s="70" t="str">
        <x:v>https://www.seab.gov.sg/gce-a-level/a-level-syllabuses-examined-for-school-candidates-2026/</x:v>
      </x:c>
    </x:row>
    <x:row r="318" ht="72" customHeight="1">
      <x:c r="A318" s="71" t="str">
        <x:v>C317</x:v>
      </x:c>
      <x:c r="B318" s="70" t="str">
        <x:v>SG-AL</x:v>
      </x:c>
      <x:c r="C318" s="70" t="str">
        <x:v>学历学科</x:v>
      </x:c>
      <x:c r="D318" s="70" t="str">
        <x:v>H2</x:v>
      </x:c>
      <x:c r="E318" s="70" t="str">
        <x:v>2026考季目录核对</x:v>
      </x:c>
      <x:c r="F318" s="70" t="str">
        <x:v>2026学校考生；2027启用须对照V3-SG27</x:v>
      </x:c>
      <x:c r="G318" s="70" t="str">
        <x:v>启用前按年份和本校授权复核</x:v>
      </x:c>
      <x:c r="H318" s="70" t="str">
        <x:v>课程目录层</x:v>
      </x:c>
      <x:c r="I318" s="70" t="str">
        <x:v>校内成绩按学校规则；外考成绩不自动换GPA</x:v>
      </x:c>
      <x:c r="J318" s="70" t="str">
        <x:v>人工选择与审核</x:v>
      </x:c>
      <x:c r="K318" s="70" t="str">
        <x:v>官方大纲/课程代码</x:v>
      </x:c>
      <x:c r="L318" s="70" t="str"/>
      <x:c r="M318" s="70" t="str">
        <x:v>V3-SG26</x:v>
      </x:c>
      <x:c r="N318" s="70" t="str">
        <x:v>https://www.seab.gov.sg/gce-a-level/a-level-syllabuses-examined-for-school-candidates-2026/</x:v>
      </x:c>
    </x:row>
    <x:row r="319" ht="72" customHeight="1">
      <x:c r="A319" s="71" t="str">
        <x:v>C318</x:v>
      </x:c>
      <x:c r="B319" s="70" t="str">
        <x:v>SG-AL</x:v>
      </x:c>
      <x:c r="C319" s="70" t="str">
        <x:v>学历学科</x:v>
      </x:c>
      <x:c r="D319" s="70" t="str">
        <x:v>H2</x:v>
      </x:c>
      <x:c r="E319" s="70" t="str">
        <x:v>2026考季目录核对</x:v>
      </x:c>
      <x:c r="F319" s="70" t="str">
        <x:v>2026学校考生；2027启用须对照V3-SG27</x:v>
      </x:c>
      <x:c r="G319" s="70" t="str">
        <x:v>启用前按年份和本校授权复核</x:v>
      </x:c>
      <x:c r="H319" s="70" t="str">
        <x:v>课程目录层</x:v>
      </x:c>
      <x:c r="I319" s="70" t="str">
        <x:v>校内成绩按学校规则；外考成绩不自动换GPA</x:v>
      </x:c>
      <x:c r="J319" s="70" t="str">
        <x:v>人工选择与审核</x:v>
      </x:c>
      <x:c r="K319" s="70" t="str">
        <x:v>官方大纲/课程代码</x:v>
      </x:c>
      <x:c r="L319" s="70" t="str"/>
      <x:c r="M319" s="70" t="str">
        <x:v>V3-SG26</x:v>
      </x:c>
      <x:c r="N319" s="70" t="str">
        <x:v>https://www.seab.gov.sg/gce-a-level/a-level-syllabuses-examined-for-school-candidates-2026/</x:v>
      </x:c>
    </x:row>
    <x:row r="320" ht="72" customHeight="1">
      <x:c r="A320" s="71" t="str">
        <x:v>C319</x:v>
      </x:c>
      <x:c r="B320" s="70" t="str">
        <x:v>SG-AL</x:v>
      </x:c>
      <x:c r="C320" s="70" t="str">
        <x:v>学历学科</x:v>
      </x:c>
      <x:c r="D320" s="70" t="str">
        <x:v>H2</x:v>
      </x:c>
      <x:c r="E320" s="70" t="str">
        <x:v>2026考季目录核对</x:v>
      </x:c>
      <x:c r="F320" s="70" t="str">
        <x:v>2026学校考生；2027启用须对照V3-SG27</x:v>
      </x:c>
      <x:c r="G320" s="70" t="str">
        <x:v>启用前按年份和本校授权复核</x:v>
      </x:c>
      <x:c r="H320" s="70" t="str">
        <x:v>课程目录层</x:v>
      </x:c>
      <x:c r="I320" s="70" t="str">
        <x:v>校内成绩按学校规则；外考成绩不自动换GPA</x:v>
      </x:c>
      <x:c r="J320" s="70" t="str">
        <x:v>人工选择与审核</x:v>
      </x:c>
      <x:c r="K320" s="70" t="str">
        <x:v>官方大纲/课程代码</x:v>
      </x:c>
      <x:c r="L320" s="70" t="str"/>
      <x:c r="M320" s="70" t="str">
        <x:v>V3-SG26</x:v>
      </x:c>
      <x:c r="N320" s="70" t="str">
        <x:v>https://www.seab.gov.sg/gce-a-level/a-level-syllabuses-examined-for-school-candidates-2026/</x:v>
      </x:c>
    </x:row>
    <x:row r="321" ht="72" customHeight="1">
      <x:c r="A321" s="71" t="str">
        <x:v>C320</x:v>
      </x:c>
      <x:c r="B321" s="70" t="str">
        <x:v>SG-AL</x:v>
      </x:c>
      <x:c r="C321" s="70" t="str">
        <x:v>学历学科</x:v>
      </x:c>
      <x:c r="D321" s="70" t="str">
        <x:v>H2</x:v>
      </x:c>
      <x:c r="E321" s="70" t="str">
        <x:v>2026考季目录核对</x:v>
      </x:c>
      <x:c r="F321" s="70" t="str">
        <x:v>2026学校考生；2027启用须对照V3-SG27</x:v>
      </x:c>
      <x:c r="G321" s="70" t="str">
        <x:v>启用前按年份和本校授权复核</x:v>
      </x:c>
      <x:c r="H321" s="70" t="str">
        <x:v>课程目录层</x:v>
      </x:c>
      <x:c r="I321" s="70" t="str">
        <x:v>校内成绩按学校规则；外考成绩不自动换GPA</x:v>
      </x:c>
      <x:c r="J321" s="70" t="str">
        <x:v>人工选择与审核</x:v>
      </x:c>
      <x:c r="K321" s="70" t="str">
        <x:v>官方大纲/课程代码</x:v>
      </x:c>
      <x:c r="L321" s="70" t="str"/>
      <x:c r="M321" s="70" t="str">
        <x:v>V3-SG26</x:v>
      </x:c>
      <x:c r="N321" s="70" t="str">
        <x:v>https://www.seab.gov.sg/gce-a-level/a-level-syllabuses-examined-for-school-candidates-2026/</x:v>
      </x:c>
    </x:row>
    <x:row r="322" ht="72" customHeight="1">
      <x:c r="A322" s="71" t="str">
        <x:v>C321</x:v>
      </x:c>
      <x:c r="B322" s="70" t="str">
        <x:v>SG-AL</x:v>
      </x:c>
      <x:c r="C322" s="70" t="str">
        <x:v>学历学科</x:v>
      </x:c>
      <x:c r="D322" s="70" t="str">
        <x:v>H2</x:v>
      </x:c>
      <x:c r="E322" s="70" t="str">
        <x:v>2026考季目录核对</x:v>
      </x:c>
      <x:c r="F322" s="70" t="str">
        <x:v>2026学校考生；2027启用须对照V3-SG27</x:v>
      </x:c>
      <x:c r="G322" s="70" t="str">
        <x:v>启用前按年份和本校授权复核</x:v>
      </x:c>
      <x:c r="H322" s="70" t="str">
        <x:v>课程目录层</x:v>
      </x:c>
      <x:c r="I322" s="70" t="str">
        <x:v>校内成绩按学校规则；外考成绩不自动换GPA</x:v>
      </x:c>
      <x:c r="J322" s="70" t="str">
        <x:v>人工选择与审核</x:v>
      </x:c>
      <x:c r="K322" s="70" t="str">
        <x:v>官方大纲/课程代码</x:v>
      </x:c>
      <x:c r="L322" s="70" t="str"/>
      <x:c r="M322" s="70" t="str">
        <x:v>V3-SG26</x:v>
      </x:c>
      <x:c r="N322" s="70" t="str">
        <x:v>https://www.seab.gov.sg/gce-a-level/a-level-syllabuses-examined-for-school-candidates-2026/</x:v>
      </x:c>
    </x:row>
    <x:row r="323" ht="72" customHeight="1">
      <x:c r="A323" s="71" t="str">
        <x:v>C322</x:v>
      </x:c>
      <x:c r="B323" s="70" t="str">
        <x:v>SG-AL</x:v>
      </x:c>
      <x:c r="C323" s="70" t="str">
        <x:v>学历学科</x:v>
      </x:c>
      <x:c r="D323" s="70" t="str">
        <x:v>H2</x:v>
      </x:c>
      <x:c r="E323" s="70" t="str">
        <x:v>2026在列／2027转版须核</x:v>
      </x:c>
      <x:c r="F323" s="70" t="str">
        <x:v>2026学校考生；2027启用须对照V3-SG27</x:v>
      </x:c>
      <x:c r="G323" s="70" t="str">
        <x:v>启用前按年份和本校授权复核</x:v>
      </x:c>
      <x:c r="H323" s="70" t="str">
        <x:v>课程目录层</x:v>
      </x:c>
      <x:c r="I323" s="70" t="str">
        <x:v>校内成绩按学校规则；外考成绩不自动换GPA</x:v>
      </x:c>
      <x:c r="J323" s="70" t="str">
        <x:v>人工选择与审核</x:v>
      </x:c>
      <x:c r="K323" s="70" t="str">
        <x:v>官方大纲/课程代码</x:v>
      </x:c>
      <x:c r="L323" s="70" t="str"/>
      <x:c r="M323" s="70" t="str">
        <x:v>V3-SG26</x:v>
      </x:c>
      <x:c r="N323" s="70" t="str">
        <x:v>https://www.seab.gov.sg/gce-a-level/a-level-syllabuses-examined-for-school-candidates-2026/</x:v>
      </x:c>
    </x:row>
    <x:row r="324" ht="72" customHeight="1">
      <x:c r="A324" s="71" t="str">
        <x:v>C323</x:v>
      </x:c>
      <x:c r="B324" s="70" t="str">
        <x:v>SG-AL</x:v>
      </x:c>
      <x:c r="C324" s="70" t="str">
        <x:v>学历学科</x:v>
      </x:c>
      <x:c r="D324" s="70" t="str">
        <x:v>H2</x:v>
      </x:c>
      <x:c r="E324" s="70" t="str">
        <x:v>2026考季目录核对</x:v>
      </x:c>
      <x:c r="F324" s="70" t="str">
        <x:v>2026学校考生；2027启用须对照V3-SG27</x:v>
      </x:c>
      <x:c r="G324" s="70" t="str">
        <x:v>启用前按年份和本校授权复核</x:v>
      </x:c>
      <x:c r="H324" s="70" t="str">
        <x:v>课程目录层</x:v>
      </x:c>
      <x:c r="I324" s="70" t="str">
        <x:v>校内成绩按学校规则；外考成绩不自动换GPA</x:v>
      </x:c>
      <x:c r="J324" s="70" t="str">
        <x:v>人工选择与审核</x:v>
      </x:c>
      <x:c r="K324" s="70" t="str">
        <x:v>官方大纲/课程代码</x:v>
      </x:c>
      <x:c r="L324" s="70" t="str"/>
      <x:c r="M324" s="70" t="str">
        <x:v>V3-SG26</x:v>
      </x:c>
      <x:c r="N324" s="70" t="str">
        <x:v>https://www.seab.gov.sg/gce-a-level/a-level-syllabuses-examined-for-school-candidates-2026/</x:v>
      </x:c>
    </x:row>
    <x:row r="325" ht="72" customHeight="1">
      <x:c r="A325" s="71" t="str">
        <x:v>C324</x:v>
      </x:c>
      <x:c r="B325" s="70" t="str">
        <x:v>SG-AL</x:v>
      </x:c>
      <x:c r="C325" s="70" t="str">
        <x:v>学历学科</x:v>
      </x:c>
      <x:c r="D325" s="70" t="str">
        <x:v>H2</x:v>
      </x:c>
      <x:c r="E325" s="70" t="str">
        <x:v>2026考季目录核对</x:v>
      </x:c>
      <x:c r="F325" s="70" t="str">
        <x:v>2026学校考生；2027启用须对照V3-SG27</x:v>
      </x:c>
      <x:c r="G325" s="70" t="str">
        <x:v>启用前按年份和本校授权复核</x:v>
      </x:c>
      <x:c r="H325" s="70" t="str">
        <x:v>课程目录层</x:v>
      </x:c>
      <x:c r="I325" s="70" t="str">
        <x:v>校内成绩按学校规则；外考成绩不自动换GPA</x:v>
      </x:c>
      <x:c r="J325" s="70" t="str">
        <x:v>人工选择与审核</x:v>
      </x:c>
      <x:c r="K325" s="70" t="str">
        <x:v>官方大纲/课程代码</x:v>
      </x:c>
      <x:c r="L325" s="70" t="str"/>
      <x:c r="M325" s="70" t="str">
        <x:v>V3-SG26</x:v>
      </x:c>
      <x:c r="N325" s="70" t="str">
        <x:v>https://www.seab.gov.sg/gce-a-level/a-level-syllabuses-examined-for-school-candidates-2026/</x:v>
      </x:c>
    </x:row>
    <x:row r="326" ht="72" customHeight="1">
      <x:c r="A326" s="71" t="str">
        <x:v>C325</x:v>
      </x:c>
      <x:c r="B326" s="70" t="str">
        <x:v>SG-AL</x:v>
      </x:c>
      <x:c r="C326" s="70" t="str">
        <x:v>学历学科</x:v>
      </x:c>
      <x:c r="D326" s="70" t="str">
        <x:v>H2</x:v>
      </x:c>
      <x:c r="E326" s="70" t="str">
        <x:v>2026在列／2027转版须核</x:v>
      </x:c>
      <x:c r="F326" s="70" t="str">
        <x:v>2026学校考生；2027启用须对照V3-SG27</x:v>
      </x:c>
      <x:c r="G326" s="70" t="str">
        <x:v>启用前按年份和本校授权复核</x:v>
      </x:c>
      <x:c r="H326" s="70" t="str">
        <x:v>课程目录层</x:v>
      </x:c>
      <x:c r="I326" s="70" t="str">
        <x:v>校内成绩按学校规则；外考成绩不自动换GPA</x:v>
      </x:c>
      <x:c r="J326" s="70" t="str">
        <x:v>人工选择与审核</x:v>
      </x:c>
      <x:c r="K326" s="70" t="str">
        <x:v>官方大纲/课程代码</x:v>
      </x:c>
      <x:c r="L326" s="70" t="str"/>
      <x:c r="M326" s="70" t="str">
        <x:v>V3-SG26</x:v>
      </x:c>
      <x:c r="N326" s="70" t="str">
        <x:v>https://www.seab.gov.sg/gce-a-level/a-level-syllabuses-examined-for-school-candidates-2026/</x:v>
      </x:c>
    </x:row>
    <x:row r="327" ht="72" customHeight="1">
      <x:c r="A327" s="71" t="str">
        <x:v>C326</x:v>
      </x:c>
      <x:c r="B327" s="70" t="str">
        <x:v>SG-AL</x:v>
      </x:c>
      <x:c r="C327" s="70" t="str">
        <x:v>学历学科</x:v>
      </x:c>
      <x:c r="D327" s="70" t="str">
        <x:v>H2</x:v>
      </x:c>
      <x:c r="E327" s="70" t="str">
        <x:v>2026考季目录核对</x:v>
      </x:c>
      <x:c r="F327" s="70" t="str">
        <x:v>2026学校考生；2027启用须对照V3-SG27</x:v>
      </x:c>
      <x:c r="G327" s="70" t="str">
        <x:v>启用前按年份和本校授权复核</x:v>
      </x:c>
      <x:c r="H327" s="70" t="str">
        <x:v>课程目录层</x:v>
      </x:c>
      <x:c r="I327" s="70" t="str">
        <x:v>校内成绩按学校规则；外考成绩不自动换GPA</x:v>
      </x:c>
      <x:c r="J327" s="70" t="str">
        <x:v>人工选择与审核</x:v>
      </x:c>
      <x:c r="K327" s="70" t="str">
        <x:v>官方大纲/课程代码</x:v>
      </x:c>
      <x:c r="L327" s="70" t="str"/>
      <x:c r="M327" s="70" t="str">
        <x:v>V3-SG26</x:v>
      </x:c>
      <x:c r="N327" s="70" t="str">
        <x:v>https://www.seab.gov.sg/gce-a-level/a-level-syllabuses-examined-for-school-candidates-2026/</x:v>
      </x:c>
    </x:row>
    <x:row r="328" ht="72" customHeight="1">
      <x:c r="A328" s="71" t="str">
        <x:v>C327</x:v>
      </x:c>
      <x:c r="B328" s="70" t="str">
        <x:v>SG-AL</x:v>
      </x:c>
      <x:c r="C328" s="70" t="str">
        <x:v>学历学科</x:v>
      </x:c>
      <x:c r="D328" s="70" t="str">
        <x:v>H2</x:v>
      </x:c>
      <x:c r="E328" s="70" t="str">
        <x:v>2026考季目录核对</x:v>
      </x:c>
      <x:c r="F328" s="70" t="str">
        <x:v>2026学校考生；2027启用须对照V3-SG27</x:v>
      </x:c>
      <x:c r="G328" s="70" t="str">
        <x:v>启用前按年份和本校授权复核</x:v>
      </x:c>
      <x:c r="H328" s="70" t="str">
        <x:v>课程目录层</x:v>
      </x:c>
      <x:c r="I328" s="70" t="str">
        <x:v>校内成绩按学校规则；外考成绩不自动换GPA</x:v>
      </x:c>
      <x:c r="J328" s="70" t="str">
        <x:v>人工选择与审核</x:v>
      </x:c>
      <x:c r="K328" s="70" t="str">
        <x:v>官方大纲/课程代码</x:v>
      </x:c>
      <x:c r="L328" s="70" t="str"/>
      <x:c r="M328" s="70" t="str">
        <x:v>V3-SG26</x:v>
      </x:c>
      <x:c r="N328" s="70" t="str">
        <x:v>https://www.seab.gov.sg/gce-a-level/a-level-syllabuses-examined-for-school-candidates-2026/</x:v>
      </x:c>
    </x:row>
    <x:row r="329" ht="72" customHeight="1">
      <x:c r="A329" s="71" t="str">
        <x:v>C328</x:v>
      </x:c>
      <x:c r="B329" s="70" t="str">
        <x:v>SG-AL</x:v>
      </x:c>
      <x:c r="C329" s="70" t="str">
        <x:v>学历学科</x:v>
      </x:c>
      <x:c r="D329" s="70" t="str">
        <x:v>H2</x:v>
      </x:c>
      <x:c r="E329" s="70" t="str">
        <x:v>2026考季目录核对</x:v>
      </x:c>
      <x:c r="F329" s="70" t="str">
        <x:v>2026学校考生；2027启用须对照V3-SG27</x:v>
      </x:c>
      <x:c r="G329" s="70" t="str">
        <x:v>启用前按年份和本校授权复核</x:v>
      </x:c>
      <x:c r="H329" s="70" t="str">
        <x:v>课程目录层</x:v>
      </x:c>
      <x:c r="I329" s="70" t="str">
        <x:v>校内成绩按学校规则；外考成绩不自动换GPA</x:v>
      </x:c>
      <x:c r="J329" s="70" t="str">
        <x:v>人工选择与审核</x:v>
      </x:c>
      <x:c r="K329" s="70" t="str">
        <x:v>官方大纲/课程代码</x:v>
      </x:c>
      <x:c r="L329" s="70" t="str"/>
      <x:c r="M329" s="70" t="str">
        <x:v>V3-SG26</x:v>
      </x:c>
      <x:c r="N329" s="70" t="str">
        <x:v>https://www.seab.gov.sg/gce-a-level/a-level-syllabuses-examined-for-school-candidates-2026/</x:v>
      </x:c>
    </x:row>
    <x:row r="330" ht="72" customHeight="1">
      <x:c r="A330" s="71" t="str">
        <x:v>C329</x:v>
      </x:c>
      <x:c r="B330" s="70" t="str">
        <x:v>SG-AL</x:v>
      </x:c>
      <x:c r="C330" s="70" t="str">
        <x:v>学历学科</x:v>
      </x:c>
      <x:c r="D330" s="70" t="str">
        <x:v>H2</x:v>
      </x:c>
      <x:c r="E330" s="70" t="str">
        <x:v>2026考季目录核对</x:v>
      </x:c>
      <x:c r="F330" s="70" t="str">
        <x:v>2026学校考生；2027启用须对照V3-SG27</x:v>
      </x:c>
      <x:c r="G330" s="70" t="str">
        <x:v>启用前按年份和本校授权复核</x:v>
      </x:c>
      <x:c r="H330" s="70" t="str">
        <x:v>课程目录层</x:v>
      </x:c>
      <x:c r="I330" s="70" t="str">
        <x:v>校内成绩按学校规则；外考成绩不自动换GPA</x:v>
      </x:c>
      <x:c r="J330" s="70" t="str">
        <x:v>人工选择与审核</x:v>
      </x:c>
      <x:c r="K330" s="70" t="str">
        <x:v>官方大纲/课程代码</x:v>
      </x:c>
      <x:c r="L330" s="70" t="str"/>
      <x:c r="M330" s="70" t="str">
        <x:v>V3-SG26</x:v>
      </x:c>
      <x:c r="N330" s="70" t="str">
        <x:v>https://www.seab.gov.sg/gce-a-level/a-level-syllabuses-examined-for-school-candidates-2026/</x:v>
      </x:c>
    </x:row>
    <x:row r="331" ht="72" customHeight="1">
      <x:c r="A331" s="71" t="str">
        <x:v>C330</x:v>
      </x:c>
      <x:c r="B331" s="70" t="str">
        <x:v>SG-AL</x:v>
      </x:c>
      <x:c r="C331" s="70" t="str">
        <x:v>学历学科</x:v>
      </x:c>
      <x:c r="D331" s="70" t="str">
        <x:v>H2</x:v>
      </x:c>
      <x:c r="E331" s="70" t="str">
        <x:v>2026考季目录核对</x:v>
      </x:c>
      <x:c r="F331" s="70" t="str">
        <x:v>2026学校考生；2027启用须对照V3-SG27</x:v>
      </x:c>
      <x:c r="G331" s="70" t="str">
        <x:v>启用前按年份和本校授权复核</x:v>
      </x:c>
      <x:c r="H331" s="70" t="str">
        <x:v>课程目录层</x:v>
      </x:c>
      <x:c r="I331" s="70" t="str">
        <x:v>校内成绩按学校规则；外考成绩不自动换GPA</x:v>
      </x:c>
      <x:c r="J331" s="70" t="str">
        <x:v>人工选择与审核</x:v>
      </x:c>
      <x:c r="K331" s="70" t="str">
        <x:v>官方大纲/课程代码</x:v>
      </x:c>
      <x:c r="L331" s="70" t="str"/>
      <x:c r="M331" s="70" t="str">
        <x:v>V3-SG26</x:v>
      </x:c>
      <x:c r="N331" s="70" t="str">
        <x:v>https://www.seab.gov.sg/gce-a-level/a-level-syllabuses-examined-for-school-candidates-2026/</x:v>
      </x:c>
    </x:row>
    <x:row r="332" ht="72" customHeight="1">
      <x:c r="A332" s="71" t="str">
        <x:v>C331</x:v>
      </x:c>
      <x:c r="B332" s="70" t="str">
        <x:v>SG-AL</x:v>
      </x:c>
      <x:c r="C332" s="70" t="str">
        <x:v>学历学科</x:v>
      </x:c>
      <x:c r="D332" s="70" t="str">
        <x:v>H2</x:v>
      </x:c>
      <x:c r="E332" s="70" t="str">
        <x:v>2026考季目录核对</x:v>
      </x:c>
      <x:c r="F332" s="70" t="str">
        <x:v>2026学校考生；2027启用须对照V3-SG27</x:v>
      </x:c>
      <x:c r="G332" s="70" t="str">
        <x:v>启用前按年份和本校授权复核</x:v>
      </x:c>
      <x:c r="H332" s="70" t="str">
        <x:v>课程目录层</x:v>
      </x:c>
      <x:c r="I332" s="70" t="str">
        <x:v>校内成绩按学校规则；外考成绩不自动换GPA</x:v>
      </x:c>
      <x:c r="J332" s="70" t="str">
        <x:v>人工选择与审核</x:v>
      </x:c>
      <x:c r="K332" s="70" t="str">
        <x:v>官方大纲/课程代码</x:v>
      </x:c>
      <x:c r="L332" s="70" t="str"/>
      <x:c r="M332" s="70" t="str">
        <x:v>V3-SG26</x:v>
      </x:c>
      <x:c r="N332" s="70" t="str">
        <x:v>https://www.seab.gov.sg/gce-a-level/a-level-syllabuses-examined-for-school-candidates-2026/</x:v>
      </x:c>
    </x:row>
    <x:row r="333" ht="72" customHeight="1">
      <x:c r="A333" s="71" t="str">
        <x:v>C332</x:v>
      </x:c>
      <x:c r="B333" s="70" t="str">
        <x:v>SG-AL</x:v>
      </x:c>
      <x:c r="C333" s="70" t="str">
        <x:v>学历学科</x:v>
      </x:c>
      <x:c r="D333" s="70" t="str">
        <x:v>H2</x:v>
      </x:c>
      <x:c r="E333" s="70" t="str">
        <x:v>2026考季目录核对</x:v>
      </x:c>
      <x:c r="F333" s="70" t="str">
        <x:v>2026学校考生；2027启用须对照V3-SG27</x:v>
      </x:c>
      <x:c r="G333" s="70" t="str">
        <x:v>启用前按年份和本校授权复核</x:v>
      </x:c>
      <x:c r="H333" s="70" t="str">
        <x:v>课程目录层</x:v>
      </x:c>
      <x:c r="I333" s="70" t="str">
        <x:v>校内成绩按学校规则；外考成绩不自动换GPA</x:v>
      </x:c>
      <x:c r="J333" s="70" t="str">
        <x:v>人工选择与审核</x:v>
      </x:c>
      <x:c r="K333" s="70" t="str">
        <x:v>官方大纲/课程代码</x:v>
      </x:c>
      <x:c r="L333" s="70" t="str"/>
      <x:c r="M333" s="70" t="str">
        <x:v>V3-SG26</x:v>
      </x:c>
      <x:c r="N333" s="70" t="str">
        <x:v>https://www.seab.gov.sg/gce-a-level/a-level-syllabuses-examined-for-school-candidates-2026/</x:v>
      </x:c>
    </x:row>
    <x:row r="334" ht="72" customHeight="1">
      <x:c r="A334" s="71" t="str">
        <x:v>C333</x:v>
      </x:c>
      <x:c r="B334" s="70" t="str">
        <x:v>SG-AL</x:v>
      </x:c>
      <x:c r="C334" s="70" t="str">
        <x:v>学历学科</x:v>
      </x:c>
      <x:c r="D334" s="70" t="str">
        <x:v>H2</x:v>
      </x:c>
      <x:c r="E334" s="70" t="str">
        <x:v>2026考季目录核对</x:v>
      </x:c>
      <x:c r="F334" s="70" t="str">
        <x:v>2026学校考生；2027启用须对照V3-SG27</x:v>
      </x:c>
      <x:c r="G334" s="70" t="str">
        <x:v>启用前按年份和本校授权复核</x:v>
      </x:c>
      <x:c r="H334" s="70" t="str">
        <x:v>课程目录层</x:v>
      </x:c>
      <x:c r="I334" s="70" t="str">
        <x:v>校内成绩按学校规则；外考成绩不自动换GPA</x:v>
      </x:c>
      <x:c r="J334" s="70" t="str">
        <x:v>人工选择与审核</x:v>
      </x:c>
      <x:c r="K334" s="70" t="str">
        <x:v>官方大纲/课程代码</x:v>
      </x:c>
      <x:c r="L334" s="70" t="str"/>
      <x:c r="M334" s="70" t="str">
        <x:v>V3-SG26</x:v>
      </x:c>
      <x:c r="N334" s="70" t="str">
        <x:v>https://www.seab.gov.sg/gce-a-level/a-level-syllabuses-examined-for-school-candidates-2026/</x:v>
      </x:c>
    </x:row>
    <x:row r="335" ht="72" customHeight="1">
      <x:c r="A335" s="71" t="str">
        <x:v>C334</x:v>
      </x:c>
      <x:c r="B335" s="70" t="str">
        <x:v>SG-AL</x:v>
      </x:c>
      <x:c r="C335" s="70" t="str">
        <x:v>学历学科</x:v>
      </x:c>
      <x:c r="D335" s="70" t="str">
        <x:v>H2</x:v>
      </x:c>
      <x:c r="E335" s="70" t="str">
        <x:v>2026考季目录核对</x:v>
      </x:c>
      <x:c r="F335" s="70" t="str">
        <x:v>2026学校考生；2027启用须对照V3-SG27</x:v>
      </x:c>
      <x:c r="G335" s="70" t="str">
        <x:v>启用前按年份和本校授权复核</x:v>
      </x:c>
      <x:c r="H335" s="70" t="str">
        <x:v>课程目录层</x:v>
      </x:c>
      <x:c r="I335" s="70" t="str">
        <x:v>校内成绩按学校规则；外考成绩不自动换GPA</x:v>
      </x:c>
      <x:c r="J335" s="70" t="str">
        <x:v>人工选择与审核</x:v>
      </x:c>
      <x:c r="K335" s="70" t="str">
        <x:v>官方大纲/课程代码</x:v>
      </x:c>
      <x:c r="L335" s="70" t="str"/>
      <x:c r="M335" s="70" t="str">
        <x:v>V3-SG26</x:v>
      </x:c>
      <x:c r="N335" s="70" t="str">
        <x:v>https://www.seab.gov.sg/gce-a-level/a-level-syllabuses-examined-for-school-candidates-2026/</x:v>
      </x:c>
    </x:row>
    <x:row r="336" ht="72" customHeight="1">
      <x:c r="A336" s="71" t="str">
        <x:v>C335</x:v>
      </x:c>
      <x:c r="B336" s="70" t="str">
        <x:v>SG-AL</x:v>
      </x:c>
      <x:c r="C336" s="70" t="str">
        <x:v>学历学科</x:v>
      </x:c>
      <x:c r="D336" s="70" t="str">
        <x:v>H2</x:v>
      </x:c>
      <x:c r="E336" s="70" t="str">
        <x:v>2026考季目录核对</x:v>
      </x:c>
      <x:c r="F336" s="70" t="str">
        <x:v>2026学校考生；2027启用须对照V3-SG27</x:v>
      </x:c>
      <x:c r="G336" s="70" t="str">
        <x:v>启用前按年份和本校授权复核</x:v>
      </x:c>
      <x:c r="H336" s="70" t="str">
        <x:v>课程目录层</x:v>
      </x:c>
      <x:c r="I336" s="70" t="str">
        <x:v>校内成绩按学校规则；外考成绩不自动换GPA</x:v>
      </x:c>
      <x:c r="J336" s="70" t="str">
        <x:v>人工选择与审核</x:v>
      </x:c>
      <x:c r="K336" s="70" t="str">
        <x:v>官方大纲/课程代码</x:v>
      </x:c>
      <x:c r="L336" s="70" t="str"/>
      <x:c r="M336" s="70" t="str">
        <x:v>V3-SG26</x:v>
      </x:c>
      <x:c r="N336" s="70" t="str">
        <x:v>https://www.seab.gov.sg/gce-a-level/a-level-syllabuses-examined-for-school-candidates-2026/</x:v>
      </x:c>
    </x:row>
    <x:row r="337" ht="72" customHeight="1">
      <x:c r="A337" s="71" t="str">
        <x:v>C336</x:v>
      </x:c>
      <x:c r="B337" s="70" t="str">
        <x:v>SG-AL</x:v>
      </x:c>
      <x:c r="C337" s="70" t="str">
        <x:v>学历学科</x:v>
      </x:c>
      <x:c r="D337" s="70" t="str">
        <x:v>H2</x:v>
      </x:c>
      <x:c r="E337" s="70" t="str">
        <x:v>2026考季目录核对</x:v>
      </x:c>
      <x:c r="F337" s="70" t="str">
        <x:v>2026学校考生；2027启用须对照V3-SG27</x:v>
      </x:c>
      <x:c r="G337" s="70" t="str">
        <x:v>启用前按年份和本校授权复核</x:v>
      </x:c>
      <x:c r="H337" s="70" t="str">
        <x:v>课程目录层</x:v>
      </x:c>
      <x:c r="I337" s="70" t="str">
        <x:v>校内成绩按学校规则；外考成绩不自动换GPA</x:v>
      </x:c>
      <x:c r="J337" s="70" t="str">
        <x:v>人工选择与审核</x:v>
      </x:c>
      <x:c r="K337" s="70" t="str">
        <x:v>官方大纲/课程代码</x:v>
      </x:c>
      <x:c r="L337" s="70" t="str"/>
      <x:c r="M337" s="70" t="str">
        <x:v>V3-SG26</x:v>
      </x:c>
      <x:c r="N337" s="70" t="str">
        <x:v>https://www.seab.gov.sg/gce-a-level/a-level-syllabuses-examined-for-school-candidates-2026/</x:v>
      </x:c>
    </x:row>
    <x:row r="338" ht="72" customHeight="1">
      <x:c r="A338" s="71" t="str">
        <x:v>C337</x:v>
      </x:c>
      <x:c r="B338" s="70" t="str">
        <x:v>SG-AL</x:v>
      </x:c>
      <x:c r="C338" s="70" t="str">
        <x:v>学历学科</x:v>
      </x:c>
      <x:c r="D338" s="70" t="str">
        <x:v>H2</x:v>
      </x:c>
      <x:c r="E338" s="70" t="str">
        <x:v>2026考季目录核对</x:v>
      </x:c>
      <x:c r="F338" s="70" t="str">
        <x:v>2026学校考生；2027启用须对照V3-SG27</x:v>
      </x:c>
      <x:c r="G338" s="70" t="str">
        <x:v>启用前按年份和本校授权复核</x:v>
      </x:c>
      <x:c r="H338" s="70" t="str">
        <x:v>课程目录层</x:v>
      </x:c>
      <x:c r="I338" s="70" t="str">
        <x:v>校内成绩按学校规则；外考成绩不自动换GPA</x:v>
      </x:c>
      <x:c r="J338" s="70" t="str">
        <x:v>人工选择与审核</x:v>
      </x:c>
      <x:c r="K338" s="70" t="str">
        <x:v>官方大纲/课程代码</x:v>
      </x:c>
      <x:c r="L338" s="70" t="str"/>
      <x:c r="M338" s="70" t="str">
        <x:v>V3-SG26</x:v>
      </x:c>
      <x:c r="N338" s="70" t="str">
        <x:v>https://www.seab.gov.sg/gce-a-level/a-level-syllabuses-examined-for-school-candidates-2026/</x:v>
      </x:c>
    </x:row>
    <x:row r="339" ht="72" customHeight="1">
      <x:c r="A339" s="71" t="str">
        <x:v>C338</x:v>
      </x:c>
      <x:c r="B339" s="70" t="str">
        <x:v>SG-AL</x:v>
      </x:c>
      <x:c r="C339" s="70" t="str">
        <x:v>学历学科</x:v>
      </x:c>
      <x:c r="D339" s="70" t="str">
        <x:v>H2</x:v>
      </x:c>
      <x:c r="E339" s="70" t="str">
        <x:v>2026考季目录核对</x:v>
      </x:c>
      <x:c r="F339" s="70" t="str">
        <x:v>2026学校考生；2027启用须对照V3-SG27</x:v>
      </x:c>
      <x:c r="G339" s="70" t="str">
        <x:v>启用前按年份和本校授权复核</x:v>
      </x:c>
      <x:c r="H339" s="70" t="str">
        <x:v>课程目录层</x:v>
      </x:c>
      <x:c r="I339" s="70" t="str">
        <x:v>校内成绩按学校规则；外考成绩不自动换GPA</x:v>
      </x:c>
      <x:c r="J339" s="70" t="str">
        <x:v>人工选择与审核</x:v>
      </x:c>
      <x:c r="K339" s="70" t="str">
        <x:v>官方大纲/课程代码</x:v>
      </x:c>
      <x:c r="L339" s="70" t="str"/>
      <x:c r="M339" s="70" t="str">
        <x:v>V3-SG26</x:v>
      </x:c>
      <x:c r="N339" s="70" t="str">
        <x:v>https://www.seab.gov.sg/gce-a-level/a-level-syllabuses-examined-for-school-candidates-2026/</x:v>
      </x:c>
    </x:row>
    <x:row r="340" ht="72" customHeight="1">
      <x:c r="A340" s="71" t="str">
        <x:v>C339</x:v>
      </x:c>
      <x:c r="B340" s="70" t="str">
        <x:v>SG-AL</x:v>
      </x:c>
      <x:c r="C340" s="70" t="str">
        <x:v>学历学科</x:v>
      </x:c>
      <x:c r="D340" s="70" t="str">
        <x:v>H2</x:v>
      </x:c>
      <x:c r="E340" s="70" t="str">
        <x:v>2026考季目录核对</x:v>
      </x:c>
      <x:c r="F340" s="70" t="str">
        <x:v>2026学校考生；2027启用须对照V3-SG27</x:v>
      </x:c>
      <x:c r="G340" s="70" t="str">
        <x:v>启用前按年份和本校授权复核</x:v>
      </x:c>
      <x:c r="H340" s="70" t="str">
        <x:v>课程目录层</x:v>
      </x:c>
      <x:c r="I340" s="70" t="str">
        <x:v>校内成绩按学校规则；外考成绩不自动换GPA</x:v>
      </x:c>
      <x:c r="J340" s="70" t="str">
        <x:v>人工选择与审核</x:v>
      </x:c>
      <x:c r="K340" s="70" t="str">
        <x:v>官方大纲/课程代码</x:v>
      </x:c>
      <x:c r="L340" s="70" t="str"/>
      <x:c r="M340" s="70" t="str">
        <x:v>V3-SG26</x:v>
      </x:c>
      <x:c r="N340" s="70" t="str">
        <x:v>https://www.seab.gov.sg/gce-a-level/a-level-syllabuses-examined-for-school-candidates-2026/</x:v>
      </x:c>
    </x:row>
    <x:row r="341" ht="72" customHeight="1">
      <x:c r="A341" s="71" t="str">
        <x:v>C340</x:v>
      </x:c>
      <x:c r="B341" s="70" t="str">
        <x:v>SG-AL</x:v>
      </x:c>
      <x:c r="C341" s="70" t="str">
        <x:v>学历学科</x:v>
      </x:c>
      <x:c r="D341" s="70" t="str">
        <x:v>H2</x:v>
      </x:c>
      <x:c r="E341" s="70" t="str">
        <x:v>2026考季目录核对</x:v>
      </x:c>
      <x:c r="F341" s="70" t="str">
        <x:v>2026学校考生；2027启用须对照V3-SG27</x:v>
      </x:c>
      <x:c r="G341" s="70" t="str">
        <x:v>启用前按年份和本校授权复核</x:v>
      </x:c>
      <x:c r="H341" s="70" t="str">
        <x:v>课程目录层</x:v>
      </x:c>
      <x:c r="I341" s="70" t="str">
        <x:v>校内成绩按学校规则；外考成绩不自动换GPA</x:v>
      </x:c>
      <x:c r="J341" s="70" t="str">
        <x:v>人工选择与审核</x:v>
      </x:c>
      <x:c r="K341" s="70" t="str">
        <x:v>官方大纲/课程代码</x:v>
      </x:c>
      <x:c r="L341" s="70" t="str"/>
      <x:c r="M341" s="70" t="str">
        <x:v>V3-SG26</x:v>
      </x:c>
      <x:c r="N341" s="70" t="str">
        <x:v>https://www.seab.gov.sg/gce-a-level/a-level-syllabuses-examined-for-school-candidates-2026/</x:v>
      </x:c>
    </x:row>
    <x:row r="342" ht="72" customHeight="1">
      <x:c r="A342" s="71" t="str">
        <x:v>C341</x:v>
      </x:c>
      <x:c r="B342" s="70" t="str">
        <x:v>SG-AL</x:v>
      </x:c>
      <x:c r="C342" s="70" t="str">
        <x:v>学历学科</x:v>
      </x:c>
      <x:c r="D342" s="70" t="str">
        <x:v>H2</x:v>
      </x:c>
      <x:c r="E342" s="70" t="str">
        <x:v>2026考季目录核对</x:v>
      </x:c>
      <x:c r="F342" s="70" t="str">
        <x:v>2026学校考生；2027启用须对照V3-SG27</x:v>
      </x:c>
      <x:c r="G342" s="70" t="str">
        <x:v>启用前按年份和本校授权复核</x:v>
      </x:c>
      <x:c r="H342" s="70" t="str">
        <x:v>课程目录层</x:v>
      </x:c>
      <x:c r="I342" s="70" t="str">
        <x:v>校内成绩按学校规则；外考成绩不自动换GPA</x:v>
      </x:c>
      <x:c r="J342" s="70" t="str">
        <x:v>人工选择与审核</x:v>
      </x:c>
      <x:c r="K342" s="70" t="str">
        <x:v>官方大纲/课程代码</x:v>
      </x:c>
      <x:c r="L342" s="70" t="str"/>
      <x:c r="M342" s="70" t="str">
        <x:v>V3-SG26</x:v>
      </x:c>
      <x:c r="N342" s="70" t="str">
        <x:v>https://www.seab.gov.sg/gce-a-level/a-level-syllabuses-examined-for-school-candidates-2026/</x:v>
      </x:c>
    </x:row>
    <x:row r="343" ht="72" customHeight="1">
      <x:c r="A343" s="71" t="str">
        <x:v>C342</x:v>
      </x:c>
      <x:c r="B343" s="70" t="str">
        <x:v>SG-AL</x:v>
      </x:c>
      <x:c r="C343" s="70" t="str">
        <x:v>学历学科</x:v>
      </x:c>
      <x:c r="D343" s="70" t="str">
        <x:v>H2</x:v>
      </x:c>
      <x:c r="E343" s="70" t="str">
        <x:v>2026考季目录核对</x:v>
      </x:c>
      <x:c r="F343" s="70" t="str">
        <x:v>2026学校考生；2027启用须对照V3-SG27</x:v>
      </x:c>
      <x:c r="G343" s="70" t="str">
        <x:v>启用前按年份和本校授权复核</x:v>
      </x:c>
      <x:c r="H343" s="70" t="str">
        <x:v>课程目录层</x:v>
      </x:c>
      <x:c r="I343" s="70" t="str">
        <x:v>校内成绩按学校规则；外考成绩不自动换GPA</x:v>
      </x:c>
      <x:c r="J343" s="70" t="str">
        <x:v>人工选择与审核</x:v>
      </x:c>
      <x:c r="K343" s="70" t="str">
        <x:v>官方大纲/课程代码</x:v>
      </x:c>
      <x:c r="L343" s="70" t="str"/>
      <x:c r="M343" s="70" t="str">
        <x:v>V3-SG26</x:v>
      </x:c>
      <x:c r="N343" s="70" t="str">
        <x:v>https://www.seab.gov.sg/gce-a-level/a-level-syllabuses-examined-for-school-candidates-2026/</x:v>
      </x:c>
    </x:row>
    <x:row r="344" ht="72" customHeight="1">
      <x:c r="A344" s="71" t="str">
        <x:v>C343</x:v>
      </x:c>
      <x:c r="B344" s="70" t="str">
        <x:v>SG-AL</x:v>
      </x:c>
      <x:c r="C344" s="70" t="str">
        <x:v>学历学科</x:v>
      </x:c>
      <x:c r="D344" s="70" t="str">
        <x:v>H3</x:v>
      </x:c>
      <x:c r="E344" s="70" t="str">
        <x:v>2026考季目录核对</x:v>
      </x:c>
      <x:c r="F344" s="70" t="str">
        <x:v>2026学校考生；2027启用须对照V3-SG27</x:v>
      </x:c>
      <x:c r="G344" s="70" t="str">
        <x:v>启用前按年份和本校授权复核</x:v>
      </x:c>
      <x:c r="H344" s="70" t="str">
        <x:v>课程目录层</x:v>
      </x:c>
      <x:c r="I344" s="70" t="str">
        <x:v>校内成绩按学校规则；外考成绩不自动换GPA</x:v>
      </x:c>
      <x:c r="J344" s="70" t="str">
        <x:v>人工选择与审核</x:v>
      </x:c>
      <x:c r="K344" s="70" t="str">
        <x:v>官方大纲/课程代码</x:v>
      </x:c>
      <x:c r="L344" s="70" t="str"/>
      <x:c r="M344" s="70" t="str">
        <x:v>V3-SG26</x:v>
      </x:c>
      <x:c r="N344" s="70" t="str">
        <x:v>https://www.seab.gov.sg/gce-a-level/a-level-syllabuses-examined-for-school-candidates-2026/</x:v>
      </x:c>
    </x:row>
    <x:row r="345" ht="72" customHeight="1">
      <x:c r="A345" s="71" t="str">
        <x:v>C344</x:v>
      </x:c>
      <x:c r="B345" s="70" t="str">
        <x:v>SG-AL</x:v>
      </x:c>
      <x:c r="C345" s="70" t="str">
        <x:v>学历学科</x:v>
      </x:c>
      <x:c r="D345" s="70" t="str">
        <x:v>H3</x:v>
      </x:c>
      <x:c r="E345" s="70" t="str">
        <x:v>2026考季目录核对</x:v>
      </x:c>
      <x:c r="F345" s="70" t="str">
        <x:v>2026学校考生；2027启用须对照V3-SG27</x:v>
      </x:c>
      <x:c r="G345" s="70" t="str">
        <x:v>启用前按年份和本校授权复核</x:v>
      </x:c>
      <x:c r="H345" s="70" t="str">
        <x:v>课程目录层</x:v>
      </x:c>
      <x:c r="I345" s="70" t="str">
        <x:v>校内成绩按学校规则；外考成绩不自动换GPA</x:v>
      </x:c>
      <x:c r="J345" s="70" t="str">
        <x:v>人工选择与审核</x:v>
      </x:c>
      <x:c r="K345" s="70" t="str">
        <x:v>官方大纲/课程代码</x:v>
      </x:c>
      <x:c r="L345" s="70" t="str"/>
      <x:c r="M345" s="70" t="str">
        <x:v>V3-SG26</x:v>
      </x:c>
      <x:c r="N345" s="70" t="str">
        <x:v>https://www.seab.gov.sg/gce-a-level/a-level-syllabuses-examined-for-school-candidates-2026/</x:v>
      </x:c>
    </x:row>
    <x:row r="346" ht="72" customHeight="1">
      <x:c r="A346" s="71" t="str">
        <x:v>C345</x:v>
      </x:c>
      <x:c r="B346" s="70" t="str">
        <x:v>SG-AL</x:v>
      </x:c>
      <x:c r="C346" s="70" t="str">
        <x:v>学历学科</x:v>
      </x:c>
      <x:c r="D346" s="70" t="str">
        <x:v>H3</x:v>
      </x:c>
      <x:c r="E346" s="70" t="str">
        <x:v>2026考季目录核对</x:v>
      </x:c>
      <x:c r="F346" s="70" t="str">
        <x:v>2026学校考生；2027启用须对照V3-SG27</x:v>
      </x:c>
      <x:c r="G346" s="70" t="str">
        <x:v>启用前按年份和本校授权复核</x:v>
      </x:c>
      <x:c r="H346" s="70" t="str">
        <x:v>课程目录层</x:v>
      </x:c>
      <x:c r="I346" s="70" t="str">
        <x:v>校内成绩按学校规则；外考成绩不自动换GPA</x:v>
      </x:c>
      <x:c r="J346" s="70" t="str">
        <x:v>人工选择与审核</x:v>
      </x:c>
      <x:c r="K346" s="70" t="str">
        <x:v>官方大纲/课程代码</x:v>
      </x:c>
      <x:c r="L346" s="70" t="str"/>
      <x:c r="M346" s="70" t="str">
        <x:v>V3-SG26</x:v>
      </x:c>
      <x:c r="N346" s="70" t="str">
        <x:v>https://www.seab.gov.sg/gce-a-level/a-level-syllabuses-examined-for-school-candidates-2026/</x:v>
      </x:c>
    </x:row>
    <x:row r="347" ht="72" customHeight="1">
      <x:c r="A347" s="71" t="str">
        <x:v>C346</x:v>
      </x:c>
      <x:c r="B347" s="70" t="str">
        <x:v>SG-AL</x:v>
      </x:c>
      <x:c r="C347" s="70" t="str">
        <x:v>学历学科</x:v>
      </x:c>
      <x:c r="D347" s="70" t="str">
        <x:v>H3</x:v>
      </x:c>
      <x:c r="E347" s="70" t="str">
        <x:v>2026考季目录核对</x:v>
      </x:c>
      <x:c r="F347" s="70" t="str">
        <x:v>2026学校考生；2027启用须对照V3-SG27</x:v>
      </x:c>
      <x:c r="G347" s="70" t="str">
        <x:v>启用前按年份和本校授权复核</x:v>
      </x:c>
      <x:c r="H347" s="70" t="str">
        <x:v>课程目录层</x:v>
      </x:c>
      <x:c r="I347" s="70" t="str">
        <x:v>校内成绩按学校规则；外考成绩不自动换GPA</x:v>
      </x:c>
      <x:c r="J347" s="70" t="str">
        <x:v>人工选择与审核</x:v>
      </x:c>
      <x:c r="K347" s="70" t="str">
        <x:v>官方大纲/课程代码</x:v>
      </x:c>
      <x:c r="L347" s="70" t="str"/>
      <x:c r="M347" s="70" t="str">
        <x:v>V3-SG26</x:v>
      </x:c>
      <x:c r="N347" s="70" t="str">
        <x:v>https://www.seab.gov.sg/gce-a-level/a-level-syllabuses-examined-for-school-candidates-2026/</x:v>
      </x:c>
    </x:row>
    <x:row r="348" ht="72" customHeight="1">
      <x:c r="A348" s="71" t="str">
        <x:v>C347</x:v>
      </x:c>
      <x:c r="B348" s="70" t="str">
        <x:v>SG-AL</x:v>
      </x:c>
      <x:c r="C348" s="70" t="str">
        <x:v>学历学科</x:v>
      </x:c>
      <x:c r="D348" s="70" t="str">
        <x:v>H3</x:v>
      </x:c>
      <x:c r="E348" s="70" t="str">
        <x:v>2026考季目录核对</x:v>
      </x:c>
      <x:c r="F348" s="70" t="str">
        <x:v>2026学校考生；2027启用须对照V3-SG27</x:v>
      </x:c>
      <x:c r="G348" s="70" t="str">
        <x:v>启用前按年份和本校授权复核</x:v>
      </x:c>
      <x:c r="H348" s="70" t="str">
        <x:v>课程目录层</x:v>
      </x:c>
      <x:c r="I348" s="70" t="str">
        <x:v>校内成绩按学校规则；外考成绩不自动换GPA</x:v>
      </x:c>
      <x:c r="J348" s="70" t="str">
        <x:v>人工选择与审核</x:v>
      </x:c>
      <x:c r="K348" s="70" t="str">
        <x:v>官方大纲/课程代码</x:v>
      </x:c>
      <x:c r="L348" s="70" t="str"/>
      <x:c r="M348" s="70" t="str">
        <x:v>V3-SG26</x:v>
      </x:c>
      <x:c r="N348" s="70" t="str">
        <x:v>https://www.seab.gov.sg/gce-a-level/a-level-syllabuses-examined-for-school-candidates-2026/</x:v>
      </x:c>
    </x:row>
    <x:row r="349" ht="72" customHeight="1">
      <x:c r="A349" s="71" t="str">
        <x:v>C348</x:v>
      </x:c>
      <x:c r="B349" s="70" t="str">
        <x:v>SG-AL</x:v>
      </x:c>
      <x:c r="C349" s="70" t="str">
        <x:v>学历学科</x:v>
      </x:c>
      <x:c r="D349" s="70" t="str">
        <x:v>H3</x:v>
      </x:c>
      <x:c r="E349" s="70" t="str">
        <x:v>2026考季目录核对</x:v>
      </x:c>
      <x:c r="F349" s="70" t="str">
        <x:v>2026学校考生；2027启用须对照V3-SG27</x:v>
      </x:c>
      <x:c r="G349" s="70" t="str">
        <x:v>启用前按年份和本校授权复核</x:v>
      </x:c>
      <x:c r="H349" s="70" t="str">
        <x:v>课程目录层</x:v>
      </x:c>
      <x:c r="I349" s="70" t="str">
        <x:v>校内成绩按学校规则；外考成绩不自动换GPA</x:v>
      </x:c>
      <x:c r="J349" s="70" t="str">
        <x:v>人工选择与审核</x:v>
      </x:c>
      <x:c r="K349" s="70" t="str">
        <x:v>官方大纲/课程代码</x:v>
      </x:c>
      <x:c r="L349" s="70" t="str"/>
      <x:c r="M349" s="70" t="str">
        <x:v>V3-SG26</x:v>
      </x:c>
      <x:c r="N349" s="70" t="str">
        <x:v>https://www.seab.gov.sg/gce-a-level/a-level-syllabuses-examined-for-school-candidates-2026/</x:v>
      </x:c>
    </x:row>
    <x:row r="350" ht="72" customHeight="1">
      <x:c r="A350" s="71" t="str">
        <x:v>C349</x:v>
      </x:c>
      <x:c r="B350" s="70" t="str">
        <x:v>SG-AL</x:v>
      </x:c>
      <x:c r="C350" s="70" t="str">
        <x:v>学历学科</x:v>
      </x:c>
      <x:c r="D350" s="70" t="str">
        <x:v>H3</x:v>
      </x:c>
      <x:c r="E350" s="70" t="str">
        <x:v>2026考季目录核对</x:v>
      </x:c>
      <x:c r="F350" s="70" t="str">
        <x:v>2026学校考生；2027启用须对照V3-SG27</x:v>
      </x:c>
      <x:c r="G350" s="70" t="str">
        <x:v>启用前按年份和本校授权复核</x:v>
      </x:c>
      <x:c r="H350" s="70" t="str">
        <x:v>课程目录层</x:v>
      </x:c>
      <x:c r="I350" s="70" t="str">
        <x:v>校内成绩按学校规则；外考成绩不自动换GPA</x:v>
      </x:c>
      <x:c r="J350" s="70" t="str">
        <x:v>人工选择与审核</x:v>
      </x:c>
      <x:c r="K350" s="70" t="str">
        <x:v>官方大纲/课程代码</x:v>
      </x:c>
      <x:c r="L350" s="70" t="str"/>
      <x:c r="M350" s="70" t="str">
        <x:v>V3-SG26</x:v>
      </x:c>
      <x:c r="N350" s="70" t="str">
        <x:v>https://www.seab.gov.sg/gce-a-level/a-level-syllabuses-examined-for-school-candidates-2026/</x:v>
      </x:c>
    </x:row>
    <x:row r="351" ht="72" customHeight="1">
      <x:c r="A351" s="71" t="str">
        <x:v>C350</x:v>
      </x:c>
      <x:c r="B351" s="70" t="str">
        <x:v>SG-AL</x:v>
      </x:c>
      <x:c r="C351" s="70" t="str">
        <x:v>学历学科</x:v>
      </x:c>
      <x:c r="D351" s="70" t="str">
        <x:v>H3</x:v>
      </x:c>
      <x:c r="E351" s="70" t="str">
        <x:v>2026考季目录核对</x:v>
      </x:c>
      <x:c r="F351" s="70" t="str">
        <x:v>2026学校考生；2027启用须对照V3-SG27</x:v>
      </x:c>
      <x:c r="G351" s="70" t="str">
        <x:v>启用前按年份和本校授权复核</x:v>
      </x:c>
      <x:c r="H351" s="70" t="str">
        <x:v>课程目录层</x:v>
      </x:c>
      <x:c r="I351" s="70" t="str">
        <x:v>校内成绩按学校规则；外考成绩不自动换GPA</x:v>
      </x:c>
      <x:c r="J351" s="70" t="str">
        <x:v>人工选择与审核</x:v>
      </x:c>
      <x:c r="K351" s="70" t="str">
        <x:v>官方大纲/课程代码</x:v>
      </x:c>
      <x:c r="L351" s="70" t="str"/>
      <x:c r="M351" s="70" t="str">
        <x:v>V3-SG26</x:v>
      </x:c>
      <x:c r="N351" s="70" t="str">
        <x:v>https://www.seab.gov.sg/gce-a-level/a-level-syllabuses-examined-for-school-candidates-2026/</x:v>
      </x:c>
    </x:row>
    <x:row r="352" ht="72" customHeight="1">
      <x:c r="A352" s="71" t="str">
        <x:v>C351</x:v>
      </x:c>
      <x:c r="B352" s="70" t="str">
        <x:v>SG-AL</x:v>
      </x:c>
      <x:c r="C352" s="70" t="str">
        <x:v>学历学科</x:v>
      </x:c>
      <x:c r="D352" s="70" t="str">
        <x:v>H3</x:v>
      </x:c>
      <x:c r="E352" s="70" t="str">
        <x:v>2026考季目录核对</x:v>
      </x:c>
      <x:c r="F352" s="70" t="str">
        <x:v>2026学校考生；2027启用须对照V3-SG27</x:v>
      </x:c>
      <x:c r="G352" s="70" t="str">
        <x:v>启用前按年份和本校授权复核</x:v>
      </x:c>
      <x:c r="H352" s="70" t="str">
        <x:v>课程目录层</x:v>
      </x:c>
      <x:c r="I352" s="70" t="str">
        <x:v>校内成绩按学校规则；外考成绩不自动换GPA</x:v>
      </x:c>
      <x:c r="J352" s="70" t="str">
        <x:v>人工选择与审核</x:v>
      </x:c>
      <x:c r="K352" s="70" t="str">
        <x:v>官方大纲/课程代码</x:v>
      </x:c>
      <x:c r="L352" s="70" t="str"/>
      <x:c r="M352" s="70" t="str">
        <x:v>V3-SG26</x:v>
      </x:c>
      <x:c r="N352" s="70" t="str">
        <x:v>https://www.seab.gov.sg/gce-a-level/a-level-syllabuses-examined-for-school-candidates-2026/</x:v>
      </x:c>
    </x:row>
    <x:row r="353" ht="72" customHeight="1">
      <x:c r="A353" s="71" t="str">
        <x:v>C352</x:v>
      </x:c>
      <x:c r="B353" s="70" t="str">
        <x:v>SG-AL</x:v>
      </x:c>
      <x:c r="C353" s="70" t="str">
        <x:v>学历学科</x:v>
      </x:c>
      <x:c r="D353" s="70" t="str">
        <x:v>H3</x:v>
      </x:c>
      <x:c r="E353" s="70" t="str">
        <x:v>2026考季目录核对</x:v>
      </x:c>
      <x:c r="F353" s="70" t="str">
        <x:v>2026学校考生；2027启用须对照V3-SG27</x:v>
      </x:c>
      <x:c r="G353" s="70" t="str">
        <x:v>启用前按年份和本校授权复核</x:v>
      </x:c>
      <x:c r="H353" s="70" t="str">
        <x:v>课程目录层</x:v>
      </x:c>
      <x:c r="I353" s="70" t="str">
        <x:v>校内成绩按学校规则；外考成绩不自动换GPA</x:v>
      </x:c>
      <x:c r="J353" s="70" t="str">
        <x:v>人工选择与审核</x:v>
      </x:c>
      <x:c r="K353" s="70" t="str">
        <x:v>官方大纲/课程代码</x:v>
      </x:c>
      <x:c r="L353" s="70" t="str"/>
      <x:c r="M353" s="70" t="str">
        <x:v>V3-SG26</x:v>
      </x:c>
      <x:c r="N353" s="70" t="str">
        <x:v>https://www.seab.gov.sg/gce-a-level/a-level-syllabuses-examined-for-school-candidates-2026/</x:v>
      </x:c>
    </x:row>
    <x:row r="354" ht="72" customHeight="1">
      <x:c r="A354" s="71" t="str">
        <x:v>C353</x:v>
      </x:c>
      <x:c r="B354" s="70" t="str">
        <x:v>SG-AL</x:v>
      </x:c>
      <x:c r="C354" s="70" t="str">
        <x:v>学历学科</x:v>
      </x:c>
      <x:c r="D354" s="70" t="str">
        <x:v>H3</x:v>
      </x:c>
      <x:c r="E354" s="70" t="str">
        <x:v>2026考季目录核对</x:v>
      </x:c>
      <x:c r="F354" s="70" t="str">
        <x:v>2026学校考生；2027启用须对照V3-SG27</x:v>
      </x:c>
      <x:c r="G354" s="70" t="str">
        <x:v>启用前按年份和本校授权复核</x:v>
      </x:c>
      <x:c r="H354" s="70" t="str">
        <x:v>课程目录层</x:v>
      </x:c>
      <x:c r="I354" s="70" t="str">
        <x:v>校内成绩按学校规则；外考成绩不自动换GPA</x:v>
      </x:c>
      <x:c r="J354" s="70" t="str">
        <x:v>人工选择与审核</x:v>
      </x:c>
      <x:c r="K354" s="70" t="str">
        <x:v>官方大纲/课程代码</x:v>
      </x:c>
      <x:c r="L354" s="70" t="str"/>
      <x:c r="M354" s="70" t="str">
        <x:v>V3-SG26</x:v>
      </x:c>
      <x:c r="N354" s="70" t="str">
        <x:v>https://www.seab.gov.sg/gce-a-level/a-level-syllabuses-examined-for-school-candidates-2026/</x:v>
      </x:c>
    </x:row>
    <x:row r="355" ht="72" customHeight="1">
      <x:c r="A355" s="71" t="str">
        <x:v>C354</x:v>
      </x:c>
      <x:c r="B355" s="70" t="str">
        <x:v>SG-AL</x:v>
      </x:c>
      <x:c r="C355" s="70" t="str">
        <x:v>学历学科</x:v>
      </x:c>
      <x:c r="D355" s="70" t="str">
        <x:v>H3</x:v>
      </x:c>
      <x:c r="E355" s="70" t="str">
        <x:v>2026考季目录核对</x:v>
      </x:c>
      <x:c r="F355" s="70" t="str">
        <x:v>2026学校考生；2027启用须对照V3-SG27</x:v>
      </x:c>
      <x:c r="G355" s="70" t="str">
        <x:v>启用前按年份和本校授权复核</x:v>
      </x:c>
      <x:c r="H355" s="70" t="str">
        <x:v>课程目录层</x:v>
      </x:c>
      <x:c r="I355" s="70" t="str">
        <x:v>校内成绩按学校规则；外考成绩不自动换GPA</x:v>
      </x:c>
      <x:c r="J355" s="70" t="str">
        <x:v>人工选择与审核</x:v>
      </x:c>
      <x:c r="K355" s="70" t="str">
        <x:v>官方大纲/课程代码</x:v>
      </x:c>
      <x:c r="L355" s="70" t="str"/>
      <x:c r="M355" s="70" t="str">
        <x:v>V3-SG26</x:v>
      </x:c>
      <x:c r="N355" s="70" t="str">
        <x:v>https://www.seab.gov.sg/gce-a-level/a-level-syllabuses-examined-for-school-candidates-2026/</x:v>
      </x:c>
    </x:row>
    <x:row r="356" ht="72" customHeight="1">
      <x:c r="A356" s="71" t="str">
        <x:v>C355</x:v>
      </x:c>
      <x:c r="B356" s="70" t="str">
        <x:v>SG-AL</x:v>
      </x:c>
      <x:c r="C356" s="70" t="str">
        <x:v>学历学科</x:v>
      </x:c>
      <x:c r="D356" s="70" t="str">
        <x:v>H3</x:v>
      </x:c>
      <x:c r="E356" s="70" t="str">
        <x:v>2026考季目录核对</x:v>
      </x:c>
      <x:c r="F356" s="70" t="str">
        <x:v>2026学校考生；2027启用须对照V3-SG27</x:v>
      </x:c>
      <x:c r="G356" s="70" t="str">
        <x:v>启用前按年份和本校授权复核</x:v>
      </x:c>
      <x:c r="H356" s="70" t="str">
        <x:v>课程目录层</x:v>
      </x:c>
      <x:c r="I356" s="70" t="str">
        <x:v>校内成绩按学校规则；外考成绩不自动换GPA</x:v>
      </x:c>
      <x:c r="J356" s="70" t="str">
        <x:v>人工选择与审核</x:v>
      </x:c>
      <x:c r="K356" s="70" t="str">
        <x:v>官方大纲/课程代码</x:v>
      </x:c>
      <x:c r="L356" s="70" t="str"/>
      <x:c r="M356" s="70" t="str">
        <x:v>V3-SG26</x:v>
      </x:c>
      <x:c r="N356" s="70" t="str">
        <x:v>https://www.seab.gov.sg/gce-a-level/a-level-syllabuses-examined-for-school-candidates-2026/</x:v>
      </x:c>
    </x:row>
    <x:row r="357" ht="72" customHeight="1">
      <x:c r="A357" s="71" t="str">
        <x:v>C356</x:v>
      </x:c>
      <x:c r="B357" s="70" t="str">
        <x:v>SG-AL</x:v>
      </x:c>
      <x:c r="C357" s="70" t="str">
        <x:v>学历学科</x:v>
      </x:c>
      <x:c r="D357" s="70" t="str">
        <x:v>Other local</x:v>
      </x:c>
      <x:c r="E357" s="70" t="str">
        <x:v>2026考季目录核对</x:v>
      </x:c>
      <x:c r="F357" s="70" t="str">
        <x:v>2026学校考生；2027启用须对照V3-SG27</x:v>
      </x:c>
      <x:c r="G357" s="70" t="str">
        <x:v>启用前按年份和本校授权复核</x:v>
      </x:c>
      <x:c r="H357" s="70" t="str">
        <x:v>课程目录层</x:v>
      </x:c>
      <x:c r="I357" s="70" t="str">
        <x:v>校内成绩按学校规则；外考成绩不自动换GPA</x:v>
      </x:c>
      <x:c r="J357" s="70" t="str">
        <x:v>人工选择与审核</x:v>
      </x:c>
      <x:c r="K357" s="70" t="str">
        <x:v>官方大纲/课程代码</x:v>
      </x:c>
      <x:c r="L357" s="70" t="str"/>
      <x:c r="M357" s="70" t="str">
        <x:v>V3-SG26</x:v>
      </x:c>
      <x:c r="N357" s="70" t="str">
        <x:v>https://www.seab.gov.sg/gce-a-level/a-level-syllabuses-examined-for-school-candidates-2026/</x:v>
      </x:c>
    </x:row>
    <x:row r="358" ht="72" customHeight="1">
      <x:c r="A358" s="71" t="str">
        <x:v>C357</x:v>
      </x:c>
      <x:c r="B358" s="70" t="str">
        <x:v>SG-AL</x:v>
      </x:c>
      <x:c r="C358" s="70" t="str">
        <x:v>学历学科</x:v>
      </x:c>
      <x:c r="D358" s="70" t="str">
        <x:v>Other local</x:v>
      </x:c>
      <x:c r="E358" s="70" t="str">
        <x:v>2026考季目录核对</x:v>
      </x:c>
      <x:c r="F358" s="70" t="str">
        <x:v>2026学校考生；2027启用须对照V3-SG27</x:v>
      </x:c>
      <x:c r="G358" s="70" t="str">
        <x:v>启用前按年份和本校授权复核</x:v>
      </x:c>
      <x:c r="H358" s="70" t="str">
        <x:v>课程目录层</x:v>
      </x:c>
      <x:c r="I358" s="70" t="str">
        <x:v>校内成绩按学校规则；外考成绩不自动换GPA</x:v>
      </x:c>
      <x:c r="J358" s="70" t="str">
        <x:v>人工选择与审核</x:v>
      </x:c>
      <x:c r="K358" s="70" t="str">
        <x:v>官方大纲/课程代码</x:v>
      </x:c>
      <x:c r="L358" s="70" t="str"/>
      <x:c r="M358" s="70" t="str">
        <x:v>V3-SG26</x:v>
      </x:c>
      <x:c r="N358" s="70" t="str">
        <x:v>https://www.seab.gov.sg/gce-a-level/a-level-syllabuses-examined-for-school-candidates-2026/</x:v>
      </x:c>
    </x:row>
    <x:row r="359" ht="72" customHeight="1">
      <x:c r="A359" s="71" t="str">
        <x:v>C358</x:v>
      </x:c>
      <x:c r="B359" s="70" t="str">
        <x:v>SG-AL</x:v>
      </x:c>
      <x:c r="C359" s="70" t="str">
        <x:v>学历学科</x:v>
      </x:c>
      <x:c r="D359" s="70" t="str">
        <x:v>Other local</x:v>
      </x:c>
      <x:c r="E359" s="70" t="str">
        <x:v>2026考季目录核对</x:v>
      </x:c>
      <x:c r="F359" s="70" t="str">
        <x:v>2026学校考生；2027启用须对照V3-SG27</x:v>
      </x:c>
      <x:c r="G359" s="70" t="str">
        <x:v>启用前按年份和本校授权复核</x:v>
      </x:c>
      <x:c r="H359" s="70" t="str">
        <x:v>课程目录层</x:v>
      </x:c>
      <x:c r="I359" s="70" t="str">
        <x:v>校内成绩按学校规则；外考成绩不自动换GPA</x:v>
      </x:c>
      <x:c r="J359" s="70" t="str">
        <x:v>人工选择与审核</x:v>
      </x:c>
      <x:c r="K359" s="70" t="str">
        <x:v>官方大纲/课程代码</x:v>
      </x:c>
      <x:c r="L359" s="70" t="str"/>
      <x:c r="M359" s="70" t="str">
        <x:v>V3-SG26</x:v>
      </x:c>
      <x:c r="N359" s="70" t="str">
        <x:v>https://www.seab.gov.sg/gce-a-level/a-level-syllabuses-examined-for-school-candidates-2026/</x:v>
      </x:c>
    </x:row>
    <x:row r="360" ht="72" customHeight="1">
      <x:c r="A360" s="71" t="str">
        <x:v>C359</x:v>
      </x:c>
      <x:c r="B360" s="70" t="str">
        <x:v>SG-AL</x:v>
      </x:c>
      <x:c r="C360" s="70" t="str">
        <x:v>核心项目</x:v>
      </x:c>
      <x:c r="D360" s="70" t="str">
        <x:v>Other local</x:v>
      </x:c>
      <x:c r="E360" s="70" t="str">
        <x:v>2026考季目录核对</x:v>
      </x:c>
      <x:c r="F360" s="70" t="str">
        <x:v>2026学校考生；2027启用须对照V3-SG27</x:v>
      </x:c>
      <x:c r="G360" s="70" t="str">
        <x:v>启用前按年份和本校授权复核</x:v>
      </x:c>
      <x:c r="H360" s="70" t="str">
        <x:v>课程目录层</x:v>
      </x:c>
      <x:c r="I360" s="70" t="str">
        <x:v>非普通分数学科；学校另定评价</x:v>
      </x:c>
      <x:c r="J360" s="70" t="str">
        <x:v>人工选择与审核</x:v>
      </x:c>
      <x:c r="K360" s="70" t="str">
        <x:v>官方大纲/课程代码</x:v>
      </x:c>
      <x:c r="L360" s="70" t="str"/>
      <x:c r="M360" s="70" t="str">
        <x:v>V3-SG26</x:v>
      </x:c>
      <x:c r="N360" s="70" t="str">
        <x:v>https://www.seab.gov.sg/gce-a-level/a-level-syllabuses-examined-for-school-candidates-2026/</x:v>
      </x:c>
    </x:row>
    <x:row r="361" ht="72" customHeight="1">
      <x:c r="A361" s="71" t="str">
        <x:v>C360</x:v>
      </x:c>
      <x:c r="B361" s="70" t="str">
        <x:v>HKDSE-A</x:v>
      </x:c>
      <x:c r="C361" s="70" t="str">
        <x:v>学历学科</x:v>
      </x:c>
      <x:c r="D361" s="70" t="str">
        <x:v>Category A</x:v>
      </x:c>
      <x:c r="E361" s="70" t="str">
        <x:v>官方科目索引核对；逐科考核待补</x:v>
      </x:c>
      <x:c r="F361" s="70" t="str">
        <x:v>2026目录核对；2024后框架</x:v>
      </x:c>
      <x:c r="G361" s="70" t="str">
        <x:v>启用前按年份和本校授权复核</x:v>
      </x:c>
      <x:c r="H361" s="70" t="str">
        <x:v>课程目录层</x:v>
      </x:c>
      <x:c r="I361" s="70" t="str">
        <x:v>校内成绩按学校规则；外考成绩不自动换GPA</x:v>
      </x:c>
      <x:c r="J361" s="70" t="str">
        <x:v>人工选择与审核</x:v>
      </x:c>
      <x:c r="K361" s="70" t="str">
        <x:v>未预填官方代码</x:v>
      </x:c>
      <x:c r="L361" s="70" t="str"/>
      <x:c r="M361" s="70" t="str">
        <x:v>V3-HK-A-INDEX</x:v>
      </x:c>
      <x:c r="N361" s="70" t="str">
        <x:v>https://www.hkeaa.edu.hk/en/hkdse/assessment/subject_information/category_a_subjects/</x:v>
      </x:c>
    </x:row>
    <x:row r="362" ht="72" customHeight="1">
      <x:c r="A362" s="71" t="str">
        <x:v>C361</x:v>
      </x:c>
      <x:c r="B362" s="70" t="str">
        <x:v>HKDSE-A</x:v>
      </x:c>
      <x:c r="C362" s="70" t="str">
        <x:v>学历学科</x:v>
      </x:c>
      <x:c r="D362" s="70" t="str">
        <x:v>Category A</x:v>
      </x:c>
      <x:c r="E362" s="70" t="str">
        <x:v>官方科目索引核对；逐科考核待补</x:v>
      </x:c>
      <x:c r="F362" s="70" t="str">
        <x:v>2026目录核对；2024后框架</x:v>
      </x:c>
      <x:c r="G362" s="70" t="str">
        <x:v>启用前按年份和本校授权复核</x:v>
      </x:c>
      <x:c r="H362" s="70" t="str">
        <x:v>课程目录层</x:v>
      </x:c>
      <x:c r="I362" s="70" t="str">
        <x:v>校内成绩按学校规则；外考成绩不自动换GPA</x:v>
      </x:c>
      <x:c r="J362" s="70" t="str">
        <x:v>人工选择与审核</x:v>
      </x:c>
      <x:c r="K362" s="70" t="str">
        <x:v>未预填官方代码</x:v>
      </x:c>
      <x:c r="L362" s="70" t="str"/>
      <x:c r="M362" s="70" t="str">
        <x:v>V3-HK-A-INDEX</x:v>
      </x:c>
      <x:c r="N362" s="70" t="str">
        <x:v>https://www.hkeaa.edu.hk/en/hkdse/assessment/subject_information/category_a_subjects/</x:v>
      </x:c>
    </x:row>
    <x:row r="363" ht="72" customHeight="1">
      <x:c r="A363" s="71" t="str">
        <x:v>C362</x:v>
      </x:c>
      <x:c r="B363" s="70" t="str">
        <x:v>HKDSE-A</x:v>
      </x:c>
      <x:c r="C363" s="70" t="str">
        <x:v>学历学科</x:v>
      </x:c>
      <x:c r="D363" s="70" t="str">
        <x:v>Category A</x:v>
      </x:c>
      <x:c r="E363" s="70" t="str">
        <x:v>官方科目索引核对；逐科考核待补</x:v>
      </x:c>
      <x:c r="F363" s="70" t="str">
        <x:v>2026目录核对；2024后框架</x:v>
      </x:c>
      <x:c r="G363" s="70" t="str">
        <x:v>启用前按年份和本校授权复核</x:v>
      </x:c>
      <x:c r="H363" s="70" t="str">
        <x:v>课程目录＋教学分块；非完整考核映射</x:v>
      </x:c>
      <x:c r="I363" s="70" t="str">
        <x:v>校内成绩按学校规则；外考成绩不自动换GPA</x:v>
      </x:c>
      <x:c r="J363" s="70" t="str">
        <x:v>人工选择与审核</x:v>
      </x:c>
      <x:c r="K363" s="70" t="str">
        <x:v>未预填官方代码</x:v>
      </x:c>
      <x:c r="L363" s="70" t="str"/>
      <x:c r="M363" s="70" t="str">
        <x:v>V3-HK-A-INDEX</x:v>
      </x:c>
      <x:c r="N363" s="70" t="str">
        <x:v>https://www.hkeaa.edu.hk/en/hkdse/assessment/subject_information/category_a_subjects/</x:v>
      </x:c>
    </x:row>
    <x:row r="364" ht="72" customHeight="1">
      <x:c r="A364" s="71" t="str">
        <x:v>C363</x:v>
      </x:c>
      <x:c r="B364" s="70" t="str">
        <x:v>HKDSE-A</x:v>
      </x:c>
      <x:c r="C364" s="70" t="str">
        <x:v>学历学科</x:v>
      </x:c>
      <x:c r="D364" s="70" t="str">
        <x:v>Category A</x:v>
      </x:c>
      <x:c r="E364" s="70" t="str">
        <x:v>官方科目索引核对；逐科考核待补</x:v>
      </x:c>
      <x:c r="F364" s="70" t="str">
        <x:v>2026目录核对；2024后框架</x:v>
      </x:c>
      <x:c r="G364" s="70" t="str">
        <x:v>启用前按年份和本校授权复核</x:v>
      </x:c>
      <x:c r="H364" s="70" t="str">
        <x:v>课程目录层</x:v>
      </x:c>
      <x:c r="I364" s="70" t="str">
        <x:v>校内成绩按学校规则；外考成绩不自动换GPA</x:v>
      </x:c>
      <x:c r="J364" s="70" t="str">
        <x:v>人工选择与审核</x:v>
      </x:c>
      <x:c r="K364" s="70" t="str">
        <x:v>未预填官方代码</x:v>
      </x:c>
      <x:c r="L364" s="70" t="str"/>
      <x:c r="M364" s="70" t="str">
        <x:v>V3-HK-A-INDEX</x:v>
      </x:c>
      <x:c r="N364" s="70" t="str">
        <x:v>https://www.hkeaa.edu.hk/en/hkdse/assessment/subject_information/category_a_subjects/</x:v>
      </x:c>
    </x:row>
    <x:row r="365" ht="72" customHeight="1">
      <x:c r="A365" s="71" t="str">
        <x:v>C364</x:v>
      </x:c>
      <x:c r="B365" s="70" t="str">
        <x:v>HKDSE-A</x:v>
      </x:c>
      <x:c r="C365" s="70" t="str">
        <x:v>学历学科</x:v>
      </x:c>
      <x:c r="D365" s="70" t="str">
        <x:v>Category A</x:v>
      </x:c>
      <x:c r="E365" s="70" t="str">
        <x:v>官方科目索引核对；逐科考核待补</x:v>
      </x:c>
      <x:c r="F365" s="70" t="str">
        <x:v>2026目录核对；2024后框架</x:v>
      </x:c>
      <x:c r="G365" s="70" t="str">
        <x:v>启用前按年份和本校授权复核</x:v>
      </x:c>
      <x:c r="H365" s="70" t="str">
        <x:v>课程目录层</x:v>
      </x:c>
      <x:c r="I365" s="70" t="str">
        <x:v>校内成绩按学校规则；外考成绩不自动换GPA</x:v>
      </x:c>
      <x:c r="J365" s="70" t="str">
        <x:v>人工选择与审核</x:v>
      </x:c>
      <x:c r="K365" s="70" t="str">
        <x:v>未预填官方代码</x:v>
      </x:c>
      <x:c r="L365" s="70" t="str"/>
      <x:c r="M365" s="70" t="str">
        <x:v>V3-HK-A-INDEX</x:v>
      </x:c>
      <x:c r="N365" s="70" t="str">
        <x:v>https://www.hkeaa.edu.hk/en/hkdse/assessment/subject_information/category_a_subjects/</x:v>
      </x:c>
    </x:row>
    <x:row r="366" ht="72" customHeight="1">
      <x:c r="A366" s="71" t="str">
        <x:v>C365</x:v>
      </x:c>
      <x:c r="B366" s="70" t="str">
        <x:v>HKDSE-A</x:v>
      </x:c>
      <x:c r="C366" s="70" t="str">
        <x:v>学历学科</x:v>
      </x:c>
      <x:c r="D366" s="70" t="str">
        <x:v>Category A</x:v>
      </x:c>
      <x:c r="E366" s="70" t="str">
        <x:v>官方科目索引核对；逐科考核待补</x:v>
      </x:c>
      <x:c r="F366" s="70" t="str">
        <x:v>2026目录核对；2024后框架</x:v>
      </x:c>
      <x:c r="G366" s="70" t="str">
        <x:v>启用前按年份和本校授权复核</x:v>
      </x:c>
      <x:c r="H366" s="70" t="str">
        <x:v>课程目录层</x:v>
      </x:c>
      <x:c r="I366" s="70" t="str">
        <x:v>校内成绩按学校规则；外考成绩不自动换GPA</x:v>
      </x:c>
      <x:c r="J366" s="70" t="str">
        <x:v>人工选择与审核</x:v>
      </x:c>
      <x:c r="K366" s="70" t="str">
        <x:v>未预填官方代码</x:v>
      </x:c>
      <x:c r="L366" s="70" t="str"/>
      <x:c r="M366" s="70" t="str">
        <x:v>V3-HK-A-INDEX</x:v>
      </x:c>
      <x:c r="N366" s="70" t="str">
        <x:v>https://www.hkeaa.edu.hk/en/hkdse/assessment/subject_information/category_a_subjects/</x:v>
      </x:c>
    </x:row>
    <x:row r="367" ht="72" customHeight="1">
      <x:c r="A367" s="71" t="str">
        <x:v>C366</x:v>
      </x:c>
      <x:c r="B367" s="70" t="str">
        <x:v>HKDSE-A</x:v>
      </x:c>
      <x:c r="C367" s="70" t="str">
        <x:v>学历学科</x:v>
      </x:c>
      <x:c r="D367" s="70" t="str">
        <x:v>Category A</x:v>
      </x:c>
      <x:c r="E367" s="70" t="str">
        <x:v>官方科目索引核对；逐科考核待补</x:v>
      </x:c>
      <x:c r="F367" s="70" t="str">
        <x:v>2026目录核对；2024后框架</x:v>
      </x:c>
      <x:c r="G367" s="70" t="str">
        <x:v>启用前按年份和本校授权复核</x:v>
      </x:c>
      <x:c r="H367" s="70" t="str">
        <x:v>课程目录层</x:v>
      </x:c>
      <x:c r="I367" s="70" t="str">
        <x:v>校内成绩按学校规则；外考成绩不自动换GPA</x:v>
      </x:c>
      <x:c r="J367" s="70" t="str">
        <x:v>人工选择与审核</x:v>
      </x:c>
      <x:c r="K367" s="70" t="str">
        <x:v>未预填官方代码</x:v>
      </x:c>
      <x:c r="L367" s="70" t="str"/>
      <x:c r="M367" s="70" t="str">
        <x:v>V3-HK-A-INDEX</x:v>
      </x:c>
      <x:c r="N367" s="70" t="str">
        <x:v>https://www.hkeaa.edu.hk/en/hkdse/assessment/subject_information/category_a_subjects/</x:v>
      </x:c>
    </x:row>
    <x:row r="368" ht="72" customHeight="1">
      <x:c r="A368" s="71" t="str">
        <x:v>C367</x:v>
      </x:c>
      <x:c r="B368" s="70" t="str">
        <x:v>HKDSE-A</x:v>
      </x:c>
      <x:c r="C368" s="70" t="str">
        <x:v>学历学科</x:v>
      </x:c>
      <x:c r="D368" s="70" t="str">
        <x:v>Category A</x:v>
      </x:c>
      <x:c r="E368" s="70" t="str">
        <x:v>官方科目索引核对；逐科考核待补</x:v>
      </x:c>
      <x:c r="F368" s="70" t="str">
        <x:v>2026目录核对；2024后框架</x:v>
      </x:c>
      <x:c r="G368" s="70" t="str">
        <x:v>启用前按年份和本校授权复核</x:v>
      </x:c>
      <x:c r="H368" s="70" t="str">
        <x:v>课程目录层</x:v>
      </x:c>
      <x:c r="I368" s="70" t="str">
        <x:v>校内成绩按学校规则；外考成绩不自动换GPA</x:v>
      </x:c>
      <x:c r="J368" s="70" t="str">
        <x:v>人工选择与审核</x:v>
      </x:c>
      <x:c r="K368" s="70" t="str">
        <x:v>未预填官方代码</x:v>
      </x:c>
      <x:c r="L368" s="70" t="str"/>
      <x:c r="M368" s="70" t="str">
        <x:v>V3-HK-A-INDEX</x:v>
      </x:c>
      <x:c r="N368" s="70" t="str">
        <x:v>https://www.hkeaa.edu.hk/en/hkdse/assessment/subject_information/category_a_subjects/</x:v>
      </x:c>
    </x:row>
    <x:row r="369" ht="72" customHeight="1">
      <x:c r="A369" s="71" t="str">
        <x:v>C368</x:v>
      </x:c>
      <x:c r="B369" s="70" t="str">
        <x:v>HKDSE-A</x:v>
      </x:c>
      <x:c r="C369" s="70" t="str">
        <x:v>学历学科</x:v>
      </x:c>
      <x:c r="D369" s="70" t="str">
        <x:v>Category A</x:v>
      </x:c>
      <x:c r="E369" s="70" t="str">
        <x:v>官方科目索引核对；逐科考核待补</x:v>
      </x:c>
      <x:c r="F369" s="70" t="str">
        <x:v>2026目录核对；2024后框架</x:v>
      </x:c>
      <x:c r="G369" s="70" t="str">
        <x:v>启用前按年份和本校授权复核</x:v>
      </x:c>
      <x:c r="H369" s="70" t="str">
        <x:v>课程目录层</x:v>
      </x:c>
      <x:c r="I369" s="70" t="str">
        <x:v>校内成绩按学校规则；外考成绩不自动换GPA</x:v>
      </x:c>
      <x:c r="J369" s="70" t="str">
        <x:v>人工选择与审核</x:v>
      </x:c>
      <x:c r="K369" s="70" t="str">
        <x:v>未预填官方代码</x:v>
      </x:c>
      <x:c r="L369" s="70" t="str"/>
      <x:c r="M369" s="70" t="str">
        <x:v>V3-HK-A-INDEX</x:v>
      </x:c>
      <x:c r="N369" s="70" t="str">
        <x:v>https://www.hkeaa.edu.hk/en/hkdse/assessment/subject_information/category_a_subjects/</x:v>
      </x:c>
    </x:row>
    <x:row r="370" ht="72" customHeight="1">
      <x:c r="A370" s="71" t="str">
        <x:v>C369</x:v>
      </x:c>
      <x:c r="B370" s="70" t="str">
        <x:v>HKDSE-A</x:v>
      </x:c>
      <x:c r="C370" s="70" t="str">
        <x:v>学历学科</x:v>
      </x:c>
      <x:c r="D370" s="70" t="str">
        <x:v>Category A</x:v>
      </x:c>
      <x:c r="E370" s="70" t="str">
        <x:v>官方科目索引核对；逐科考核待补</x:v>
      </x:c>
      <x:c r="F370" s="70" t="str">
        <x:v>2026目录核对；2024后框架</x:v>
      </x:c>
      <x:c r="G370" s="70" t="str">
        <x:v>启用前按年份和本校授权复核</x:v>
      </x:c>
      <x:c r="H370" s="70" t="str">
        <x:v>课程目录层</x:v>
      </x:c>
      <x:c r="I370" s="70" t="str">
        <x:v>校内成绩按学校规则；外考成绩不自动换GPA</x:v>
      </x:c>
      <x:c r="J370" s="70" t="str">
        <x:v>人工选择与审核</x:v>
      </x:c>
      <x:c r="K370" s="70" t="str">
        <x:v>未预填官方代码</x:v>
      </x:c>
      <x:c r="L370" s="70" t="str"/>
      <x:c r="M370" s="70" t="str">
        <x:v>V3-HK-A-INDEX</x:v>
      </x:c>
      <x:c r="N370" s="70" t="str">
        <x:v>https://www.hkeaa.edu.hk/en/hkdse/assessment/subject_information/category_a_subjects/</x:v>
      </x:c>
    </x:row>
    <x:row r="371" ht="72" customHeight="1">
      <x:c r="A371" s="71" t="str">
        <x:v>C370</x:v>
      </x:c>
      <x:c r="B371" s="70" t="str">
        <x:v>HKDSE-A</x:v>
      </x:c>
      <x:c r="C371" s="70" t="str">
        <x:v>学历学科</x:v>
      </x:c>
      <x:c r="D371" s="70" t="str">
        <x:v>Category A</x:v>
      </x:c>
      <x:c r="E371" s="70" t="str">
        <x:v>官方科目索引核对；逐科考核待补</x:v>
      </x:c>
      <x:c r="F371" s="70" t="str">
        <x:v>2026目录核对；2024后框架</x:v>
      </x:c>
      <x:c r="G371" s="70" t="str">
        <x:v>启用前按年份和本校授权复核</x:v>
      </x:c>
      <x:c r="H371" s="70" t="str">
        <x:v>课程目录层</x:v>
      </x:c>
      <x:c r="I371" s="70" t="str">
        <x:v>校内成绩按学校规则；外考成绩不自动换GPA</x:v>
      </x:c>
      <x:c r="J371" s="70" t="str">
        <x:v>人工选择与审核</x:v>
      </x:c>
      <x:c r="K371" s="70" t="str">
        <x:v>未预填官方代码</x:v>
      </x:c>
      <x:c r="L371" s="70" t="str"/>
      <x:c r="M371" s="70" t="str">
        <x:v>V3-HK-A-INDEX</x:v>
      </x:c>
      <x:c r="N371" s="70" t="str">
        <x:v>https://www.hkeaa.edu.hk/en/hkdse/assessment/subject_information/category_a_subjects/</x:v>
      </x:c>
    </x:row>
    <x:row r="372" ht="72" customHeight="1">
      <x:c r="A372" s="71" t="str">
        <x:v>C371</x:v>
      </x:c>
      <x:c r="B372" s="70" t="str">
        <x:v>HKDSE-A</x:v>
      </x:c>
      <x:c r="C372" s="70" t="str">
        <x:v>学历学科</x:v>
      </x:c>
      <x:c r="D372" s="70" t="str">
        <x:v>Category A</x:v>
      </x:c>
      <x:c r="E372" s="70" t="str">
        <x:v>官方科目索引核对；逐科考核待补</x:v>
      </x:c>
      <x:c r="F372" s="70" t="str">
        <x:v>2026目录核对；2024后框架</x:v>
      </x:c>
      <x:c r="G372" s="70" t="str">
        <x:v>启用前按年份和本校授权复核</x:v>
      </x:c>
      <x:c r="H372" s="70" t="str">
        <x:v>课程目录层</x:v>
      </x:c>
      <x:c r="I372" s="70" t="str">
        <x:v>校内成绩按学校规则；外考成绩不自动换GPA</x:v>
      </x:c>
      <x:c r="J372" s="70" t="str">
        <x:v>人工选择与审核</x:v>
      </x:c>
      <x:c r="K372" s="70" t="str">
        <x:v>未预填官方代码</x:v>
      </x:c>
      <x:c r="L372" s="70" t="str"/>
      <x:c r="M372" s="70" t="str">
        <x:v>V3-HK-A-INDEX</x:v>
      </x:c>
      <x:c r="N372" s="70" t="str">
        <x:v>https://www.hkeaa.edu.hk/en/hkdse/assessment/subject_information/category_a_subjects/</x:v>
      </x:c>
    </x:row>
    <x:row r="373" ht="72" customHeight="1">
      <x:c r="A373" s="71" t="str">
        <x:v>C372</x:v>
      </x:c>
      <x:c r="B373" s="70" t="str">
        <x:v>HKDSE-A</x:v>
      </x:c>
      <x:c r="C373" s="70" t="str">
        <x:v>学历学科</x:v>
      </x:c>
      <x:c r="D373" s="70" t="str">
        <x:v>Category A</x:v>
      </x:c>
      <x:c r="E373" s="70" t="str">
        <x:v>官方科目索引核对；逐科考核待补</x:v>
      </x:c>
      <x:c r="F373" s="70" t="str">
        <x:v>2026目录核对；2024后框架</x:v>
      </x:c>
      <x:c r="G373" s="70" t="str">
        <x:v>启用前按年份和本校授权复核</x:v>
      </x:c>
      <x:c r="H373" s="70" t="str">
        <x:v>课程目录层</x:v>
      </x:c>
      <x:c r="I373" s="70" t="str">
        <x:v>校内成绩按学校规则；外考成绩不自动换GPA</x:v>
      </x:c>
      <x:c r="J373" s="70" t="str">
        <x:v>人工选择与审核</x:v>
      </x:c>
      <x:c r="K373" s="70" t="str">
        <x:v>未预填官方代码</x:v>
      </x:c>
      <x:c r="L373" s="70" t="str"/>
      <x:c r="M373" s="70" t="str">
        <x:v>V3-HK-A-INDEX</x:v>
      </x:c>
      <x:c r="N373" s="70" t="str">
        <x:v>https://www.hkeaa.edu.hk/en/hkdse/assessment/subject_information/category_a_subjects/</x:v>
      </x:c>
    </x:row>
    <x:row r="374" ht="72" customHeight="1">
      <x:c r="A374" s="71" t="str">
        <x:v>C373</x:v>
      </x:c>
      <x:c r="B374" s="70" t="str">
        <x:v>HKDSE-A</x:v>
      </x:c>
      <x:c r="C374" s="70" t="str">
        <x:v>学历学科</x:v>
      </x:c>
      <x:c r="D374" s="70" t="str">
        <x:v>Category A</x:v>
      </x:c>
      <x:c r="E374" s="70" t="str">
        <x:v>官方科目索引核对；逐科考核待补</x:v>
      </x:c>
      <x:c r="F374" s="70" t="str">
        <x:v>2026目录核对；2024后框架</x:v>
      </x:c>
      <x:c r="G374" s="70" t="str">
        <x:v>启用前按年份和本校授权复核</x:v>
      </x:c>
      <x:c r="H374" s="70" t="str">
        <x:v>课程目录层</x:v>
      </x:c>
      <x:c r="I374" s="70" t="str">
        <x:v>校内成绩按学校规则；外考成绩不自动换GPA</x:v>
      </x:c>
      <x:c r="J374" s="70" t="str">
        <x:v>人工选择与审核</x:v>
      </x:c>
      <x:c r="K374" s="70" t="str">
        <x:v>未预填官方代码</x:v>
      </x:c>
      <x:c r="L374" s="70" t="str"/>
      <x:c r="M374" s="70" t="str">
        <x:v>V3-HK-A-INDEX</x:v>
      </x:c>
      <x:c r="N374" s="70" t="str">
        <x:v>https://www.hkeaa.edu.hk/en/hkdse/assessment/subject_information/category_a_subjects/</x:v>
      </x:c>
    </x:row>
    <x:row r="375" ht="72" customHeight="1">
      <x:c r="A375" s="71" t="str">
        <x:v>C374</x:v>
      </x:c>
      <x:c r="B375" s="70" t="str">
        <x:v>HKDSE-A</x:v>
      </x:c>
      <x:c r="C375" s="70" t="str">
        <x:v>学历学科</x:v>
      </x:c>
      <x:c r="D375" s="70" t="str">
        <x:v>Category A</x:v>
      </x:c>
      <x:c r="E375" s="70" t="str">
        <x:v>官方科目索引核对；逐科考核待补</x:v>
      </x:c>
      <x:c r="F375" s="70" t="str">
        <x:v>2026目录核对；2024后框架</x:v>
      </x:c>
      <x:c r="G375" s="70" t="str">
        <x:v>启用前按年份和本校授权复核</x:v>
      </x:c>
      <x:c r="H375" s="70" t="str">
        <x:v>课程目录层</x:v>
      </x:c>
      <x:c r="I375" s="70" t="str">
        <x:v>校内成绩按学校规则；外考成绩不自动换GPA</x:v>
      </x:c>
      <x:c r="J375" s="70" t="str">
        <x:v>人工选择与审核</x:v>
      </x:c>
      <x:c r="K375" s="70" t="str">
        <x:v>未预填官方代码</x:v>
      </x:c>
      <x:c r="L375" s="70" t="str"/>
      <x:c r="M375" s="70" t="str">
        <x:v>V3-HK-A-INDEX</x:v>
      </x:c>
      <x:c r="N375" s="70" t="str">
        <x:v>https://www.hkeaa.edu.hk/en/hkdse/assessment/subject_information/category_a_subjects/</x:v>
      </x:c>
    </x:row>
    <x:row r="376" ht="72" customHeight="1">
      <x:c r="A376" s="71" t="str">
        <x:v>C375</x:v>
      </x:c>
      <x:c r="B376" s="70" t="str">
        <x:v>HKDSE-A</x:v>
      </x:c>
      <x:c r="C376" s="70" t="str">
        <x:v>学历学科</x:v>
      </x:c>
      <x:c r="D376" s="70" t="str">
        <x:v>Category A</x:v>
      </x:c>
      <x:c r="E376" s="70" t="str">
        <x:v>官方科目索引核对；逐科考核待补</x:v>
      </x:c>
      <x:c r="F376" s="70" t="str">
        <x:v>2026目录核对；2024后框架</x:v>
      </x:c>
      <x:c r="G376" s="70" t="str">
        <x:v>启用前按年份和本校授权复核</x:v>
      </x:c>
      <x:c r="H376" s="70" t="str">
        <x:v>课程目录层</x:v>
      </x:c>
      <x:c r="I376" s="70" t="str">
        <x:v>校内成绩按学校规则；外考成绩不自动换GPA</x:v>
      </x:c>
      <x:c r="J376" s="70" t="str">
        <x:v>人工选择与审核</x:v>
      </x:c>
      <x:c r="K376" s="70" t="str">
        <x:v>未预填官方代码</x:v>
      </x:c>
      <x:c r="L376" s="70" t="str"/>
      <x:c r="M376" s="70" t="str">
        <x:v>V3-HK-A-INDEX</x:v>
      </x:c>
      <x:c r="N376" s="70" t="str">
        <x:v>https://www.hkeaa.edu.hk/en/hkdse/assessment/subject_information/category_a_subjects/</x:v>
      </x:c>
    </x:row>
    <x:row r="377" ht="72" customHeight="1">
      <x:c r="A377" s="71" t="str">
        <x:v>C376</x:v>
      </x:c>
      <x:c r="B377" s="70" t="str">
        <x:v>HKDSE-A</x:v>
      </x:c>
      <x:c r="C377" s="70" t="str">
        <x:v>学历学科</x:v>
      </x:c>
      <x:c r="D377" s="70" t="str">
        <x:v>Category A</x:v>
      </x:c>
      <x:c r="E377" s="70" t="str">
        <x:v>官方科目索引核对；逐科考核待补</x:v>
      </x:c>
      <x:c r="F377" s="70" t="str">
        <x:v>2026目录核对；2024后框架</x:v>
      </x:c>
      <x:c r="G377" s="70" t="str">
        <x:v>启用前按年份和本校授权复核</x:v>
      </x:c>
      <x:c r="H377" s="70" t="str">
        <x:v>课程目录层</x:v>
      </x:c>
      <x:c r="I377" s="70" t="str">
        <x:v>校内成绩按学校规则；外考成绩不自动换GPA</x:v>
      </x:c>
      <x:c r="J377" s="70" t="str">
        <x:v>人工选择与审核</x:v>
      </x:c>
      <x:c r="K377" s="70" t="str">
        <x:v>未预填官方代码</x:v>
      </x:c>
      <x:c r="L377" s="70" t="str"/>
      <x:c r="M377" s="70" t="str">
        <x:v>V3-HK-A-INDEX</x:v>
      </x:c>
      <x:c r="N377" s="70" t="str">
        <x:v>https://www.hkeaa.edu.hk/en/hkdse/assessment/subject_information/category_a_subjects/</x:v>
      </x:c>
    </x:row>
    <x:row r="378" ht="72" customHeight="1">
      <x:c r="A378" s="71" t="str">
        <x:v>C377</x:v>
      </x:c>
      <x:c r="B378" s="70" t="str">
        <x:v>HKDSE-A</x:v>
      </x:c>
      <x:c r="C378" s="70" t="str">
        <x:v>学历学科</x:v>
      </x:c>
      <x:c r="D378" s="70" t="str">
        <x:v>Category A</x:v>
      </x:c>
      <x:c r="E378" s="70" t="str">
        <x:v>官方科目索引核对；逐科考核待补</x:v>
      </x:c>
      <x:c r="F378" s="70" t="str">
        <x:v>2026目录核对；2024后框架</x:v>
      </x:c>
      <x:c r="G378" s="70" t="str">
        <x:v>启用前按年份和本校授权复核</x:v>
      </x:c>
      <x:c r="H378" s="70" t="str">
        <x:v>课程目录层</x:v>
      </x:c>
      <x:c r="I378" s="70" t="str">
        <x:v>校内成绩按学校规则；外考成绩不自动换GPA</x:v>
      </x:c>
      <x:c r="J378" s="70" t="str">
        <x:v>人工选择与审核</x:v>
      </x:c>
      <x:c r="K378" s="70" t="str">
        <x:v>未预填官方代码</x:v>
      </x:c>
      <x:c r="L378" s="70" t="str"/>
      <x:c r="M378" s="70" t="str">
        <x:v>V3-HK-A-INDEX</x:v>
      </x:c>
      <x:c r="N378" s="70" t="str">
        <x:v>https://www.hkeaa.edu.hk/en/hkdse/assessment/subject_information/category_a_subjects/</x:v>
      </x:c>
    </x:row>
    <x:row r="379" ht="72" customHeight="1">
      <x:c r="A379" s="71" t="str">
        <x:v>C378</x:v>
      </x:c>
      <x:c r="B379" s="70" t="str">
        <x:v>HKDSE-A</x:v>
      </x:c>
      <x:c r="C379" s="70" t="str">
        <x:v>学历学科</x:v>
      </x:c>
      <x:c r="D379" s="70" t="str">
        <x:v>Category A</x:v>
      </x:c>
      <x:c r="E379" s="70" t="str">
        <x:v>官方科目索引核对；逐科考核待补</x:v>
      </x:c>
      <x:c r="F379" s="70" t="str">
        <x:v>2026目录核对；2024后框架</x:v>
      </x:c>
      <x:c r="G379" s="70" t="str">
        <x:v>启用前按年份和本校授权复核</x:v>
      </x:c>
      <x:c r="H379" s="70" t="str">
        <x:v>课程目录层</x:v>
      </x:c>
      <x:c r="I379" s="70" t="str">
        <x:v>校内成绩按学校规则；外考成绩不自动换GPA</x:v>
      </x:c>
      <x:c r="J379" s="70" t="str">
        <x:v>人工选择与审核</x:v>
      </x:c>
      <x:c r="K379" s="70" t="str">
        <x:v>未预填官方代码</x:v>
      </x:c>
      <x:c r="L379" s="70" t="str"/>
      <x:c r="M379" s="70" t="str">
        <x:v>V3-HK-A-INDEX</x:v>
      </x:c>
      <x:c r="N379" s="70" t="str">
        <x:v>https://www.hkeaa.edu.hk/en/hkdse/assessment/subject_information/category_a_subjects/</x:v>
      </x:c>
    </x:row>
    <x:row r="380" ht="72" customHeight="1">
      <x:c r="A380" s="71" t="str">
        <x:v>C379</x:v>
      </x:c>
      <x:c r="B380" s="70" t="str">
        <x:v>HKDSE-A</x:v>
      </x:c>
      <x:c r="C380" s="70" t="str">
        <x:v>学历学科</x:v>
      </x:c>
      <x:c r="D380" s="70" t="str">
        <x:v>Category A</x:v>
      </x:c>
      <x:c r="E380" s="70" t="str">
        <x:v>官方科目索引核对；逐科考核待补</x:v>
      </x:c>
      <x:c r="F380" s="70" t="str">
        <x:v>2026目录核对；2024后框架</x:v>
      </x:c>
      <x:c r="G380" s="70" t="str">
        <x:v>启用前按年份和本校授权复核</x:v>
      </x:c>
      <x:c r="H380" s="70" t="str">
        <x:v>课程目录层</x:v>
      </x:c>
      <x:c r="I380" s="70" t="str">
        <x:v>校内成绩按学校规则；外考成绩不自动换GPA</x:v>
      </x:c>
      <x:c r="J380" s="70" t="str">
        <x:v>人工选择与审核</x:v>
      </x:c>
      <x:c r="K380" s="70" t="str">
        <x:v>未预填官方代码</x:v>
      </x:c>
      <x:c r="L380" s="70" t="str"/>
      <x:c r="M380" s="70" t="str">
        <x:v>V3-HK-A-INDEX</x:v>
      </x:c>
      <x:c r="N380" s="70" t="str">
        <x:v>https://www.hkeaa.edu.hk/en/hkdse/assessment/subject_information/category_a_subjects/</x:v>
      </x:c>
    </x:row>
    <x:row r="381" ht="72" customHeight="1">
      <x:c r="A381" s="71" t="str">
        <x:v>C380</x:v>
      </x:c>
      <x:c r="B381" s="70" t="str">
        <x:v>HKDSE-A</x:v>
      </x:c>
      <x:c r="C381" s="70" t="str">
        <x:v>学历学科</x:v>
      </x:c>
      <x:c r="D381" s="70" t="str">
        <x:v>Category A</x:v>
      </x:c>
      <x:c r="E381" s="70" t="str">
        <x:v>官方科目索引核对；逐科考核待补</x:v>
      </x:c>
      <x:c r="F381" s="70" t="str">
        <x:v>2026目录核对；2024后框架</x:v>
      </x:c>
      <x:c r="G381" s="70" t="str">
        <x:v>启用前按年份和本校授权复核</x:v>
      </x:c>
      <x:c r="H381" s="70" t="str">
        <x:v>课程目录层</x:v>
      </x:c>
      <x:c r="I381" s="70" t="str">
        <x:v>校内成绩按学校规则；外考成绩不自动换GPA</x:v>
      </x:c>
      <x:c r="J381" s="70" t="str">
        <x:v>人工选择与审核</x:v>
      </x:c>
      <x:c r="K381" s="70" t="str">
        <x:v>未预填官方代码</x:v>
      </x:c>
      <x:c r="L381" s="70" t="str"/>
      <x:c r="M381" s="70" t="str">
        <x:v>V3-HK-A-INDEX</x:v>
      </x:c>
      <x:c r="N381" s="70" t="str">
        <x:v>https://www.hkeaa.edu.hk/en/hkdse/assessment/subject_information/category_a_subjects/</x:v>
      </x:c>
    </x:row>
    <x:row r="382" ht="72" customHeight="1">
      <x:c r="A382" s="71" t="str">
        <x:v>C381</x:v>
      </x:c>
      <x:c r="B382" s="70" t="str">
        <x:v>HKDSE-A</x:v>
      </x:c>
      <x:c r="C382" s="70" t="str">
        <x:v>学历学科</x:v>
      </x:c>
      <x:c r="D382" s="70" t="str">
        <x:v>Category A</x:v>
      </x:c>
      <x:c r="E382" s="70" t="str">
        <x:v>官方科目索引核对；逐科考核待补</x:v>
      </x:c>
      <x:c r="F382" s="70" t="str">
        <x:v>2026目录核对；2024后框架</x:v>
      </x:c>
      <x:c r="G382" s="70" t="str">
        <x:v>启用前按年份和本校授权复核</x:v>
      </x:c>
      <x:c r="H382" s="70" t="str">
        <x:v>课程目录层</x:v>
      </x:c>
      <x:c r="I382" s="70" t="str">
        <x:v>校内成绩按学校规则；外考成绩不自动换GPA</x:v>
      </x:c>
      <x:c r="J382" s="70" t="str">
        <x:v>人工选择与审核</x:v>
      </x:c>
      <x:c r="K382" s="70" t="str">
        <x:v>未预填官方代码</x:v>
      </x:c>
      <x:c r="L382" s="70" t="str"/>
      <x:c r="M382" s="70" t="str">
        <x:v>V3-HK-A-INDEX</x:v>
      </x:c>
      <x:c r="N382" s="70" t="str">
        <x:v>https://www.hkeaa.edu.hk/en/hkdse/assessment/subject_information/category_a_subjects/</x:v>
      </x:c>
    </x:row>
    <x:row r="383" ht="72" customHeight="1">
      <x:c r="A383" s="71" t="str">
        <x:v>C382</x:v>
      </x:c>
      <x:c r="B383" s="70" t="str">
        <x:v>HKDSE-A</x:v>
      </x:c>
      <x:c r="C383" s="70" t="str">
        <x:v>学历学科</x:v>
      </x:c>
      <x:c r="D383" s="70" t="str">
        <x:v>Category A</x:v>
      </x:c>
      <x:c r="E383" s="70" t="str">
        <x:v>官方科目索引核对；逐科考核待补</x:v>
      </x:c>
      <x:c r="F383" s="70" t="str">
        <x:v>2026目录核对；2024后框架</x:v>
      </x:c>
      <x:c r="G383" s="70" t="str">
        <x:v>启用前按年份和本校授权复核</x:v>
      </x:c>
      <x:c r="H383" s="70" t="str">
        <x:v>课程目录层</x:v>
      </x:c>
      <x:c r="I383" s="70" t="str">
        <x:v>校内成绩按学校规则；外考成绩不自动换GPA</x:v>
      </x:c>
      <x:c r="J383" s="70" t="str">
        <x:v>人工选择与审核</x:v>
      </x:c>
      <x:c r="K383" s="70" t="str">
        <x:v>未预填官方代码</x:v>
      </x:c>
      <x:c r="L383" s="70" t="str"/>
      <x:c r="M383" s="70" t="str">
        <x:v>V3-HK-A-INDEX</x:v>
      </x:c>
      <x:c r="N383" s="70" t="str">
        <x:v>https://www.hkeaa.edu.hk/en/hkdse/assessment/subject_information/category_a_subjects/</x:v>
      </x:c>
    </x:row>
    <x:row r="384" ht="72" customHeight="1">
      <x:c r="A384" s="71" t="str">
        <x:v>C383</x:v>
      </x:c>
      <x:c r="B384" s="70" t="str">
        <x:v>HKDSE-C</x:v>
      </x:c>
      <x:c r="C384" s="70" t="str">
        <x:v>学历学科</x:v>
      </x:c>
      <x:c r="D384" s="70" t="str">
        <x:v>Category C</x:v>
      </x:c>
      <x:c r="E384" s="70" t="str">
        <x:v>类别安排已核／具体考试映射待核</x:v>
      </x:c>
      <x:c r="F384" s="70" t="str">
        <x:v>2025起新安排；Urdu自2026</x:v>
      </x:c>
      <x:c r="G384" s="70" t="str">
        <x:v>启用前按年份和本校授权复核</x:v>
      </x:c>
      <x:c r="H384" s="70" t="str">
        <x:v>课程目录层</x:v>
      </x:c>
      <x:c r="I384" s="70" t="str">
        <x:v>校内成绩按学校规则；外考成绩不自动换GPA</x:v>
      </x:c>
      <x:c r="J384" s="70" t="str">
        <x:v>人工选择与审核</x:v>
      </x:c>
      <x:c r="K384" s="70" t="str">
        <x:v>未预填官方代码</x:v>
      </x:c>
      <x:c r="L384" s="70" t="str"/>
      <x:c r="M384" s="70" t="str">
        <x:v>V3-HK-C</x:v>
      </x:c>
      <x:c r="N384" s="70" t="str">
        <x:v>https://www.hkeaa.edu.hk/en/hkdse/assessment/subject_information/category_c_subjects/</x:v>
      </x:c>
    </x:row>
    <x:row r="385" ht="72" customHeight="1">
      <x:c r="A385" s="71" t="str">
        <x:v>C384</x:v>
      </x:c>
      <x:c r="B385" s="70" t="str">
        <x:v>HKDSE-C</x:v>
      </x:c>
      <x:c r="C385" s="70" t="str">
        <x:v>学历学科</x:v>
      </x:c>
      <x:c r="D385" s="70" t="str">
        <x:v>Category C</x:v>
      </x:c>
      <x:c r="E385" s="70" t="str">
        <x:v>类别安排已核／具体考试映射待核</x:v>
      </x:c>
      <x:c r="F385" s="70" t="str">
        <x:v>2025起新安排；Urdu自2026</x:v>
      </x:c>
      <x:c r="G385" s="70" t="str">
        <x:v>启用前按年份和本校授权复核</x:v>
      </x:c>
      <x:c r="H385" s="70" t="str">
        <x:v>课程目录层</x:v>
      </x:c>
      <x:c r="I385" s="70" t="str">
        <x:v>校内成绩按学校规则；外考成绩不自动换GPA</x:v>
      </x:c>
      <x:c r="J385" s="70" t="str">
        <x:v>人工选择与审核</x:v>
      </x:c>
      <x:c r="K385" s="70" t="str">
        <x:v>未预填官方代码</x:v>
      </x:c>
      <x:c r="L385" s="70" t="str"/>
      <x:c r="M385" s="70" t="str">
        <x:v>V3-HK-C</x:v>
      </x:c>
      <x:c r="N385" s="70" t="str">
        <x:v>https://www.hkeaa.edu.hk/en/hkdse/assessment/subject_information/category_c_subjects/</x:v>
      </x:c>
    </x:row>
    <x:row r="386" ht="72" customHeight="1">
      <x:c r="A386" s="71" t="str">
        <x:v>C385</x:v>
      </x:c>
      <x:c r="B386" s="70" t="str">
        <x:v>HKDSE-C</x:v>
      </x:c>
      <x:c r="C386" s="70" t="str">
        <x:v>学历学科</x:v>
      </x:c>
      <x:c r="D386" s="70" t="str">
        <x:v>Category C</x:v>
      </x:c>
      <x:c r="E386" s="70" t="str">
        <x:v>类别安排已核／具体考试映射待核</x:v>
      </x:c>
      <x:c r="F386" s="70" t="str">
        <x:v>2025起新安排；Urdu自2026</x:v>
      </x:c>
      <x:c r="G386" s="70" t="str">
        <x:v>启用前按年份和本校授权复核</x:v>
      </x:c>
      <x:c r="H386" s="70" t="str">
        <x:v>课程目录层</x:v>
      </x:c>
      <x:c r="I386" s="70" t="str">
        <x:v>校内成绩按学校规则；外考成绩不自动换GPA</x:v>
      </x:c>
      <x:c r="J386" s="70" t="str">
        <x:v>人工选择与审核</x:v>
      </x:c>
      <x:c r="K386" s="70" t="str">
        <x:v>未预填官方代码</x:v>
      </x:c>
      <x:c r="L386" s="70" t="str"/>
      <x:c r="M386" s="70" t="str">
        <x:v>V3-HK-C</x:v>
      </x:c>
      <x:c r="N386" s="70" t="str">
        <x:v>https://www.hkeaa.edu.hk/en/hkdse/assessment/subject_information/category_c_subjects/</x:v>
      </x:c>
    </x:row>
    <x:row r="387" ht="72" customHeight="1">
      <x:c r="A387" s="71" t="str">
        <x:v>C386</x:v>
      </x:c>
      <x:c r="B387" s="70" t="str">
        <x:v>HKDSE-C</x:v>
      </x:c>
      <x:c r="C387" s="70" t="str">
        <x:v>学历学科</x:v>
      </x:c>
      <x:c r="D387" s="70" t="str">
        <x:v>Category C</x:v>
      </x:c>
      <x:c r="E387" s="70" t="str">
        <x:v>类别安排已核／具体考试映射待核</x:v>
      </x:c>
      <x:c r="F387" s="70" t="str">
        <x:v>2025起新安排；Urdu自2026</x:v>
      </x:c>
      <x:c r="G387" s="70" t="str">
        <x:v>启用前按年份和本校授权复核</x:v>
      </x:c>
      <x:c r="H387" s="70" t="str">
        <x:v>课程目录层</x:v>
      </x:c>
      <x:c r="I387" s="70" t="str">
        <x:v>校内成绩按学校规则；外考成绩不自动换GPA</x:v>
      </x:c>
      <x:c r="J387" s="70" t="str">
        <x:v>人工选择与审核</x:v>
      </x:c>
      <x:c r="K387" s="70" t="str">
        <x:v>未预填官方代码</x:v>
      </x:c>
      <x:c r="L387" s="70" t="str"/>
      <x:c r="M387" s="70" t="str">
        <x:v>V3-HK-C</x:v>
      </x:c>
      <x:c r="N387" s="70" t="str">
        <x:v>https://www.hkeaa.edu.hk/en/hkdse/assessment/subject_information/category_c_subjects/</x:v>
      </x:c>
    </x:row>
    <x:row r="388" ht="72" customHeight="1">
      <x:c r="A388" s="71" t="str">
        <x:v>C387</x:v>
      </x:c>
      <x:c r="B388" s="70" t="str">
        <x:v>HKDSE-C</x:v>
      </x:c>
      <x:c r="C388" s="70" t="str">
        <x:v>学历学科</x:v>
      </x:c>
      <x:c r="D388" s="70" t="str">
        <x:v>Category C</x:v>
      </x:c>
      <x:c r="E388" s="70" t="str">
        <x:v>类别安排已核／具体考试映射待核</x:v>
      </x:c>
      <x:c r="F388" s="70" t="str">
        <x:v>2025起新安排；Urdu自2026</x:v>
      </x:c>
      <x:c r="G388" s="70" t="str">
        <x:v>启用前按年份和本校授权复核</x:v>
      </x:c>
      <x:c r="H388" s="70" t="str">
        <x:v>课程目录层</x:v>
      </x:c>
      <x:c r="I388" s="70" t="str">
        <x:v>校内成绩按学校规则；外考成绩不自动换GPA</x:v>
      </x:c>
      <x:c r="J388" s="70" t="str">
        <x:v>人工选择与审核</x:v>
      </x:c>
      <x:c r="K388" s="70" t="str">
        <x:v>未预填官方代码</x:v>
      </x:c>
      <x:c r="L388" s="70" t="str"/>
      <x:c r="M388" s="70" t="str">
        <x:v>V3-HK-C</x:v>
      </x:c>
      <x:c r="N388" s="70" t="str">
        <x:v>https://www.hkeaa.edu.hk/en/hkdse/assessment/subject_information/category_c_subjects/</x:v>
      </x:c>
    </x:row>
    <x:row r="389" ht="72" customHeight="1">
      <x:c r="A389" s="71" t="str">
        <x:v>C388</x:v>
      </x:c>
      <x:c r="B389" s="70" t="str">
        <x:v>HKDSE-C</x:v>
      </x:c>
      <x:c r="C389" s="70" t="str">
        <x:v>学历学科</x:v>
      </x:c>
      <x:c r="D389" s="70" t="str">
        <x:v>Category C</x:v>
      </x:c>
      <x:c r="E389" s="70" t="str">
        <x:v>类别安排已核／具体考试映射待核</x:v>
      </x:c>
      <x:c r="F389" s="70" t="str">
        <x:v>2025起新安排；Urdu自2026</x:v>
      </x:c>
      <x:c r="G389" s="70" t="str">
        <x:v>启用前按年份和本校授权复核</x:v>
      </x:c>
      <x:c r="H389" s="70" t="str">
        <x:v>课程目录层</x:v>
      </x:c>
      <x:c r="I389" s="70" t="str">
        <x:v>校内成绩按学校规则；外考成绩不自动换GPA</x:v>
      </x:c>
      <x:c r="J389" s="70" t="str">
        <x:v>人工选择与审核</x:v>
      </x:c>
      <x:c r="K389" s="70" t="str">
        <x:v>未预填官方代码</x:v>
      </x:c>
      <x:c r="L389" s="70" t="str"/>
      <x:c r="M389" s="70" t="str">
        <x:v>V3-HK-C-2026</x:v>
      </x:c>
      <x:c r="N389" s="70" t="str">
        <x:v>https://www.info.gov.hk/gia/general/202606/23/P2026062300228.htm</x:v>
      </x:c>
    </x:row>
    <x:row r="390" ht="72" customHeight="1">
      <x:c r="A390" s="71" t="str">
        <x:v>C389</x:v>
      </x:c>
      <x:c r="B390" s="70" t="str">
        <x:v>CA-BC</x:v>
      </x:c>
      <x:c r="C390" s="70" t="str">
        <x:v>学历学科</x:v>
      </x:c>
      <x:c r="D390" s="70" t="str">
        <x:v>Grade 12</x:v>
      </x:c>
      <x:c r="E390" s="70" t="str">
        <x:v>目录层核对</x:v>
      </x:c>
      <x:c r="F390" s="70" t="str">
        <x:v>2026-09-17目录快照；按开课/考试年份复核</x:v>
      </x:c>
      <x:c r="G390" s="70" t="str">
        <x:v>启用前按年份和本校授权复核</x:v>
      </x:c>
      <x:c r="H390" s="70" t="str">
        <x:v>课程目录层</x:v>
      </x:c>
      <x:c r="I390" s="70" t="str">
        <x:v>校内成绩按学校规则；外考成绩不自动换GPA</x:v>
      </x:c>
      <x:c r="J390" s="70" t="str">
        <x:v>人工选择与审核</x:v>
      </x:c>
      <x:c r="K390" s="70" t="str">
        <x:v>未预填官方代码</x:v>
      </x:c>
      <x:c r="L390" s="70" t="str"/>
      <x:c r="M390" s="70" t="str">
        <x:v>V3-BC-SC</x:v>
      </x:c>
      <x:c r="N390" s="70" t="str">
        <x:v>https://curriculum.gov.bc.ca/curriculum/science/12/courses</x:v>
      </x:c>
    </x:row>
    <x:row r="391" ht="72" customHeight="1">
      <x:c r="A391" s="71" t="str">
        <x:v>C390</x:v>
      </x:c>
      <x:c r="B391" s="70" t="str">
        <x:v>CA-BC</x:v>
      </x:c>
      <x:c r="C391" s="70" t="str">
        <x:v>学历学科</x:v>
      </x:c>
      <x:c r="D391" s="70" t="str">
        <x:v>Grade 12</x:v>
      </x:c>
      <x:c r="E391" s="70" t="str">
        <x:v>目录层核对</x:v>
      </x:c>
      <x:c r="F391" s="70" t="str">
        <x:v>2026-09-17目录快照；按开课/考试年份复核</x:v>
      </x:c>
      <x:c r="G391" s="70" t="str">
        <x:v>启用前按年份和本校授权复核</x:v>
      </x:c>
      <x:c r="H391" s="70" t="str">
        <x:v>课程目录层</x:v>
      </x:c>
      <x:c r="I391" s="70" t="str">
        <x:v>校内成绩按学校规则；外考成绩不自动换GPA</x:v>
      </x:c>
      <x:c r="J391" s="70" t="str">
        <x:v>人工选择与审核</x:v>
      </x:c>
      <x:c r="K391" s="70" t="str">
        <x:v>未预填官方代码</x:v>
      </x:c>
      <x:c r="L391" s="70" t="str"/>
      <x:c r="M391" s="70" t="str">
        <x:v>V3-BC-SC</x:v>
      </x:c>
      <x:c r="N391" s="70" t="str">
        <x:v>https://curriculum.gov.bc.ca/curriculum/science/12/courses</x:v>
      </x:c>
    </x:row>
    <x:row r="392" ht="72" customHeight="1">
      <x:c r="A392" s="71" t="str">
        <x:v>C391</x:v>
      </x:c>
      <x:c r="B392" s="70" t="str">
        <x:v>CA-BC</x:v>
      </x:c>
      <x:c r="C392" s="70" t="str">
        <x:v>学历学科</x:v>
      </x:c>
      <x:c r="D392" s="70" t="str">
        <x:v>Grade 12</x:v>
      </x:c>
      <x:c r="E392" s="70" t="str">
        <x:v>目录层核对</x:v>
      </x:c>
      <x:c r="F392" s="70" t="str">
        <x:v>2026-09-17目录快照；按开课/考试年份复核</x:v>
      </x:c>
      <x:c r="G392" s="70" t="str">
        <x:v>启用前按年份和本校授权复核</x:v>
      </x:c>
      <x:c r="H392" s="70" t="str">
        <x:v>课程目录层</x:v>
      </x:c>
      <x:c r="I392" s="70" t="str">
        <x:v>校内成绩按学校规则；外考成绩不自动换GPA</x:v>
      </x:c>
      <x:c r="J392" s="70" t="str">
        <x:v>人工选择与审核</x:v>
      </x:c>
      <x:c r="K392" s="70" t="str">
        <x:v>未预填官方代码</x:v>
      </x:c>
      <x:c r="L392" s="70" t="str"/>
      <x:c r="M392" s="70" t="str">
        <x:v>V3-BC-SC</x:v>
      </x:c>
      <x:c r="N392" s="70" t="str">
        <x:v>https://curriculum.gov.bc.ca/curriculum/science/12/courses</x:v>
      </x:c>
    </x:row>
    <x:row r="393" ht="72" customHeight="1">
      <x:c r="A393" s="71" t="str">
        <x:v>C392</x:v>
      </x:c>
      <x:c r="B393" s="70" t="str">
        <x:v>CA-BC</x:v>
      </x:c>
      <x:c r="C393" s="70" t="str">
        <x:v>学历学科</x:v>
      </x:c>
      <x:c r="D393" s="70" t="str">
        <x:v>Grade 12</x:v>
      </x:c>
      <x:c r="E393" s="70" t="str">
        <x:v>目录层核对</x:v>
      </x:c>
      <x:c r="F393" s="70" t="str">
        <x:v>2026-09-17目录快照；按开课/考试年份复核</x:v>
      </x:c>
      <x:c r="G393" s="70" t="str">
        <x:v>启用前按年份和本校授权复核</x:v>
      </x:c>
      <x:c r="H393" s="70" t="str">
        <x:v>课程目录层</x:v>
      </x:c>
      <x:c r="I393" s="70" t="str">
        <x:v>校内成绩按学校规则；外考成绩不自动换GPA</x:v>
      </x:c>
      <x:c r="J393" s="70" t="str">
        <x:v>人工选择与审核</x:v>
      </x:c>
      <x:c r="K393" s="70" t="str">
        <x:v>未预填官方代码</x:v>
      </x:c>
      <x:c r="L393" s="70" t="str"/>
      <x:c r="M393" s="70" t="str">
        <x:v>V3-BC-SC</x:v>
      </x:c>
      <x:c r="N393" s="70" t="str">
        <x:v>https://curriculum.gov.bc.ca/curriculum/science/12/courses</x:v>
      </x:c>
    </x:row>
    <x:row r="394" ht="72" customHeight="1">
      <x:c r="A394" s="71" t="str">
        <x:v>C393</x:v>
      </x:c>
      <x:c r="B394" s="70" t="str">
        <x:v>CA-BC</x:v>
      </x:c>
      <x:c r="C394" s="70" t="str">
        <x:v>学历学科</x:v>
      </x:c>
      <x:c r="D394" s="70" t="str">
        <x:v>Grade 12</x:v>
      </x:c>
      <x:c r="E394" s="70" t="str">
        <x:v>目录层核对</x:v>
      </x:c>
      <x:c r="F394" s="70" t="str">
        <x:v>2026-09-17目录快照；按开课/考试年份复核</x:v>
      </x:c>
      <x:c r="G394" s="70" t="str">
        <x:v>启用前按年份和本校授权复核</x:v>
      </x:c>
      <x:c r="H394" s="70" t="str">
        <x:v>课程目录层</x:v>
      </x:c>
      <x:c r="I394" s="70" t="str">
        <x:v>校内成绩按学校规则；外考成绩不自动换GPA</x:v>
      </x:c>
      <x:c r="J394" s="70" t="str">
        <x:v>人工选择与审核</x:v>
      </x:c>
      <x:c r="K394" s="70" t="str">
        <x:v>未预填官方代码</x:v>
      </x:c>
      <x:c r="L394" s="70" t="str"/>
      <x:c r="M394" s="70" t="str">
        <x:v>V3-BC-SC</x:v>
      </x:c>
      <x:c r="N394" s="70" t="str">
        <x:v>https://curriculum.gov.bc.ca/curriculum/science/12/courses</x:v>
      </x:c>
    </x:row>
    <x:row r="395" ht="72" customHeight="1">
      <x:c r="A395" s="71" t="str">
        <x:v>C394</x:v>
      </x:c>
      <x:c r="B395" s="70" t="str">
        <x:v>CA-BC</x:v>
      </x:c>
      <x:c r="C395" s="70" t="str">
        <x:v>学历学科</x:v>
      </x:c>
      <x:c r="D395" s="70" t="str">
        <x:v>Grade 12</x:v>
      </x:c>
      <x:c r="E395" s="70" t="str">
        <x:v>目录层核对</x:v>
      </x:c>
      <x:c r="F395" s="70" t="str">
        <x:v>2026-09-17目录快照；按开课/考试年份复核</x:v>
      </x:c>
      <x:c r="G395" s="70" t="str">
        <x:v>启用前按年份和本校授权复核</x:v>
      </x:c>
      <x:c r="H395" s="70" t="str">
        <x:v>课程目录层</x:v>
      </x:c>
      <x:c r="I395" s="70" t="str">
        <x:v>校内成绩按学校规则；外考成绩不自动换GPA</x:v>
      </x:c>
      <x:c r="J395" s="70" t="str">
        <x:v>人工选择与审核</x:v>
      </x:c>
      <x:c r="K395" s="70" t="str">
        <x:v>未预填官方代码</x:v>
      </x:c>
      <x:c r="L395" s="70" t="str"/>
      <x:c r="M395" s="70" t="str">
        <x:v>V3-BC-SC</x:v>
      </x:c>
      <x:c r="N395" s="70" t="str">
        <x:v>https://curriculum.gov.bc.ca/curriculum/science/12/courses</x:v>
      </x:c>
    </x:row>
    <x:row r="396" ht="72" customHeight="1">
      <x:c r="A396" s="71" t="str">
        <x:v>C395</x:v>
      </x:c>
      <x:c r="B396" s="70" t="str">
        <x:v>CA-BC</x:v>
      </x:c>
      <x:c r="C396" s="70" t="str">
        <x:v>学历学科</x:v>
      </x:c>
      <x:c r="D396" s="70" t="str">
        <x:v>Grade 12</x:v>
      </x:c>
      <x:c r="E396" s="70" t="str">
        <x:v>目录层核对</x:v>
      </x:c>
      <x:c r="F396" s="70" t="str">
        <x:v>2026-09-17目录快照；按开课/考试年份复核</x:v>
      </x:c>
      <x:c r="G396" s="70" t="str">
        <x:v>启用前按年份和本校授权复核</x:v>
      </x:c>
      <x:c r="H396" s="70" t="str">
        <x:v>课程目录层</x:v>
      </x:c>
      <x:c r="I396" s="70" t="str">
        <x:v>校内成绩按学校规则；外考成绩不自动换GPA</x:v>
      </x:c>
      <x:c r="J396" s="70" t="str">
        <x:v>人工选择与审核</x:v>
      </x:c>
      <x:c r="K396" s="70" t="str">
        <x:v>未预填官方代码</x:v>
      </x:c>
      <x:c r="L396" s="70" t="str"/>
      <x:c r="M396" s="70" t="str">
        <x:v>V3-BC-MA</x:v>
      </x:c>
      <x:c r="N396" s="70" t="str">
        <x:v>https://curriculum.gov.bc.ca/curriculum/mathematics/12/courses</x:v>
      </x:c>
    </x:row>
    <x:row r="397" ht="72" customHeight="1">
      <x:c r="A397" s="71" t="str">
        <x:v>C396</x:v>
      </x:c>
      <x:c r="B397" s="70" t="str">
        <x:v>CA-BC</x:v>
      </x:c>
      <x:c r="C397" s="70" t="str">
        <x:v>学历学科</x:v>
      </x:c>
      <x:c r="D397" s="70" t="str">
        <x:v>Grade 12</x:v>
      </x:c>
      <x:c r="E397" s="70" t="str">
        <x:v>目录层核对</x:v>
      </x:c>
      <x:c r="F397" s="70" t="str">
        <x:v>2026-09-17目录快照；按开课/考试年份复核</x:v>
      </x:c>
      <x:c r="G397" s="70" t="str">
        <x:v>启用前按年份和本校授权复核</x:v>
      </x:c>
      <x:c r="H397" s="70" t="str">
        <x:v>课程目录层</x:v>
      </x:c>
      <x:c r="I397" s="70" t="str">
        <x:v>校内成绩按学校规则；外考成绩不自动换GPA</x:v>
      </x:c>
      <x:c r="J397" s="70" t="str">
        <x:v>人工选择与审核</x:v>
      </x:c>
      <x:c r="K397" s="70" t="str">
        <x:v>未预填官方代码</x:v>
      </x:c>
      <x:c r="L397" s="70" t="str"/>
      <x:c r="M397" s="70" t="str">
        <x:v>V3-BC-MA</x:v>
      </x:c>
      <x:c r="N397" s="70" t="str">
        <x:v>https://curriculum.gov.bc.ca/curriculum/mathematics/12/courses</x:v>
      </x:c>
    </x:row>
    <x:row r="398" ht="72" customHeight="1">
      <x:c r="A398" s="71" t="str">
        <x:v>C397</x:v>
      </x:c>
      <x:c r="B398" s="70" t="str">
        <x:v>CA-BC</x:v>
      </x:c>
      <x:c r="C398" s="70" t="str">
        <x:v>学历学科</x:v>
      </x:c>
      <x:c r="D398" s="70" t="str">
        <x:v>Grade 12</x:v>
      </x:c>
      <x:c r="E398" s="70" t="str">
        <x:v>目录层核对</x:v>
      </x:c>
      <x:c r="F398" s="70" t="str">
        <x:v>2026-09-17目录快照；按开课/考试年份复核</x:v>
      </x:c>
      <x:c r="G398" s="70" t="str">
        <x:v>启用前按年份和本校授权复核</x:v>
      </x:c>
      <x:c r="H398" s="70" t="str">
        <x:v>课程目录层</x:v>
      </x:c>
      <x:c r="I398" s="70" t="str">
        <x:v>校内成绩按学校规则；外考成绩不自动换GPA</x:v>
      </x:c>
      <x:c r="J398" s="70" t="str">
        <x:v>人工选择与审核</x:v>
      </x:c>
      <x:c r="K398" s="70" t="str">
        <x:v>未预填官方代码</x:v>
      </x:c>
      <x:c r="L398" s="70" t="str"/>
      <x:c r="M398" s="70" t="str">
        <x:v>V3-BC-MA</x:v>
      </x:c>
      <x:c r="N398" s="70" t="str">
        <x:v>https://curriculum.gov.bc.ca/curriculum/mathematics/12/courses</x:v>
      </x:c>
    </x:row>
    <x:row r="399" ht="72" customHeight="1">
      <x:c r="A399" s="71" t="str">
        <x:v>C398</x:v>
      </x:c>
      <x:c r="B399" s="70" t="str">
        <x:v>CA-BC</x:v>
      </x:c>
      <x:c r="C399" s="70" t="str">
        <x:v>学历学科</x:v>
      </x:c>
      <x:c r="D399" s="70" t="str">
        <x:v>Grade 12</x:v>
      </x:c>
      <x:c r="E399" s="70" t="str">
        <x:v>目录层核对</x:v>
      </x:c>
      <x:c r="F399" s="70" t="str">
        <x:v>2026-09-17目录快照；按开课/考试年份复核</x:v>
      </x:c>
      <x:c r="G399" s="70" t="str">
        <x:v>启用前按年份和本校授权复核</x:v>
      </x:c>
      <x:c r="H399" s="70" t="str">
        <x:v>课程目录层</x:v>
      </x:c>
      <x:c r="I399" s="70" t="str">
        <x:v>校内成绩按学校规则；外考成绩不自动换GPA</x:v>
      </x:c>
      <x:c r="J399" s="70" t="str">
        <x:v>人工选择与审核</x:v>
      </x:c>
      <x:c r="K399" s="70" t="str">
        <x:v>未预填官方代码</x:v>
      </x:c>
      <x:c r="L399" s="70" t="str"/>
      <x:c r="M399" s="70" t="str">
        <x:v>V3-BC-MA</x:v>
      </x:c>
      <x:c r="N399" s="70" t="str">
        <x:v>https://curriculum.gov.bc.ca/curriculum/mathematics/12/courses</x:v>
      </x:c>
    </x:row>
    <x:row r="400" ht="72" customHeight="1">
      <x:c r="A400" s="71" t="str">
        <x:v>C399</x:v>
      </x:c>
      <x:c r="B400" s="70" t="str">
        <x:v>CA-BC</x:v>
      </x:c>
      <x:c r="C400" s="70" t="str">
        <x:v>学历学科</x:v>
      </x:c>
      <x:c r="D400" s="70" t="str">
        <x:v>Grade 12</x:v>
      </x:c>
      <x:c r="E400" s="70" t="str">
        <x:v>目录层核对</x:v>
      </x:c>
      <x:c r="F400" s="70" t="str">
        <x:v>2026-09-17目录快照；按开课/考试年份复核</x:v>
      </x:c>
      <x:c r="G400" s="70" t="str">
        <x:v>启用前按年份和本校授权复核</x:v>
      </x:c>
      <x:c r="H400" s="70" t="str">
        <x:v>课程目录层</x:v>
      </x:c>
      <x:c r="I400" s="70" t="str">
        <x:v>校内成绩按学校规则；外考成绩不自动换GPA</x:v>
      </x:c>
      <x:c r="J400" s="70" t="str">
        <x:v>人工选择与审核</x:v>
      </x:c>
      <x:c r="K400" s="70" t="str">
        <x:v>未预填官方代码</x:v>
      </x:c>
      <x:c r="L400" s="70" t="str"/>
      <x:c r="M400" s="70" t="str">
        <x:v>V3-BC-MA</x:v>
      </x:c>
      <x:c r="N400" s="70" t="str">
        <x:v>https://curriculum.gov.bc.ca/curriculum/mathematics/12/courses</x:v>
      </x:c>
    </x:row>
    <x:row r="401" ht="72" customHeight="1">
      <x:c r="A401" s="71" t="str">
        <x:v>C400</x:v>
      </x:c>
      <x:c r="B401" s="70" t="str">
        <x:v>CA-BC</x:v>
      </x:c>
      <x:c r="C401" s="70" t="str">
        <x:v>学历学科</x:v>
      </x:c>
      <x:c r="D401" s="70" t="str">
        <x:v>Grade 12</x:v>
      </x:c>
      <x:c r="E401" s="70" t="str">
        <x:v>目录层核对</x:v>
      </x:c>
      <x:c r="F401" s="70" t="str">
        <x:v>2026-09-17目录快照；按开课/考试年份复核</x:v>
      </x:c>
      <x:c r="G401" s="70" t="str">
        <x:v>启用前按年份和本校授权复核</x:v>
      </x:c>
      <x:c r="H401" s="70" t="str">
        <x:v>课程目录层</x:v>
      </x:c>
      <x:c r="I401" s="70" t="str">
        <x:v>校内成绩按学校规则；外考成绩不自动换GPA</x:v>
      </x:c>
      <x:c r="J401" s="70" t="str">
        <x:v>人工选择与审核</x:v>
      </x:c>
      <x:c r="K401" s="70" t="str">
        <x:v>未预填官方代码</x:v>
      </x:c>
      <x:c r="L401" s="70" t="str"/>
      <x:c r="M401" s="70" t="str">
        <x:v>V3-BC-MA</x:v>
      </x:c>
      <x:c r="N401" s="70" t="str">
        <x:v>https://curriculum.gov.bc.ca/curriculum/mathematics/12/courses</x:v>
      </x:c>
    </x:row>
    <x:row r="402" ht="72" customHeight="1">
      <x:c r="A402" s="71" t="str">
        <x:v>C401</x:v>
      </x:c>
      <x:c r="B402" s="70" t="str">
        <x:v>CA-BC</x:v>
      </x:c>
      <x:c r="C402" s="70" t="str">
        <x:v>学历学科</x:v>
      </x:c>
      <x:c r="D402" s="70" t="str">
        <x:v>Grade 12</x:v>
      </x:c>
      <x:c r="E402" s="70" t="str">
        <x:v>目录层核对</x:v>
      </x:c>
      <x:c r="F402" s="70" t="str">
        <x:v>2026-09-17目录快照；按开课/考试年份复核</x:v>
      </x:c>
      <x:c r="G402" s="70" t="str">
        <x:v>启用前按年份和本校授权复核</x:v>
      </x:c>
      <x:c r="H402" s="70" t="str">
        <x:v>课程目录层</x:v>
      </x:c>
      <x:c r="I402" s="70" t="str">
        <x:v>校内成绩按学校规则；外考成绩不自动换GPA</x:v>
      </x:c>
      <x:c r="J402" s="70" t="str">
        <x:v>人工选择与审核</x:v>
      </x:c>
      <x:c r="K402" s="70" t="str">
        <x:v>未预填官方代码</x:v>
      </x:c>
      <x:c r="L402" s="70" t="str"/>
      <x:c r="M402" s="70" t="str">
        <x:v>V3-BC-MA</x:v>
      </x:c>
      <x:c r="N402" s="70" t="str">
        <x:v>https://curriculum.gov.bc.ca/curriculum/mathematics/12/courses</x:v>
      </x:c>
    </x:row>
    <x:row r="403" ht="72" customHeight="1">
      <x:c r="A403" s="71" t="str">
        <x:v>C402</x:v>
      </x:c>
      <x:c r="B403" s="70" t="str">
        <x:v>CA-BC</x:v>
      </x:c>
      <x:c r="C403" s="70" t="str">
        <x:v>学历学科</x:v>
      </x:c>
      <x:c r="D403" s="70" t="str">
        <x:v>Grade 12</x:v>
      </x:c>
      <x:c r="E403" s="70" t="str">
        <x:v>目录层核对</x:v>
      </x:c>
      <x:c r="F403" s="70" t="str">
        <x:v>2026-09-17目录快照；按开课/考试年份复核</x:v>
      </x:c>
      <x:c r="G403" s="70" t="str">
        <x:v>启用前按年份和本校授权复核</x:v>
      </x:c>
      <x:c r="H403" s="70" t="str">
        <x:v>课程目录层</x:v>
      </x:c>
      <x:c r="I403" s="70" t="str">
        <x:v>校内成绩按学校规则；外考成绩不自动换GPA</x:v>
      </x:c>
      <x:c r="J403" s="70" t="str">
        <x:v>人工选择与审核</x:v>
      </x:c>
      <x:c r="K403" s="70" t="str">
        <x:v>未预填官方代码</x:v>
      </x:c>
      <x:c r="L403" s="70" t="str"/>
      <x:c r="M403" s="70" t="str">
        <x:v>V3-BC-EN</x:v>
      </x:c>
      <x:c r="N403" s="70" t="str">
        <x:v>https://curriculum.gov.bc.ca/curriculum/english-language-arts/12/courses</x:v>
      </x:c>
    </x:row>
    <x:row r="404" ht="72" customHeight="1">
      <x:c r="A404" s="71" t="str">
        <x:v>C403</x:v>
      </x:c>
      <x:c r="B404" s="70" t="str">
        <x:v>CA-BC</x:v>
      </x:c>
      <x:c r="C404" s="70" t="str">
        <x:v>学历学科</x:v>
      </x:c>
      <x:c r="D404" s="70" t="str">
        <x:v>Grade 12</x:v>
      </x:c>
      <x:c r="E404" s="70" t="str">
        <x:v>目录层核对</x:v>
      </x:c>
      <x:c r="F404" s="70" t="str">
        <x:v>2026-09-17目录快照；按开课/考试年份复核</x:v>
      </x:c>
      <x:c r="G404" s="70" t="str">
        <x:v>启用前按年份和本校授权复核</x:v>
      </x:c>
      <x:c r="H404" s="70" t="str">
        <x:v>课程目录层</x:v>
      </x:c>
      <x:c r="I404" s="70" t="str">
        <x:v>校内成绩按学校规则；外考成绩不自动换GPA</x:v>
      </x:c>
      <x:c r="J404" s="70" t="str">
        <x:v>人工选择与审核</x:v>
      </x:c>
      <x:c r="K404" s="70" t="str">
        <x:v>未预填官方代码</x:v>
      </x:c>
      <x:c r="L404" s="70" t="str"/>
      <x:c r="M404" s="70" t="str">
        <x:v>V3-BC-EN</x:v>
      </x:c>
      <x:c r="N404" s="70" t="str">
        <x:v>https://curriculum.gov.bc.ca/curriculum/english-language-arts/12/courses</x:v>
      </x:c>
    </x:row>
    <x:row r="405" ht="72" customHeight="1">
      <x:c r="A405" s="71" t="str">
        <x:v>C404</x:v>
      </x:c>
      <x:c r="B405" s="70" t="str">
        <x:v>CA-BC</x:v>
      </x:c>
      <x:c r="C405" s="70" t="str">
        <x:v>学历学科</x:v>
      </x:c>
      <x:c r="D405" s="70" t="str">
        <x:v>Grade 12</x:v>
      </x:c>
      <x:c r="E405" s="70" t="str">
        <x:v>目录层核对</x:v>
      </x:c>
      <x:c r="F405" s="70" t="str">
        <x:v>2026-09-17目录快照；按开课/考试年份复核</x:v>
      </x:c>
      <x:c r="G405" s="70" t="str">
        <x:v>启用前按年份和本校授权复核</x:v>
      </x:c>
      <x:c r="H405" s="70" t="str">
        <x:v>课程目录层</x:v>
      </x:c>
      <x:c r="I405" s="70" t="str">
        <x:v>校内成绩按学校规则；外考成绩不自动换GPA</x:v>
      </x:c>
      <x:c r="J405" s="70" t="str">
        <x:v>人工选择与审核</x:v>
      </x:c>
      <x:c r="K405" s="70" t="str">
        <x:v>未预填官方代码</x:v>
      </x:c>
      <x:c r="L405" s="70" t="str"/>
      <x:c r="M405" s="70" t="str">
        <x:v>V3-BC-EN</x:v>
      </x:c>
      <x:c r="N405" s="70" t="str">
        <x:v>https://curriculum.gov.bc.ca/curriculum/english-language-arts/12/courses</x:v>
      </x:c>
    </x:row>
    <x:row r="406" ht="72" customHeight="1">
      <x:c r="A406" s="71" t="str">
        <x:v>C405</x:v>
      </x:c>
      <x:c r="B406" s="70" t="str">
        <x:v>CA-BC</x:v>
      </x:c>
      <x:c r="C406" s="70" t="str">
        <x:v>学历学科</x:v>
      </x:c>
      <x:c r="D406" s="70" t="str">
        <x:v>Grade 12</x:v>
      </x:c>
      <x:c r="E406" s="70" t="str">
        <x:v>目录层核对</x:v>
      </x:c>
      <x:c r="F406" s="70" t="str">
        <x:v>2026-09-17目录快照；按开课/考试年份复核</x:v>
      </x:c>
      <x:c r="G406" s="70" t="str">
        <x:v>启用前按年份和本校授权复核</x:v>
      </x:c>
      <x:c r="H406" s="70" t="str">
        <x:v>课程目录层</x:v>
      </x:c>
      <x:c r="I406" s="70" t="str">
        <x:v>校内成绩按学校规则；外考成绩不自动换GPA</x:v>
      </x:c>
      <x:c r="J406" s="70" t="str">
        <x:v>人工选择与审核</x:v>
      </x:c>
      <x:c r="K406" s="70" t="str">
        <x:v>未预填官方代码</x:v>
      </x:c>
      <x:c r="L406" s="70" t="str"/>
      <x:c r="M406" s="70" t="str">
        <x:v>V3-BC-EN</x:v>
      </x:c>
      <x:c r="N406" s="70" t="str">
        <x:v>https://curriculum.gov.bc.ca/curriculum/english-language-arts/12/courses</x:v>
      </x:c>
    </x:row>
    <x:row r="407" ht="72" customHeight="1">
      <x:c r="A407" s="71" t="str">
        <x:v>C406</x:v>
      </x:c>
      <x:c r="B407" s="70" t="str">
        <x:v>CA-BC</x:v>
      </x:c>
      <x:c r="C407" s="70" t="str">
        <x:v>学历学科</x:v>
      </x:c>
      <x:c r="D407" s="70" t="str">
        <x:v>Grade 12</x:v>
      </x:c>
      <x:c r="E407" s="70" t="str">
        <x:v>目录层核对</x:v>
      </x:c>
      <x:c r="F407" s="70" t="str">
        <x:v>2026-09-17目录快照；按开课/考试年份复核</x:v>
      </x:c>
      <x:c r="G407" s="70" t="str">
        <x:v>启用前按年份和本校授权复核</x:v>
      </x:c>
      <x:c r="H407" s="70" t="str">
        <x:v>课程目录层</x:v>
      </x:c>
      <x:c r="I407" s="70" t="str">
        <x:v>校内成绩按学校规则；外考成绩不自动换GPA</x:v>
      </x:c>
      <x:c r="J407" s="70" t="str">
        <x:v>人工选择与审核</x:v>
      </x:c>
      <x:c r="K407" s="70" t="str">
        <x:v>未预填官方代码</x:v>
      </x:c>
      <x:c r="L407" s="70" t="str"/>
      <x:c r="M407" s="70" t="str">
        <x:v>V3-BC-EN</x:v>
      </x:c>
      <x:c r="N407" s="70" t="str">
        <x:v>https://curriculum.gov.bc.ca/curriculum/english-language-arts/12/courses</x:v>
      </x:c>
    </x:row>
    <x:row r="408" ht="72" customHeight="1">
      <x:c r="A408" s="71" t="str">
        <x:v>C407</x:v>
      </x:c>
      <x:c r="B408" s="70" t="str">
        <x:v>CA-BC</x:v>
      </x:c>
      <x:c r="C408" s="70" t="str">
        <x:v>学历学科</x:v>
      </x:c>
      <x:c r="D408" s="70" t="str">
        <x:v>Grade 12</x:v>
      </x:c>
      <x:c r="E408" s="70" t="str">
        <x:v>目录层核对</x:v>
      </x:c>
      <x:c r="F408" s="70" t="str">
        <x:v>2026-09-17目录快照；按开课/考试年份复核</x:v>
      </x:c>
      <x:c r="G408" s="70" t="str">
        <x:v>启用前按年份和本校授权复核</x:v>
      </x:c>
      <x:c r="H408" s="70" t="str">
        <x:v>课程目录层</x:v>
      </x:c>
      <x:c r="I408" s="70" t="str">
        <x:v>校内成绩按学校规则；外考成绩不自动换GPA</x:v>
      </x:c>
      <x:c r="J408" s="70" t="str">
        <x:v>人工选择与审核</x:v>
      </x:c>
      <x:c r="K408" s="70" t="str">
        <x:v>未预填官方代码</x:v>
      </x:c>
      <x:c r="L408" s="70" t="str"/>
      <x:c r="M408" s="70" t="str">
        <x:v>V3-BC-EN</x:v>
      </x:c>
      <x:c r="N408" s="70" t="str">
        <x:v>https://curriculum.gov.bc.ca/curriculum/english-language-arts/12/courses</x:v>
      </x:c>
    </x:row>
    <x:row r="409" ht="72" customHeight="1">
      <x:c r="A409" s="71" t="str">
        <x:v>C408</x:v>
      </x:c>
      <x:c r="B409" s="70" t="str">
        <x:v>CA-BC</x:v>
      </x:c>
      <x:c r="C409" s="70" t="str">
        <x:v>学历学科</x:v>
      </x:c>
      <x:c r="D409" s="70" t="str">
        <x:v>Grade 12</x:v>
      </x:c>
      <x:c r="E409" s="70" t="str">
        <x:v>目录层核对</x:v>
      </x:c>
      <x:c r="F409" s="70" t="str">
        <x:v>2026-09-17目录快照；按开课/考试年份复核</x:v>
      </x:c>
      <x:c r="G409" s="70" t="str">
        <x:v>启用前按年份和本校授权复核</x:v>
      </x:c>
      <x:c r="H409" s="70" t="str">
        <x:v>课程目录层</x:v>
      </x:c>
      <x:c r="I409" s="70" t="str">
        <x:v>校内成绩按学校规则；外考成绩不自动换GPA</x:v>
      </x:c>
      <x:c r="J409" s="70" t="str">
        <x:v>人工选择与审核</x:v>
      </x:c>
      <x:c r="K409" s="70" t="str">
        <x:v>未预填官方代码</x:v>
      </x:c>
      <x:c r="L409" s="70" t="str"/>
      <x:c r="M409" s="70" t="str">
        <x:v>V3-BC-EN</x:v>
      </x:c>
      <x:c r="N409" s="70" t="str">
        <x:v>https://curriculum.gov.bc.ca/curriculum/english-language-arts/12/courses</x:v>
      </x:c>
    </x:row>
    <x:row r="410" ht="72" customHeight="1">
      <x:c r="A410" s="71" t="str">
        <x:v>C409</x:v>
      </x:c>
      <x:c r="B410" s="70" t="str">
        <x:v>CA-ON</x:v>
      </x:c>
      <x:c r="C410" s="70" t="str">
        <x:v>学历学科</x:v>
      </x:c>
      <x:c r="D410" s="70" t="str">
        <x:v>Grade 12 University</x:v>
      </x:c>
      <x:c r="E410" s="70" t="str">
        <x:v>目录层核对</x:v>
      </x:c>
      <x:c r="F410" s="70" t="str">
        <x:v>2026-09-17目录快照；按开课/考试年份复核</x:v>
      </x:c>
      <x:c r="G410" s="70" t="str">
        <x:v>启用前按年份和本校授权复核</x:v>
      </x:c>
      <x:c r="H410" s="70" t="str">
        <x:v>课程目录层</x:v>
      </x:c>
      <x:c r="I410" s="70" t="str">
        <x:v>校内成绩按学校规则；外考成绩不自动换GPA</x:v>
      </x:c>
      <x:c r="J410" s="70" t="str">
        <x:v>人工选择与审核</x:v>
      </x:c>
      <x:c r="K410" s="70" t="str">
        <x:v>官方大纲/课程代码</x:v>
      </x:c>
      <x:c r="L410" s="70" t="str"/>
      <x:c r="M410" s="70" t="str">
        <x:v>V3-ON-EN</x:v>
      </x:c>
      <x:c r="N410" s="70" t="str">
        <x:v>https://www.dcp.edu.gov.on.ca/en/curriculum/secondary-english/courses-list</x:v>
      </x:c>
    </x:row>
    <x:row r="411" ht="72" customHeight="1">
      <x:c r="A411" s="71" t="str">
        <x:v>C410</x:v>
      </x:c>
      <x:c r="B411" s="70" t="str">
        <x:v>CA-ON</x:v>
      </x:c>
      <x:c r="C411" s="70" t="str">
        <x:v>学历学科</x:v>
      </x:c>
      <x:c r="D411" s="70" t="str">
        <x:v>Grade 12 University</x:v>
      </x:c>
      <x:c r="E411" s="70" t="str">
        <x:v>官方目录索引核对；逐科版本待复核</x:v>
      </x:c>
      <x:c r="F411" s="70" t="str">
        <x:v>2026-09-17目录快照；按开课/考试年份复核</x:v>
      </x:c>
      <x:c r="G411" s="70" t="str">
        <x:v>启用前按年份和本校授权复核</x:v>
      </x:c>
      <x:c r="H411" s="70" t="str">
        <x:v>课程目录层</x:v>
      </x:c>
      <x:c r="I411" s="70" t="str">
        <x:v>校内成绩按学校规则；外考成绩不自动换GPA</x:v>
      </x:c>
      <x:c r="J411" s="70" t="str">
        <x:v>人工选择与审核</x:v>
      </x:c>
      <x:c r="K411" s="70" t="str">
        <x:v>官方大纲/课程代码</x:v>
      </x:c>
      <x:c r="L411" s="70" t="str"/>
      <x:c r="M411" s="70" t="str">
        <x:v>V3-ON-MA</x:v>
      </x:c>
      <x:c r="N411" s="70" t="str">
        <x:v>https://www.dcp.edu.gov.on.ca/</x:v>
      </x:c>
    </x:row>
    <x:row r="412" ht="72" customHeight="1">
      <x:c r="A412" s="71" t="str">
        <x:v>C411</x:v>
      </x:c>
      <x:c r="B412" s="70" t="str">
        <x:v>CA-ON</x:v>
      </x:c>
      <x:c r="C412" s="70" t="str">
        <x:v>学历学科</x:v>
      </x:c>
      <x:c r="D412" s="70" t="str">
        <x:v>Grade 12 University</x:v>
      </x:c>
      <x:c r="E412" s="70" t="str">
        <x:v>官方目录索引核对；逐科版本待复核</x:v>
      </x:c>
      <x:c r="F412" s="70" t="str">
        <x:v>2026-09-17目录快照；按开课/考试年份复核</x:v>
      </x:c>
      <x:c r="G412" s="70" t="str">
        <x:v>启用前按年份和本校授权复核</x:v>
      </x:c>
      <x:c r="H412" s="70" t="str">
        <x:v>课程目录层</x:v>
      </x:c>
      <x:c r="I412" s="70" t="str">
        <x:v>校内成绩按学校规则；外考成绩不自动换GPA</x:v>
      </x:c>
      <x:c r="J412" s="70" t="str">
        <x:v>人工选择与审核</x:v>
      </x:c>
      <x:c r="K412" s="70" t="str">
        <x:v>官方大纲/课程代码</x:v>
      </x:c>
      <x:c r="L412" s="70" t="str"/>
      <x:c r="M412" s="70" t="str">
        <x:v>V3-ON-MA</x:v>
      </x:c>
      <x:c r="N412" s="70" t="str">
        <x:v>https://www.dcp.edu.gov.on.ca/</x:v>
      </x:c>
    </x:row>
    <x:row r="413" ht="72" customHeight="1">
      <x:c r="A413" s="71" t="str">
        <x:v>C412</x:v>
      </x:c>
      <x:c r="B413" s="70" t="str">
        <x:v>CA-ON</x:v>
      </x:c>
      <x:c r="C413" s="70" t="str">
        <x:v>学历学科</x:v>
      </x:c>
      <x:c r="D413" s="70" t="str">
        <x:v>Grade 12 University</x:v>
      </x:c>
      <x:c r="E413" s="70" t="str">
        <x:v>官方目录索引核对；逐科版本待复核</x:v>
      </x:c>
      <x:c r="F413" s="70" t="str">
        <x:v>2026-09-17目录快照；按开课/考试年份复核</x:v>
      </x:c>
      <x:c r="G413" s="70" t="str">
        <x:v>启用前按年份和本校授权复核</x:v>
      </x:c>
      <x:c r="H413" s="70" t="str">
        <x:v>课程目录层</x:v>
      </x:c>
      <x:c r="I413" s="70" t="str">
        <x:v>校内成绩按学校规则；外考成绩不自动换GPA</x:v>
      </x:c>
      <x:c r="J413" s="70" t="str">
        <x:v>人工选择与审核</x:v>
      </x:c>
      <x:c r="K413" s="70" t="str">
        <x:v>官方大纲/课程代码</x:v>
      </x:c>
      <x:c r="L413" s="70" t="str"/>
      <x:c r="M413" s="70" t="str">
        <x:v>V3-ON-MA</x:v>
      </x:c>
      <x:c r="N413" s="70" t="str">
        <x:v>https://www.dcp.edu.gov.on.ca/</x:v>
      </x:c>
    </x:row>
    <x:row r="414" ht="72" customHeight="1">
      <x:c r="A414" s="71" t="str">
        <x:v>C413</x:v>
      </x:c>
      <x:c r="B414" s="70" t="str">
        <x:v>AU-VCE</x:v>
      </x:c>
      <x:c r="C414" s="70" t="str">
        <x:v>学历学科</x:v>
      </x:c>
      <x:c r="D414" s="70" t="str">
        <x:v>VCE study</x:v>
      </x:c>
      <x:c r="E414" s="70" t="str">
        <x:v>目录层核对</x:v>
      </x:c>
      <x:c r="F414" s="70" t="str">
        <x:v>2026-09-17目录快照；按开课/考试年份复核</x:v>
      </x:c>
      <x:c r="G414" s="70" t="str">
        <x:v>启用前按年份和本校授权复核</x:v>
      </x:c>
      <x:c r="H414" s="70" t="str">
        <x:v>课程目录层</x:v>
      </x:c>
      <x:c r="I414" s="70" t="str">
        <x:v>校内成绩按学校规则；外考成绩不自动换GPA</x:v>
      </x:c>
      <x:c r="J414" s="70" t="str">
        <x:v>人工选择与审核</x:v>
      </x:c>
      <x:c r="K414" s="70" t="str">
        <x:v>未预填官方代码</x:v>
      </x:c>
      <x:c r="L414" s="70" t="str"/>
      <x:c r="M414" s="70" t="str">
        <x:v>V3-VCE</x:v>
      </x:c>
      <x:c r="N414" s="70" t="str">
        <x:v>https://www.vcaa.vic.edu.au/curriculum/vce-curriculum/vce-study-designs/vce-study-designs</x:v>
      </x:c>
    </x:row>
    <x:row r="415" ht="72" customHeight="1">
      <x:c r="A415" s="71" t="str">
        <x:v>C414</x:v>
      </x:c>
      <x:c r="B415" s="70" t="str">
        <x:v>AU-VCE</x:v>
      </x:c>
      <x:c r="C415" s="70" t="str">
        <x:v>学历学科</x:v>
      </x:c>
      <x:c r="D415" s="70" t="str">
        <x:v>VCE study</x:v>
      </x:c>
      <x:c r="E415" s="70" t="str">
        <x:v>目录层核对</x:v>
      </x:c>
      <x:c r="F415" s="70" t="str">
        <x:v>2026-09-17目录快照；按开课/考试年份复核</x:v>
      </x:c>
      <x:c r="G415" s="70" t="str">
        <x:v>启用前按年份和本校授权复核</x:v>
      </x:c>
      <x:c r="H415" s="70" t="str">
        <x:v>课程目录层</x:v>
      </x:c>
      <x:c r="I415" s="70" t="str">
        <x:v>校内成绩按学校规则；外考成绩不自动换GPA</x:v>
      </x:c>
      <x:c r="J415" s="70" t="str">
        <x:v>人工选择与审核</x:v>
      </x:c>
      <x:c r="K415" s="70" t="str">
        <x:v>未预填官方代码</x:v>
      </x:c>
      <x:c r="L415" s="70" t="str"/>
      <x:c r="M415" s="70" t="str">
        <x:v>V3-VCE</x:v>
      </x:c>
      <x:c r="N415" s="70" t="str">
        <x:v>https://www.vcaa.vic.edu.au/curriculum/vce-curriculum/vce-study-designs/vce-study-designs</x:v>
      </x:c>
    </x:row>
    <x:row r="416" ht="72" customHeight="1">
      <x:c r="A416" s="71" t="str">
        <x:v>C415</x:v>
      </x:c>
      <x:c r="B416" s="70" t="str">
        <x:v>AU-VCE</x:v>
      </x:c>
      <x:c r="C416" s="70" t="str">
        <x:v>学历学科</x:v>
      </x:c>
      <x:c r="D416" s="70" t="str">
        <x:v>VCE study</x:v>
      </x:c>
      <x:c r="E416" s="70" t="str">
        <x:v>目录层核对</x:v>
      </x:c>
      <x:c r="F416" s="70" t="str">
        <x:v>2026-09-17目录快照；按开课/考试年份复核</x:v>
      </x:c>
      <x:c r="G416" s="70" t="str">
        <x:v>启用前按年份和本校授权复核</x:v>
      </x:c>
      <x:c r="H416" s="70" t="str">
        <x:v>课程目录层</x:v>
      </x:c>
      <x:c r="I416" s="70" t="str">
        <x:v>校内成绩按学校规则；外考成绩不自动换GPA</x:v>
      </x:c>
      <x:c r="J416" s="70" t="str">
        <x:v>人工选择与审核</x:v>
      </x:c>
      <x:c r="K416" s="70" t="str">
        <x:v>未预填官方代码</x:v>
      </x:c>
      <x:c r="L416" s="70" t="str"/>
      <x:c r="M416" s="70" t="str">
        <x:v>V3-VCE</x:v>
      </x:c>
      <x:c r="N416" s="70" t="str">
        <x:v>https://www.vcaa.vic.edu.au/curriculum/vce-curriculum/vce-study-designs/vce-study-designs</x:v>
      </x:c>
    </x:row>
    <x:row r="417" ht="72" customHeight="1">
      <x:c r="A417" s="71" t="str">
        <x:v>C416</x:v>
      </x:c>
      <x:c r="B417" s="70" t="str">
        <x:v>AU-VCE</x:v>
      </x:c>
      <x:c r="C417" s="70" t="str">
        <x:v>学历学科</x:v>
      </x:c>
      <x:c r="D417" s="70" t="str">
        <x:v>VCE study</x:v>
      </x:c>
      <x:c r="E417" s="70" t="str">
        <x:v>目录层核对</x:v>
      </x:c>
      <x:c r="F417" s="70" t="str">
        <x:v>2026-09-17目录快照；按开课/考试年份复核</x:v>
      </x:c>
      <x:c r="G417" s="70" t="str">
        <x:v>启用前按年份和本校授权复核</x:v>
      </x:c>
      <x:c r="H417" s="70" t="str">
        <x:v>课程目录层</x:v>
      </x:c>
      <x:c r="I417" s="70" t="str">
        <x:v>校内成绩按学校规则；外考成绩不自动换GPA</x:v>
      </x:c>
      <x:c r="J417" s="70" t="str">
        <x:v>人工选择与审核</x:v>
      </x:c>
      <x:c r="K417" s="70" t="str">
        <x:v>未预填官方代码</x:v>
      </x:c>
      <x:c r="L417" s="70" t="str"/>
      <x:c r="M417" s="70" t="str">
        <x:v>V3-VCE</x:v>
      </x:c>
      <x:c r="N417" s="70" t="str">
        <x:v>https://www.vcaa.vic.edu.au/curriculum/vce-curriculum/vce-study-designs/vce-study-designs</x:v>
      </x:c>
    </x:row>
    <x:row r="418" ht="72" customHeight="1">
      <x:c r="A418" s="71" t="str">
        <x:v>C417</x:v>
      </x:c>
      <x:c r="B418" s="70" t="str">
        <x:v>AU-VCE</x:v>
      </x:c>
      <x:c r="C418" s="70" t="str">
        <x:v>学历学科</x:v>
      </x:c>
      <x:c r="D418" s="70" t="str">
        <x:v>VCE study</x:v>
      </x:c>
      <x:c r="E418" s="70" t="str">
        <x:v>目录层核对</x:v>
      </x:c>
      <x:c r="F418" s="70" t="str">
        <x:v>2026-09-17目录快照；按开课/考试年份复核</x:v>
      </x:c>
      <x:c r="G418" s="70" t="str">
        <x:v>启用前按年份和本校授权复核</x:v>
      </x:c>
      <x:c r="H418" s="70" t="str">
        <x:v>课程目录层</x:v>
      </x:c>
      <x:c r="I418" s="70" t="str">
        <x:v>校内成绩按学校规则；外考成绩不自动换GPA</x:v>
      </x:c>
      <x:c r="J418" s="70" t="str">
        <x:v>人工选择与审核</x:v>
      </x:c>
      <x:c r="K418" s="70" t="str">
        <x:v>未预填官方代码</x:v>
      </x:c>
      <x:c r="L418" s="70" t="str"/>
      <x:c r="M418" s="70" t="str">
        <x:v>V3-VCE</x:v>
      </x:c>
      <x:c r="N418" s="70" t="str">
        <x:v>https://www.vcaa.vic.edu.au/curriculum/vce-curriculum/vce-study-designs/vce-study-designs</x:v>
      </x:c>
    </x:row>
    <x:row r="419" ht="72" customHeight="1">
      <x:c r="A419" s="71" t="str">
        <x:v>C418</x:v>
      </x:c>
      <x:c r="B419" s="70" t="str">
        <x:v>AU-VCE</x:v>
      </x:c>
      <x:c r="C419" s="70" t="str">
        <x:v>学历学科</x:v>
      </x:c>
      <x:c r="D419" s="70" t="str">
        <x:v>VCE study</x:v>
      </x:c>
      <x:c r="E419" s="70" t="str">
        <x:v>目录层核对</x:v>
      </x:c>
      <x:c r="F419" s="70" t="str">
        <x:v>2026-09-17目录快照；按开课/考试年份复核</x:v>
      </x:c>
      <x:c r="G419" s="70" t="str">
        <x:v>启用前按年份和本校授权复核</x:v>
      </x:c>
      <x:c r="H419" s="70" t="str">
        <x:v>课程目录层</x:v>
      </x:c>
      <x:c r="I419" s="70" t="str">
        <x:v>校内成绩按学校规则；外考成绩不自动换GPA</x:v>
      </x:c>
      <x:c r="J419" s="70" t="str">
        <x:v>人工选择与审核</x:v>
      </x:c>
      <x:c r="K419" s="70" t="str">
        <x:v>未预填官方代码</x:v>
      </x:c>
      <x:c r="L419" s="70" t="str"/>
      <x:c r="M419" s="70" t="str">
        <x:v>V3-VCE</x:v>
      </x:c>
      <x:c r="N419" s="70" t="str">
        <x:v>https://www.vcaa.vic.edu.au/curriculum/vce-curriculum/vce-study-designs/vce-study-designs</x:v>
      </x:c>
    </x:row>
    <x:row r="420" ht="72" customHeight="1">
      <x:c r="A420" s="71" t="str">
        <x:v>C419</x:v>
      </x:c>
      <x:c r="B420" s="70" t="str">
        <x:v>AU-VCE</x:v>
      </x:c>
      <x:c r="C420" s="70" t="str">
        <x:v>学历学科</x:v>
      </x:c>
      <x:c r="D420" s="70" t="str">
        <x:v>VCE study</x:v>
      </x:c>
      <x:c r="E420" s="70" t="str">
        <x:v>目录层核对</x:v>
      </x:c>
      <x:c r="F420" s="70" t="str">
        <x:v>2026-09-17目录快照；按开课/考试年份复核</x:v>
      </x:c>
      <x:c r="G420" s="70" t="str">
        <x:v>启用前按年份和本校授权复核</x:v>
      </x:c>
      <x:c r="H420" s="70" t="str">
        <x:v>课程目录层</x:v>
      </x:c>
      <x:c r="I420" s="70" t="str">
        <x:v>校内成绩按学校规则；外考成绩不自动换GPA</x:v>
      </x:c>
      <x:c r="J420" s="70" t="str">
        <x:v>人工选择与审核</x:v>
      </x:c>
      <x:c r="K420" s="70" t="str">
        <x:v>未预填官方代码</x:v>
      </x:c>
      <x:c r="L420" s="70" t="str"/>
      <x:c r="M420" s="70" t="str">
        <x:v>V3-VCE</x:v>
      </x:c>
      <x:c r="N420" s="70" t="str">
        <x:v>https://www.vcaa.vic.edu.au/curriculum/vce-curriculum/vce-study-designs/vce-study-designs</x:v>
      </x:c>
    </x:row>
    <x:row r="421" ht="72" customHeight="1">
      <x:c r="A421" s="71" t="str">
        <x:v>C420</x:v>
      </x:c>
      <x:c r="B421" s="70" t="str">
        <x:v>AU-VCE</x:v>
      </x:c>
      <x:c r="C421" s="70" t="str">
        <x:v>学历学科</x:v>
      </x:c>
      <x:c r="D421" s="70" t="str">
        <x:v>VCE study</x:v>
      </x:c>
      <x:c r="E421" s="70" t="str">
        <x:v>目录层核对</x:v>
      </x:c>
      <x:c r="F421" s="70" t="str">
        <x:v>2026-09-17目录快照；按开课/考试年份复核</x:v>
      </x:c>
      <x:c r="G421" s="70" t="str">
        <x:v>启用前按年份和本校授权复核</x:v>
      </x:c>
      <x:c r="H421" s="70" t="str">
        <x:v>课程目录层</x:v>
      </x:c>
      <x:c r="I421" s="70" t="str">
        <x:v>校内成绩按学校规则；外考成绩不自动换GPA</x:v>
      </x:c>
      <x:c r="J421" s="70" t="str">
        <x:v>人工选择与审核</x:v>
      </x:c>
      <x:c r="K421" s="70" t="str">
        <x:v>未预填官方代码</x:v>
      </x:c>
      <x:c r="L421" s="70" t="str"/>
      <x:c r="M421" s="70" t="str">
        <x:v>V3-VCE</x:v>
      </x:c>
      <x:c r="N421" s="70" t="str">
        <x:v>https://www.vcaa.vic.edu.au/curriculum/vce-curriculum/vce-study-designs/vce-study-designs</x:v>
      </x:c>
    </x:row>
    <x:row r="422" ht="72" customHeight="1">
      <x:c r="A422" s="71" t="str">
        <x:v>C421</x:v>
      </x:c>
      <x:c r="B422" s="70" t="str">
        <x:v>AU-VCE</x:v>
      </x:c>
      <x:c r="C422" s="70" t="str">
        <x:v>学历学科</x:v>
      </x:c>
      <x:c r="D422" s="70" t="str">
        <x:v>VCE study</x:v>
      </x:c>
      <x:c r="E422" s="70" t="str">
        <x:v>目录层核对</x:v>
      </x:c>
      <x:c r="F422" s="70" t="str">
        <x:v>2026-09-17目录快照；按开课/考试年份复核</x:v>
      </x:c>
      <x:c r="G422" s="70" t="str">
        <x:v>启用前按年份和本校授权复核</x:v>
      </x:c>
      <x:c r="H422" s="70" t="str">
        <x:v>课程目录层</x:v>
      </x:c>
      <x:c r="I422" s="70" t="str">
        <x:v>校内成绩按学校规则；外考成绩不自动换GPA</x:v>
      </x:c>
      <x:c r="J422" s="70" t="str">
        <x:v>人工选择与审核</x:v>
      </x:c>
      <x:c r="K422" s="70" t="str">
        <x:v>未预填官方代码</x:v>
      </x:c>
      <x:c r="L422" s="70" t="str"/>
      <x:c r="M422" s="70" t="str">
        <x:v>V3-VCE</x:v>
      </x:c>
      <x:c r="N422" s="70" t="str">
        <x:v>https://www.vcaa.vic.edu.au/curriculum/vce-curriculum/vce-study-designs/vce-study-designs</x:v>
      </x:c>
    </x:row>
    <x:row r="423" ht="72" customHeight="1">
      <x:c r="A423" s="71" t="str">
        <x:v>C422</x:v>
      </x:c>
      <x:c r="B423" s="70" t="str">
        <x:v>AU-VCE</x:v>
      </x:c>
      <x:c r="C423" s="70" t="str">
        <x:v>学历学科</x:v>
      </x:c>
      <x:c r="D423" s="70" t="str">
        <x:v>VCE study</x:v>
      </x:c>
      <x:c r="E423" s="70" t="str">
        <x:v>目录层核对</x:v>
      </x:c>
      <x:c r="F423" s="70" t="str">
        <x:v>2026-09-17目录快照；按开课/考试年份复核</x:v>
      </x:c>
      <x:c r="G423" s="70" t="str">
        <x:v>启用前按年份和本校授权复核</x:v>
      </x:c>
      <x:c r="H423" s="70" t="str">
        <x:v>课程目录层</x:v>
      </x:c>
      <x:c r="I423" s="70" t="str">
        <x:v>校内成绩按学校规则；外考成绩不自动换GPA</x:v>
      </x:c>
      <x:c r="J423" s="70" t="str">
        <x:v>人工选择与审核</x:v>
      </x:c>
      <x:c r="K423" s="70" t="str">
        <x:v>未预填官方代码</x:v>
      </x:c>
      <x:c r="L423" s="70" t="str"/>
      <x:c r="M423" s="70" t="str">
        <x:v>V3-VCE</x:v>
      </x:c>
      <x:c r="N423" s="70" t="str">
        <x:v>https://www.vcaa.vic.edu.au/curriculum/vce-curriculum/vce-study-designs/vce-study-designs</x:v>
      </x:c>
    </x:row>
    <x:row r="424" ht="72" customHeight="1">
      <x:c r="A424" s="71" t="str">
        <x:v>C423</x:v>
      </x:c>
      <x:c r="B424" s="70" t="str">
        <x:v>AU-VCE</x:v>
      </x:c>
      <x:c r="C424" s="70" t="str">
        <x:v>学历学科</x:v>
      </x:c>
      <x:c r="D424" s="70" t="str">
        <x:v>VCE study</x:v>
      </x:c>
      <x:c r="E424" s="70" t="str">
        <x:v>目录层核对</x:v>
      </x:c>
      <x:c r="F424" s="70" t="str">
        <x:v>2026-09-17目录快照；按开课/考试年份复核</x:v>
      </x:c>
      <x:c r="G424" s="70" t="str">
        <x:v>启用前按年份和本校授权复核</x:v>
      </x:c>
      <x:c r="H424" s="70" t="str">
        <x:v>课程目录层</x:v>
      </x:c>
      <x:c r="I424" s="70" t="str">
        <x:v>校内成绩按学校规则；外考成绩不自动换GPA</x:v>
      </x:c>
      <x:c r="J424" s="70" t="str">
        <x:v>人工选择与审核</x:v>
      </x:c>
      <x:c r="K424" s="70" t="str">
        <x:v>未预填官方代码</x:v>
      </x:c>
      <x:c r="L424" s="70" t="str"/>
      <x:c r="M424" s="70" t="str">
        <x:v>V3-VCE</x:v>
      </x:c>
      <x:c r="N424" s="70" t="str">
        <x:v>https://www.vcaa.vic.edu.au/curriculum/vce-curriculum/vce-study-designs/vce-study-designs</x:v>
      </x:c>
    </x:row>
    <x:row r="425" ht="72" customHeight="1">
      <x:c r="A425" s="71" t="str">
        <x:v>C424</x:v>
      </x:c>
      <x:c r="B425" s="70" t="str">
        <x:v>AU-VCE</x:v>
      </x:c>
      <x:c r="C425" s="70" t="str">
        <x:v>学历学科</x:v>
      </x:c>
      <x:c r="D425" s="70" t="str">
        <x:v>VCE study</x:v>
      </x:c>
      <x:c r="E425" s="70" t="str">
        <x:v>目录层核对</x:v>
      </x:c>
      <x:c r="F425" s="70" t="str">
        <x:v>2026-09-17目录快照；按开课/考试年份复核</x:v>
      </x:c>
      <x:c r="G425" s="70" t="str">
        <x:v>启用前按年份和本校授权复核</x:v>
      </x:c>
      <x:c r="H425" s="70" t="str">
        <x:v>课程目录层</x:v>
      </x:c>
      <x:c r="I425" s="70" t="str">
        <x:v>校内成绩按学校规则；外考成绩不自动换GPA</x:v>
      </x:c>
      <x:c r="J425" s="70" t="str">
        <x:v>人工选择与审核</x:v>
      </x:c>
      <x:c r="K425" s="70" t="str">
        <x:v>未预填官方代码</x:v>
      </x:c>
      <x:c r="L425" s="70" t="str"/>
      <x:c r="M425" s="70" t="str">
        <x:v>V3-VCE</x:v>
      </x:c>
      <x:c r="N425" s="70" t="str">
        <x:v>https://www.vcaa.vic.edu.au/curriculum/vce-curriculum/vce-study-designs/vce-study-designs</x:v>
      </x:c>
    </x:row>
    <x:row r="426" ht="72" customHeight="1">
      <x:c r="A426" s="71" t="str">
        <x:v>C425</x:v>
      </x:c>
      <x:c r="B426" s="70" t="str">
        <x:v>AU-VCE</x:v>
      </x:c>
      <x:c r="C426" s="70" t="str">
        <x:v>学历学科</x:v>
      </x:c>
      <x:c r="D426" s="70" t="str">
        <x:v>VCE study</x:v>
      </x:c>
      <x:c r="E426" s="70" t="str">
        <x:v>目录层核对</x:v>
      </x:c>
      <x:c r="F426" s="70" t="str">
        <x:v>2026-09-17目录快照；按开课/考试年份复核</x:v>
      </x:c>
      <x:c r="G426" s="70" t="str">
        <x:v>启用前按年份和本校授权复核</x:v>
      </x:c>
      <x:c r="H426" s="70" t="str">
        <x:v>课程目录层</x:v>
      </x:c>
      <x:c r="I426" s="70" t="str">
        <x:v>校内成绩按学校规则；外考成绩不自动换GPA</x:v>
      </x:c>
      <x:c r="J426" s="70" t="str">
        <x:v>人工选择与审核</x:v>
      </x:c>
      <x:c r="K426" s="70" t="str">
        <x:v>未预填官方代码</x:v>
      </x:c>
      <x:c r="L426" s="70" t="str"/>
      <x:c r="M426" s="70" t="str">
        <x:v>V3-VCE</x:v>
      </x:c>
      <x:c r="N426" s="70" t="str">
        <x:v>https://www.vcaa.vic.edu.au/curriculum/vce-curriculum/vce-study-designs/vce-study-designs</x:v>
      </x:c>
    </x:row>
    <x:row r="427" ht="72" customHeight="1">
      <x:c r="A427" s="71" t="str">
        <x:v>C426</x:v>
      </x:c>
      <x:c r="B427" s="70" t="str">
        <x:v>AU-VCE</x:v>
      </x:c>
      <x:c r="C427" s="70" t="str">
        <x:v>学历学科</x:v>
      </x:c>
      <x:c r="D427" s="70" t="str">
        <x:v>VCE study</x:v>
      </x:c>
      <x:c r="E427" s="70" t="str">
        <x:v>目录层核对</x:v>
      </x:c>
      <x:c r="F427" s="70" t="str">
        <x:v>2026-09-17目录快照；按开课/考试年份复核</x:v>
      </x:c>
      <x:c r="G427" s="70" t="str">
        <x:v>启用前按年份和本校授权复核</x:v>
      </x:c>
      <x:c r="H427" s="70" t="str">
        <x:v>课程目录层</x:v>
      </x:c>
      <x:c r="I427" s="70" t="str">
        <x:v>校内成绩按学校规则；外考成绩不自动换GPA</x:v>
      </x:c>
      <x:c r="J427" s="70" t="str">
        <x:v>人工选择与审核</x:v>
      </x:c>
      <x:c r="K427" s="70" t="str">
        <x:v>未预填官方代码</x:v>
      </x:c>
      <x:c r="L427" s="70" t="str"/>
      <x:c r="M427" s="70" t="str">
        <x:v>V3-VCE</x:v>
      </x:c>
      <x:c r="N427" s="70" t="str">
        <x:v>https://www.vcaa.vic.edu.au/curriculum/vce-curriculum/vce-study-designs/vce-study-designs</x:v>
      </x:c>
    </x:row>
    <x:row r="428" ht="72" customHeight="1">
      <x:c r="A428" s="71" t="str">
        <x:v>C427</x:v>
      </x:c>
      <x:c r="B428" s="70" t="str">
        <x:v>AU-VCE</x:v>
      </x:c>
      <x:c r="C428" s="70" t="str">
        <x:v>学历学科</x:v>
      </x:c>
      <x:c r="D428" s="70" t="str">
        <x:v>VCE study</x:v>
      </x:c>
      <x:c r="E428" s="70" t="str">
        <x:v>目录层核对</x:v>
      </x:c>
      <x:c r="F428" s="70" t="str">
        <x:v>2026-09-17目录快照；按开课/考试年份复核</x:v>
      </x:c>
      <x:c r="G428" s="70" t="str">
        <x:v>启用前按年份和本校授权复核</x:v>
      </x:c>
      <x:c r="H428" s="70" t="str">
        <x:v>课程目录层</x:v>
      </x:c>
      <x:c r="I428" s="70" t="str">
        <x:v>校内成绩按学校规则；外考成绩不自动换GPA</x:v>
      </x:c>
      <x:c r="J428" s="70" t="str">
        <x:v>人工选择与审核</x:v>
      </x:c>
      <x:c r="K428" s="70" t="str">
        <x:v>未预填官方代码</x:v>
      </x:c>
      <x:c r="L428" s="70" t="str"/>
      <x:c r="M428" s="70" t="str">
        <x:v>V3-VCE</x:v>
      </x:c>
      <x:c r="N428" s="70" t="str">
        <x:v>https://www.vcaa.vic.edu.au/curriculum/vce-curriculum/vce-study-designs/vce-study-designs</x:v>
      </x:c>
    </x:row>
    <x:row r="429" ht="72" customHeight="1">
      <x:c r="A429" s="71" t="str">
        <x:v>C428</x:v>
      </x:c>
      <x:c r="B429" s="70" t="str">
        <x:v>AU-VCE</x:v>
      </x:c>
      <x:c r="C429" s="70" t="str">
        <x:v>学历学科</x:v>
      </x:c>
      <x:c r="D429" s="70" t="str">
        <x:v>VCE study</x:v>
      </x:c>
      <x:c r="E429" s="70" t="str">
        <x:v>目录层核对</x:v>
      </x:c>
      <x:c r="F429" s="70" t="str">
        <x:v>2026-09-17目录快照；按开课/考试年份复核</x:v>
      </x:c>
      <x:c r="G429" s="70" t="str">
        <x:v>启用前按年份和本校授权复核</x:v>
      </x:c>
      <x:c r="H429" s="70" t="str">
        <x:v>课程目录层</x:v>
      </x:c>
      <x:c r="I429" s="70" t="str">
        <x:v>校内成绩按学校规则；外考成绩不自动换GPA</x:v>
      </x:c>
      <x:c r="J429" s="70" t="str">
        <x:v>人工选择与审核</x:v>
      </x:c>
      <x:c r="K429" s="70" t="str">
        <x:v>未预填官方代码</x:v>
      </x:c>
      <x:c r="L429" s="70" t="str"/>
      <x:c r="M429" s="70" t="str">
        <x:v>V3-VCE</x:v>
      </x:c>
      <x:c r="N429" s="70" t="str">
        <x:v>https://www.vcaa.vic.edu.au/curriculum/vce-curriculum/vce-study-designs/vce-study-designs</x:v>
      </x:c>
    </x:row>
    <x:row r="430" ht="72" customHeight="1">
      <x:c r="A430" s="71" t="str">
        <x:v>C429</x:v>
      </x:c>
      <x:c r="B430" s="70" t="str">
        <x:v>AU-VCE</x:v>
      </x:c>
      <x:c r="C430" s="70" t="str">
        <x:v>学历学科</x:v>
      </x:c>
      <x:c r="D430" s="70" t="str">
        <x:v>VCE study</x:v>
      </x:c>
      <x:c r="E430" s="70" t="str">
        <x:v>目录层核对</x:v>
      </x:c>
      <x:c r="F430" s="70" t="str">
        <x:v>2026-09-17目录快照；按开课/考试年份复核</x:v>
      </x:c>
      <x:c r="G430" s="70" t="str">
        <x:v>启用前按年份和本校授权复核</x:v>
      </x:c>
      <x:c r="H430" s="70" t="str">
        <x:v>课程目录层</x:v>
      </x:c>
      <x:c r="I430" s="70" t="str">
        <x:v>校内成绩按学校规则；外考成绩不自动换GPA</x:v>
      </x:c>
      <x:c r="J430" s="70" t="str">
        <x:v>人工选择与审核</x:v>
      </x:c>
      <x:c r="K430" s="70" t="str">
        <x:v>未预填官方代码</x:v>
      </x:c>
      <x:c r="L430" s="70" t="str"/>
      <x:c r="M430" s="70" t="str">
        <x:v>V3-VCE</x:v>
      </x:c>
      <x:c r="N430" s="70" t="str">
        <x:v>https://www.vcaa.vic.edu.au/curriculum/vce-curriculum/vce-study-designs/vce-study-designs</x:v>
      </x:c>
    </x:row>
    <x:row r="431" ht="72" customHeight="1">
      <x:c r="A431" s="71" t="str">
        <x:v>C430</x:v>
      </x:c>
      <x:c r="B431" s="70" t="str">
        <x:v>AU-VCE</x:v>
      </x:c>
      <x:c r="C431" s="70" t="str">
        <x:v>学历学科</x:v>
      </x:c>
      <x:c r="D431" s="70" t="str">
        <x:v>VCE study</x:v>
      </x:c>
      <x:c r="E431" s="70" t="str">
        <x:v>目录层核对</x:v>
      </x:c>
      <x:c r="F431" s="70" t="str">
        <x:v>2026-09-17目录快照；按开课/考试年份复核</x:v>
      </x:c>
      <x:c r="G431" s="70" t="str">
        <x:v>启用前按年份和本校授权复核</x:v>
      </x:c>
      <x:c r="H431" s="70" t="str">
        <x:v>课程目录层</x:v>
      </x:c>
      <x:c r="I431" s="70" t="str">
        <x:v>校内成绩按学校规则；外考成绩不自动换GPA</x:v>
      </x:c>
      <x:c r="J431" s="70" t="str">
        <x:v>人工选择与审核</x:v>
      </x:c>
      <x:c r="K431" s="70" t="str">
        <x:v>未预填官方代码</x:v>
      </x:c>
      <x:c r="L431" s="70" t="str"/>
      <x:c r="M431" s="70" t="str">
        <x:v>V3-VCE</x:v>
      </x:c>
      <x:c r="N431" s="70" t="str">
        <x:v>https://www.vcaa.vic.edu.au/curriculum/vce-curriculum/vce-study-designs/vce-study-designs</x:v>
      </x:c>
    </x:row>
    <x:row r="432" ht="72" customHeight="1">
      <x:c r="A432" s="71" t="str">
        <x:v>C431</x:v>
      </x:c>
      <x:c r="B432" s="70" t="str">
        <x:v>AU-VCE</x:v>
      </x:c>
      <x:c r="C432" s="70" t="str">
        <x:v>学历学科</x:v>
      </x:c>
      <x:c r="D432" s="70" t="str">
        <x:v>VCE study</x:v>
      </x:c>
      <x:c r="E432" s="70" t="str">
        <x:v>目录层核对</x:v>
      </x:c>
      <x:c r="F432" s="70" t="str">
        <x:v>2026-09-17目录快照；按开课/考试年份复核</x:v>
      </x:c>
      <x:c r="G432" s="70" t="str">
        <x:v>启用前按年份和本校授权复核</x:v>
      </x:c>
      <x:c r="H432" s="70" t="str">
        <x:v>课程目录层</x:v>
      </x:c>
      <x:c r="I432" s="70" t="str">
        <x:v>校内成绩按学校规则；外考成绩不自动换GPA</x:v>
      </x:c>
      <x:c r="J432" s="70" t="str">
        <x:v>人工选择与审核</x:v>
      </x:c>
      <x:c r="K432" s="70" t="str">
        <x:v>未预填官方代码</x:v>
      </x:c>
      <x:c r="L432" s="70" t="str"/>
      <x:c r="M432" s="70" t="str">
        <x:v>V3-VCE</x:v>
      </x:c>
      <x:c r="N432" s="70" t="str">
        <x:v>https://www.vcaa.vic.edu.au/curriculum/vce-curriculum/vce-study-designs/vce-study-designs</x:v>
      </x:c>
    </x:row>
    <x:row r="433" ht="72" customHeight="1">
      <x:c r="A433" s="71" t="str">
        <x:v>C432</x:v>
      </x:c>
      <x:c r="B433" s="70" t="str">
        <x:v>AU-VCE</x:v>
      </x:c>
      <x:c r="C433" s="70" t="str">
        <x:v>学历学科</x:v>
      </x:c>
      <x:c r="D433" s="70" t="str">
        <x:v>VCE study</x:v>
      </x:c>
      <x:c r="E433" s="70" t="str">
        <x:v>目录层核对</x:v>
      </x:c>
      <x:c r="F433" s="70" t="str">
        <x:v>2026-09-17目录快照；按开课/考试年份复核</x:v>
      </x:c>
      <x:c r="G433" s="70" t="str">
        <x:v>启用前按年份和本校授权复核</x:v>
      </x:c>
      <x:c r="H433" s="70" t="str">
        <x:v>课程目录层</x:v>
      </x:c>
      <x:c r="I433" s="70" t="str">
        <x:v>校内成绩按学校规则；外考成绩不自动换GPA</x:v>
      </x:c>
      <x:c r="J433" s="70" t="str">
        <x:v>人工选择与审核</x:v>
      </x:c>
      <x:c r="K433" s="70" t="str">
        <x:v>未预填官方代码</x:v>
      </x:c>
      <x:c r="L433" s="70" t="str"/>
      <x:c r="M433" s="70" t="str">
        <x:v>V3-VCE</x:v>
      </x:c>
      <x:c r="N433" s="70" t="str">
        <x:v>https://www.vcaa.vic.edu.au/curriculum/vce-curriculum/vce-study-designs/vce-study-designs</x:v>
      </x:c>
    </x:row>
    <x:row r="434" ht="72" customHeight="1">
      <x:c r="A434" s="71" t="str">
        <x:v>C433</x:v>
      </x:c>
      <x:c r="B434" s="70" t="str">
        <x:v>AU-VCE</x:v>
      </x:c>
      <x:c r="C434" s="70" t="str">
        <x:v>学历学科</x:v>
      </x:c>
      <x:c r="D434" s="70" t="str">
        <x:v>VCE study</x:v>
      </x:c>
      <x:c r="E434" s="70" t="str">
        <x:v>目录层核对</x:v>
      </x:c>
      <x:c r="F434" s="70" t="str">
        <x:v>2026-09-17目录快照；按开课/考试年份复核</x:v>
      </x:c>
      <x:c r="G434" s="70" t="str">
        <x:v>启用前按年份和本校授权复核</x:v>
      </x:c>
      <x:c r="H434" s="70" t="str">
        <x:v>课程目录层</x:v>
      </x:c>
      <x:c r="I434" s="70" t="str">
        <x:v>校内成绩按学校规则；外考成绩不自动换GPA</x:v>
      </x:c>
      <x:c r="J434" s="70" t="str">
        <x:v>人工选择与审核</x:v>
      </x:c>
      <x:c r="K434" s="70" t="str">
        <x:v>未预填官方代码</x:v>
      </x:c>
      <x:c r="L434" s="70" t="str"/>
      <x:c r="M434" s="70" t="str">
        <x:v>V3-VCE</x:v>
      </x:c>
      <x:c r="N434" s="70" t="str">
        <x:v>https://www.vcaa.vic.edu.au/curriculum/vce-curriculum/vce-study-designs/vce-study-designs</x:v>
      </x:c>
    </x:row>
    <x:row r="435" ht="72" customHeight="1">
      <x:c r="A435" s="71" t="str">
        <x:v>C434</x:v>
      </x:c>
      <x:c r="B435" s="70" t="str">
        <x:v>AU-VCE</x:v>
      </x:c>
      <x:c r="C435" s="70" t="str">
        <x:v>学历学科</x:v>
      </x:c>
      <x:c r="D435" s="70" t="str">
        <x:v>VCE study</x:v>
      </x:c>
      <x:c r="E435" s="70" t="str">
        <x:v>目录层核对</x:v>
      </x:c>
      <x:c r="F435" s="70" t="str">
        <x:v>2026-09-17目录快照；按开课/考试年份复核</x:v>
      </x:c>
      <x:c r="G435" s="70" t="str">
        <x:v>启用前按年份和本校授权复核</x:v>
      </x:c>
      <x:c r="H435" s="70" t="str">
        <x:v>课程目录层</x:v>
      </x:c>
      <x:c r="I435" s="70" t="str">
        <x:v>校内成绩按学校规则；外考成绩不自动换GPA</x:v>
      </x:c>
      <x:c r="J435" s="70" t="str">
        <x:v>人工选择与审核</x:v>
      </x:c>
      <x:c r="K435" s="70" t="str">
        <x:v>未预填官方代码</x:v>
      </x:c>
      <x:c r="L435" s="70" t="str"/>
      <x:c r="M435" s="70" t="str">
        <x:v>V3-VCE</x:v>
      </x:c>
      <x:c r="N435" s="70" t="str">
        <x:v>https://www.vcaa.vic.edu.au/curriculum/vce-curriculum/vce-study-designs/vce-study-designs</x:v>
      </x:c>
    </x:row>
    <x:row r="436" ht="72" customHeight="1">
      <x:c r="A436" s="71" t="str">
        <x:v>C435</x:v>
      </x:c>
      <x:c r="B436" s="70" t="str">
        <x:v>AU-VCE</x:v>
      </x:c>
      <x:c r="C436" s="70" t="str">
        <x:v>学历学科</x:v>
      </x:c>
      <x:c r="D436" s="70" t="str">
        <x:v>VCE study</x:v>
      </x:c>
      <x:c r="E436" s="70" t="str">
        <x:v>目录层核对</x:v>
      </x:c>
      <x:c r="F436" s="70" t="str">
        <x:v>2026-09-17目录快照；按开课/考试年份复核</x:v>
      </x:c>
      <x:c r="G436" s="70" t="str">
        <x:v>启用前按年份和本校授权复核</x:v>
      </x:c>
      <x:c r="H436" s="70" t="str">
        <x:v>课程目录层</x:v>
      </x:c>
      <x:c r="I436" s="70" t="str">
        <x:v>校内成绩按学校规则；外考成绩不自动换GPA</x:v>
      </x:c>
      <x:c r="J436" s="70" t="str">
        <x:v>人工选择与审核</x:v>
      </x:c>
      <x:c r="K436" s="70" t="str">
        <x:v>未预填官方代码</x:v>
      </x:c>
      <x:c r="L436" s="70" t="str"/>
      <x:c r="M436" s="70" t="str">
        <x:v>V3-VCE</x:v>
      </x:c>
      <x:c r="N436" s="70" t="str">
        <x:v>https://www.vcaa.vic.edu.au/curriculum/vce-curriculum/vce-study-designs/vce-study-designs</x:v>
      </x:c>
    </x:row>
    <x:row r="437" ht="72" customHeight="1">
      <x:c r="A437" s="71" t="str">
        <x:v>C436</x:v>
      </x:c>
      <x:c r="B437" s="70" t="str">
        <x:v>AU-VCE</x:v>
      </x:c>
      <x:c r="C437" s="70" t="str">
        <x:v>学历学科</x:v>
      </x:c>
      <x:c r="D437" s="70" t="str">
        <x:v>VCE study</x:v>
      </x:c>
      <x:c r="E437" s="70" t="str">
        <x:v>目录层核对</x:v>
      </x:c>
      <x:c r="F437" s="70" t="str">
        <x:v>2026-09-17目录快照；按开课/考试年份复核</x:v>
      </x:c>
      <x:c r="G437" s="70" t="str">
        <x:v>启用前按年份和本校授权复核</x:v>
      </x:c>
      <x:c r="H437" s="70" t="str">
        <x:v>课程目录层</x:v>
      </x:c>
      <x:c r="I437" s="70" t="str">
        <x:v>校内成绩按学校规则；外考成绩不自动换GPA</x:v>
      </x:c>
      <x:c r="J437" s="70" t="str">
        <x:v>人工选择与审核</x:v>
      </x:c>
      <x:c r="K437" s="70" t="str">
        <x:v>未预填官方代码</x:v>
      </x:c>
      <x:c r="L437" s="70" t="str"/>
      <x:c r="M437" s="70" t="str">
        <x:v>V3-VCE</x:v>
      </x:c>
      <x:c r="N437" s="70" t="str">
        <x:v>https://www.vcaa.vic.edu.au/curriculum/vce-curriculum/vce-study-designs/vce-study-designs</x:v>
      </x:c>
    </x:row>
    <x:row r="438" ht="72" customHeight="1">
      <x:c r="A438" s="71" t="str">
        <x:v>C437</x:v>
      </x:c>
      <x:c r="B438" s="70" t="str">
        <x:v>AU-VCE</x:v>
      </x:c>
      <x:c r="C438" s="70" t="str">
        <x:v>学历学科</x:v>
      </x:c>
      <x:c r="D438" s="70" t="str">
        <x:v>VCE study</x:v>
      </x:c>
      <x:c r="E438" s="70" t="str">
        <x:v>目录层核对</x:v>
      </x:c>
      <x:c r="F438" s="70" t="str">
        <x:v>2026-09-17目录快照；按开课/考试年份复核</x:v>
      </x:c>
      <x:c r="G438" s="70" t="str">
        <x:v>启用前按年份和本校授权复核</x:v>
      </x:c>
      <x:c r="H438" s="70" t="str">
        <x:v>课程目录层</x:v>
      </x:c>
      <x:c r="I438" s="70" t="str">
        <x:v>校内成绩按学校规则；外考成绩不自动换GPA</x:v>
      </x:c>
      <x:c r="J438" s="70" t="str">
        <x:v>人工选择与审核</x:v>
      </x:c>
      <x:c r="K438" s="70" t="str">
        <x:v>未预填官方代码</x:v>
      </x:c>
      <x:c r="L438" s="70" t="str"/>
      <x:c r="M438" s="70" t="str">
        <x:v>V3-VCE</x:v>
      </x:c>
      <x:c r="N438" s="70" t="str">
        <x:v>https://www.vcaa.vic.edu.au/curriculum/vce-curriculum/vce-study-designs/vce-study-designs</x:v>
      </x:c>
    </x:row>
    <x:row r="439" ht="72" customHeight="1">
      <x:c r="A439" s="71" t="str">
        <x:v>C438</x:v>
      </x:c>
      <x:c r="B439" s="70" t="str">
        <x:v>AU-VCE</x:v>
      </x:c>
      <x:c r="C439" s="70" t="str">
        <x:v>学历学科</x:v>
      </x:c>
      <x:c r="D439" s="70" t="str">
        <x:v>VCE study</x:v>
      </x:c>
      <x:c r="E439" s="70" t="str">
        <x:v>目录层核对</x:v>
      </x:c>
      <x:c r="F439" s="70" t="str">
        <x:v>2026-09-17目录快照；按开课/考试年份复核</x:v>
      </x:c>
      <x:c r="G439" s="70" t="str">
        <x:v>启用前按年份和本校授权复核</x:v>
      </x:c>
      <x:c r="H439" s="70" t="str">
        <x:v>课程目录层</x:v>
      </x:c>
      <x:c r="I439" s="70" t="str">
        <x:v>校内成绩按学校规则；外考成绩不自动换GPA</x:v>
      </x:c>
      <x:c r="J439" s="70" t="str">
        <x:v>人工选择与审核</x:v>
      </x:c>
      <x:c r="K439" s="70" t="str">
        <x:v>未预填官方代码</x:v>
      </x:c>
      <x:c r="L439" s="70" t="str"/>
      <x:c r="M439" s="70" t="str">
        <x:v>V3-VCE</x:v>
      </x:c>
      <x:c r="N439" s="70" t="str">
        <x:v>https://www.vcaa.vic.edu.au/curriculum/vce-curriculum/vce-study-designs/vce-study-designs</x:v>
      </x:c>
    </x:row>
    <x:row r="440" ht="72" customHeight="1">
      <x:c r="A440" s="71" t="str">
        <x:v>C439</x:v>
      </x:c>
      <x:c r="B440" s="70" t="str">
        <x:v>AU-VCE</x:v>
      </x:c>
      <x:c r="C440" s="70" t="str">
        <x:v>学历学科</x:v>
      </x:c>
      <x:c r="D440" s="70" t="str">
        <x:v>VCE study</x:v>
      </x:c>
      <x:c r="E440" s="70" t="str">
        <x:v>目录层核对</x:v>
      </x:c>
      <x:c r="F440" s="70" t="str">
        <x:v>2026-09-17目录快照；按开课/考试年份复核</x:v>
      </x:c>
      <x:c r="G440" s="70" t="str">
        <x:v>启用前按年份和本校授权复核</x:v>
      </x:c>
      <x:c r="H440" s="70" t="str">
        <x:v>课程目录层</x:v>
      </x:c>
      <x:c r="I440" s="70" t="str">
        <x:v>校内成绩按学校规则；外考成绩不自动换GPA</x:v>
      </x:c>
      <x:c r="J440" s="70" t="str">
        <x:v>人工选择与审核</x:v>
      </x:c>
      <x:c r="K440" s="70" t="str">
        <x:v>未预填官方代码</x:v>
      </x:c>
      <x:c r="L440" s="70" t="str"/>
      <x:c r="M440" s="70" t="str">
        <x:v>V3-VCE</x:v>
      </x:c>
      <x:c r="N440" s="70" t="str">
        <x:v>https://www.vcaa.vic.edu.au/curriculum/vce-curriculum/vce-study-designs/vce-study-designs</x:v>
      </x:c>
    </x:row>
    <x:row r="441" ht="72" customHeight="1">
      <x:c r="A441" s="71" t="str">
        <x:v>C440</x:v>
      </x:c>
      <x:c r="B441" s="70" t="str">
        <x:v>AU-VCE</x:v>
      </x:c>
      <x:c r="C441" s="70" t="str">
        <x:v>学历学科</x:v>
      </x:c>
      <x:c r="D441" s="70" t="str">
        <x:v>VCE study</x:v>
      </x:c>
      <x:c r="E441" s="70" t="str">
        <x:v>目录层核对</x:v>
      </x:c>
      <x:c r="F441" s="70" t="str">
        <x:v>2026-09-17目录快照；按开课/考试年份复核</x:v>
      </x:c>
      <x:c r="G441" s="70" t="str">
        <x:v>启用前按年份和本校授权复核</x:v>
      </x:c>
      <x:c r="H441" s="70" t="str">
        <x:v>课程目录层</x:v>
      </x:c>
      <x:c r="I441" s="70" t="str">
        <x:v>校内成绩按学校规则；外考成绩不自动换GPA</x:v>
      </x:c>
      <x:c r="J441" s="70" t="str">
        <x:v>人工选择与审核</x:v>
      </x:c>
      <x:c r="K441" s="70" t="str">
        <x:v>未预填官方代码</x:v>
      </x:c>
      <x:c r="L441" s="70" t="str"/>
      <x:c r="M441" s="70" t="str">
        <x:v>V3-VCE</x:v>
      </x:c>
      <x:c r="N441" s="70" t="str">
        <x:v>https://www.vcaa.vic.edu.au/curriculum/vce-curriculum/vce-study-designs/vce-study-designs</x:v>
      </x:c>
    </x:row>
    <x:row r="442" ht="72" customHeight="1">
      <x:c r="A442" s="71" t="str">
        <x:v>C441</x:v>
      </x:c>
      <x:c r="B442" s="70" t="str">
        <x:v>AU-VCE</x:v>
      </x:c>
      <x:c r="C442" s="70" t="str">
        <x:v>学历学科</x:v>
      </x:c>
      <x:c r="D442" s="70" t="str">
        <x:v>VCE study</x:v>
      </x:c>
      <x:c r="E442" s="70" t="str">
        <x:v>目录层核对</x:v>
      </x:c>
      <x:c r="F442" s="70" t="str">
        <x:v>2026-09-17目录快照；按开课/考试年份复核</x:v>
      </x:c>
      <x:c r="G442" s="70" t="str">
        <x:v>启用前按年份和本校授权复核</x:v>
      </x:c>
      <x:c r="H442" s="70" t="str">
        <x:v>课程目录层</x:v>
      </x:c>
      <x:c r="I442" s="70" t="str">
        <x:v>校内成绩按学校规则；外考成绩不自动换GPA</x:v>
      </x:c>
      <x:c r="J442" s="70" t="str">
        <x:v>人工选择与审核</x:v>
      </x:c>
      <x:c r="K442" s="70" t="str">
        <x:v>未预填官方代码</x:v>
      </x:c>
      <x:c r="L442" s="70" t="str"/>
      <x:c r="M442" s="70" t="str">
        <x:v>V3-VCE</x:v>
      </x:c>
      <x:c r="N442" s="70" t="str">
        <x:v>https://www.vcaa.vic.edu.au/curriculum/vce-curriculum/vce-study-designs/vce-study-designs</x:v>
      </x:c>
    </x:row>
    <x:row r="443" ht="72" customHeight="1">
      <x:c r="A443" s="71" t="str">
        <x:v>C442</x:v>
      </x:c>
      <x:c r="B443" s="70" t="str">
        <x:v>AU-VCE</x:v>
      </x:c>
      <x:c r="C443" s="70" t="str">
        <x:v>学历学科</x:v>
      </x:c>
      <x:c r="D443" s="70" t="str">
        <x:v>VCE study</x:v>
      </x:c>
      <x:c r="E443" s="70" t="str">
        <x:v>目录层核对</x:v>
      </x:c>
      <x:c r="F443" s="70" t="str">
        <x:v>2026-09-17目录快照；按开课/考试年份复核</x:v>
      </x:c>
      <x:c r="G443" s="70" t="str">
        <x:v>启用前按年份和本校授权复核</x:v>
      </x:c>
      <x:c r="H443" s="70" t="str">
        <x:v>课程目录层</x:v>
      </x:c>
      <x:c r="I443" s="70" t="str">
        <x:v>校内成绩按学校规则；外考成绩不自动换GPA</x:v>
      </x:c>
      <x:c r="J443" s="70" t="str">
        <x:v>人工选择与审核</x:v>
      </x:c>
      <x:c r="K443" s="70" t="str">
        <x:v>未预填官方代码</x:v>
      </x:c>
      <x:c r="L443" s="70" t="str"/>
      <x:c r="M443" s="70" t="str">
        <x:v>V3-VCE</x:v>
      </x:c>
      <x:c r="N443" s="70" t="str">
        <x:v>https://www.vcaa.vic.edu.au/curriculum/vce-curriculum/vce-study-designs/vce-study-designs</x:v>
      </x:c>
    </x:row>
    <x:row r="444" ht="72" customHeight="1">
      <x:c r="A444" s="71" t="str">
        <x:v>C443</x:v>
      </x:c>
      <x:c r="B444" s="70" t="str">
        <x:v>AU-VCE</x:v>
      </x:c>
      <x:c r="C444" s="70" t="str">
        <x:v>学历学科</x:v>
      </x:c>
      <x:c r="D444" s="70" t="str">
        <x:v>VCE study</x:v>
      </x:c>
      <x:c r="E444" s="70" t="str">
        <x:v>目录层核对</x:v>
      </x:c>
      <x:c r="F444" s="70" t="str">
        <x:v>2026-09-17目录快照；按开课/考试年份复核</x:v>
      </x:c>
      <x:c r="G444" s="70" t="str">
        <x:v>启用前按年份和本校授权复核</x:v>
      </x:c>
      <x:c r="H444" s="70" t="str">
        <x:v>课程目录层</x:v>
      </x:c>
      <x:c r="I444" s="70" t="str">
        <x:v>校内成绩按学校规则；外考成绩不自动换GPA</x:v>
      </x:c>
      <x:c r="J444" s="70" t="str">
        <x:v>人工选择与审核</x:v>
      </x:c>
      <x:c r="K444" s="70" t="str">
        <x:v>未预填官方代码</x:v>
      </x:c>
      <x:c r="L444" s="70" t="str"/>
      <x:c r="M444" s="70" t="str">
        <x:v>V3-VCE</x:v>
      </x:c>
      <x:c r="N444" s="70" t="str">
        <x:v>https://www.vcaa.vic.edu.au/curriculum/vce-curriculum/vce-study-designs/vce-study-designs</x:v>
      </x:c>
    </x:row>
    <x:row r="445" ht="72" customHeight="1">
      <x:c r="A445" s="71" t="str">
        <x:v>C444</x:v>
      </x:c>
      <x:c r="B445" s="70" t="str">
        <x:v>AU-VCE</x:v>
      </x:c>
      <x:c r="C445" s="70" t="str">
        <x:v>学历学科</x:v>
      </x:c>
      <x:c r="D445" s="70" t="str">
        <x:v>VCE study</x:v>
      </x:c>
      <x:c r="E445" s="70" t="str">
        <x:v>目录层核对</x:v>
      </x:c>
      <x:c r="F445" s="70" t="str">
        <x:v>2026-09-17目录快照；按开课/考试年份复核</x:v>
      </x:c>
      <x:c r="G445" s="70" t="str">
        <x:v>启用前按年份和本校授权复核</x:v>
      </x:c>
      <x:c r="H445" s="70" t="str">
        <x:v>课程目录层</x:v>
      </x:c>
      <x:c r="I445" s="70" t="str">
        <x:v>校内成绩按学校规则；外考成绩不自动换GPA</x:v>
      </x:c>
      <x:c r="J445" s="70" t="str">
        <x:v>人工选择与审核</x:v>
      </x:c>
      <x:c r="K445" s="70" t="str">
        <x:v>未预填官方代码</x:v>
      </x:c>
      <x:c r="L445" s="70" t="str"/>
      <x:c r="M445" s="70" t="str">
        <x:v>V3-VCE</x:v>
      </x:c>
      <x:c r="N445" s="70" t="str">
        <x:v>https://www.vcaa.vic.edu.au/curriculum/vce-curriculum/vce-study-designs/vce-study-designs</x:v>
      </x:c>
    </x:row>
    <x:row r="446" ht="72" customHeight="1">
      <x:c r="A446" s="71" t="str">
        <x:v>C445</x:v>
      </x:c>
      <x:c r="B446" s="70" t="str">
        <x:v>AU-VCE</x:v>
      </x:c>
      <x:c r="C446" s="70" t="str">
        <x:v>学历学科</x:v>
      </x:c>
      <x:c r="D446" s="70" t="str">
        <x:v>VCE study</x:v>
      </x:c>
      <x:c r="E446" s="70" t="str">
        <x:v>目录层核对</x:v>
      </x:c>
      <x:c r="F446" s="70" t="str">
        <x:v>2026-09-17目录快照；按开课/考试年份复核</x:v>
      </x:c>
      <x:c r="G446" s="70" t="str">
        <x:v>启用前按年份和本校授权复核</x:v>
      </x:c>
      <x:c r="H446" s="70" t="str">
        <x:v>课程目录层</x:v>
      </x:c>
      <x:c r="I446" s="70" t="str">
        <x:v>校内成绩按学校规则；外考成绩不自动换GPA</x:v>
      </x:c>
      <x:c r="J446" s="70" t="str">
        <x:v>人工选择与审核</x:v>
      </x:c>
      <x:c r="K446" s="70" t="str">
        <x:v>未预填官方代码</x:v>
      </x:c>
      <x:c r="L446" s="70" t="str"/>
      <x:c r="M446" s="70" t="str">
        <x:v>V3-VCE</x:v>
      </x:c>
      <x:c r="N446" s="70" t="str">
        <x:v>https://www.vcaa.vic.edu.au/curriculum/vce-curriculum/vce-study-designs/vce-study-designs</x:v>
      </x:c>
    </x:row>
    <x:row r="447" ht="72" customHeight="1">
      <x:c r="A447" s="71" t="str">
        <x:v>C446</x:v>
      </x:c>
      <x:c r="B447" s="70" t="str">
        <x:v>AU-VCE</x:v>
      </x:c>
      <x:c r="C447" s="70" t="str">
        <x:v>学历学科</x:v>
      </x:c>
      <x:c r="D447" s="70" t="str">
        <x:v>VCE study</x:v>
      </x:c>
      <x:c r="E447" s="70" t="str">
        <x:v>目录层核对</x:v>
      </x:c>
      <x:c r="F447" s="70" t="str">
        <x:v>2026-09-17目录快照；按开课/考试年份复核</x:v>
      </x:c>
      <x:c r="G447" s="70" t="str">
        <x:v>启用前按年份和本校授权复核</x:v>
      </x:c>
      <x:c r="H447" s="70" t="str">
        <x:v>课程目录层</x:v>
      </x:c>
      <x:c r="I447" s="70" t="str">
        <x:v>校内成绩按学校规则；外考成绩不自动换GPA</x:v>
      </x:c>
      <x:c r="J447" s="70" t="str">
        <x:v>人工选择与审核</x:v>
      </x:c>
      <x:c r="K447" s="70" t="str">
        <x:v>未预填官方代码</x:v>
      </x:c>
      <x:c r="L447" s="70" t="str"/>
      <x:c r="M447" s="70" t="str">
        <x:v>V3-VCE</x:v>
      </x:c>
      <x:c r="N447" s="70" t="str">
        <x:v>https://www.vcaa.vic.edu.au/curriculum/vce-curriculum/vce-study-designs/vce-study-designs</x:v>
      </x:c>
    </x:row>
    <x:row r="448" ht="72" customHeight="1">
      <x:c r="A448" s="71" t="str">
        <x:v>C447</x:v>
      </x:c>
      <x:c r="B448" s="70" t="str">
        <x:v>AU-VCE</x:v>
      </x:c>
      <x:c r="C448" s="70" t="str">
        <x:v>学历学科</x:v>
      </x:c>
      <x:c r="D448" s="70" t="str">
        <x:v>VCE study</x:v>
      </x:c>
      <x:c r="E448" s="70" t="str">
        <x:v>目录层核对</x:v>
      </x:c>
      <x:c r="F448" s="70" t="str">
        <x:v>2026-09-17目录快照；按开课/考试年份复核</x:v>
      </x:c>
      <x:c r="G448" s="70" t="str">
        <x:v>启用前按年份和本校授权复核</x:v>
      </x:c>
      <x:c r="H448" s="70" t="str">
        <x:v>课程目录层</x:v>
      </x:c>
      <x:c r="I448" s="70" t="str">
        <x:v>校内成绩按学校规则；外考成绩不自动换GPA</x:v>
      </x:c>
      <x:c r="J448" s="70" t="str">
        <x:v>人工选择与审核</x:v>
      </x:c>
      <x:c r="K448" s="70" t="str">
        <x:v>未预填官方代码</x:v>
      </x:c>
      <x:c r="L448" s="70" t="str"/>
      <x:c r="M448" s="70" t="str">
        <x:v>V3-VCE</x:v>
      </x:c>
      <x:c r="N448" s="70" t="str">
        <x:v>https://www.vcaa.vic.edu.au/curriculum/vce-curriculum/vce-study-designs/vce-study-designs</x:v>
      </x:c>
    </x:row>
    <x:row r="449" ht="72" customHeight="1">
      <x:c r="A449" s="71" t="str">
        <x:v>C448</x:v>
      </x:c>
      <x:c r="B449" s="70" t="str">
        <x:v>AU-VCE</x:v>
      </x:c>
      <x:c r="C449" s="70" t="str">
        <x:v>学历学科</x:v>
      </x:c>
      <x:c r="D449" s="70" t="str">
        <x:v>VCE study</x:v>
      </x:c>
      <x:c r="E449" s="70" t="str">
        <x:v>目录层核对</x:v>
      </x:c>
      <x:c r="F449" s="70" t="str">
        <x:v>2026-09-17目录快照；按开课/考试年份复核</x:v>
      </x:c>
      <x:c r="G449" s="70" t="str">
        <x:v>启用前按年份和本校授权复核</x:v>
      </x:c>
      <x:c r="H449" s="70" t="str">
        <x:v>课程目录层</x:v>
      </x:c>
      <x:c r="I449" s="70" t="str">
        <x:v>校内成绩按学校规则；外考成绩不自动换GPA</x:v>
      </x:c>
      <x:c r="J449" s="70" t="str">
        <x:v>人工选择与审核</x:v>
      </x:c>
      <x:c r="K449" s="70" t="str">
        <x:v>未预填官方代码</x:v>
      </x:c>
      <x:c r="L449" s="70" t="str"/>
      <x:c r="M449" s="70" t="str">
        <x:v>V3-VCE</x:v>
      </x:c>
      <x:c r="N449" s="70" t="str">
        <x:v>https://www.vcaa.vic.edu.au/curriculum/vce-curriculum/vce-study-designs/vce-study-designs</x:v>
      </x:c>
    </x:row>
    <x:row r="450" ht="72" customHeight="1">
      <x:c r="A450" s="71" t="str">
        <x:v>C449</x:v>
      </x:c>
      <x:c r="B450" s="70" t="str">
        <x:v>AU-VCE</x:v>
      </x:c>
      <x:c r="C450" s="70" t="str">
        <x:v>核心项目</x:v>
      </x:c>
      <x:c r="D450" s="70" t="str">
        <x:v>VCE study</x:v>
      </x:c>
      <x:c r="E450" s="70" t="str">
        <x:v>目录层核对</x:v>
      </x:c>
      <x:c r="F450" s="70" t="str">
        <x:v>2026-09-17目录快照；按开课/考试年份复核</x:v>
      </x:c>
      <x:c r="G450" s="70" t="str">
        <x:v>启用前按年份和本校授权复核</x:v>
      </x:c>
      <x:c r="H450" s="70" t="str">
        <x:v>课程目录层</x:v>
      </x:c>
      <x:c r="I450" s="70" t="str">
        <x:v>非普通分数学科；学校另定评价</x:v>
      </x:c>
      <x:c r="J450" s="70" t="str">
        <x:v>人工选择与审核</x:v>
      </x:c>
      <x:c r="K450" s="70" t="str">
        <x:v>未预填官方代码</x:v>
      </x:c>
      <x:c r="L450" s="70" t="str"/>
      <x:c r="M450" s="70" t="str">
        <x:v>V3-VCE</x:v>
      </x:c>
      <x:c r="N450" s="70" t="str">
        <x:v>https://www.vcaa.vic.edu.au/curriculum/vce-curriculum/vce-study-designs/vce-study-designs</x:v>
      </x:c>
    </x:row>
    <x:row r="451" ht="72" customHeight="1">
      <x:c r="A451" s="71" t="str">
        <x:v>C450</x:v>
      </x:c>
      <x:c r="B451" s="70" t="str">
        <x:v>AU-VCE</x:v>
      </x:c>
      <x:c r="C451" s="70" t="str">
        <x:v>学历学科</x:v>
      </x:c>
      <x:c r="D451" s="70" t="str">
        <x:v>VCE study</x:v>
      </x:c>
      <x:c r="E451" s="70" t="str">
        <x:v>目录层核对</x:v>
      </x:c>
      <x:c r="F451" s="70" t="str">
        <x:v>2026-09-17目录快照；按开课/考试年份复核</x:v>
      </x:c>
      <x:c r="G451" s="70" t="str">
        <x:v>启用前按年份和本校授权复核</x:v>
      </x:c>
      <x:c r="H451" s="70" t="str">
        <x:v>课程目录层</x:v>
      </x:c>
      <x:c r="I451" s="70" t="str">
        <x:v>校内成绩按学校规则；外考成绩不自动换GPA</x:v>
      </x:c>
      <x:c r="J451" s="70" t="str">
        <x:v>人工选择与审核</x:v>
      </x:c>
      <x:c r="K451" s="70" t="str">
        <x:v>未预填官方代码</x:v>
      </x:c>
      <x:c r="L451" s="70" t="str"/>
      <x:c r="M451" s="70" t="str">
        <x:v>V3-VCE</x:v>
      </x:c>
      <x:c r="N451" s="70" t="str">
        <x:v>https://www.vcaa.vic.edu.au/curriculum/vce-curriculum/vce-study-designs/vce-study-designs</x:v>
      </x:c>
    </x:row>
    <x:row r="452" ht="72" customHeight="1">
      <x:c r="A452" s="71" t="str">
        <x:v>C451</x:v>
      </x:c>
      <x:c r="B452" s="70" t="str">
        <x:v>AU-HSC</x:v>
      </x:c>
      <x:c r="C452" s="70" t="str">
        <x:v>学历学科</x:v>
      </x:c>
      <x:c r="D452" s="70" t="str">
        <x:v>Years 11–12</x:v>
      </x:c>
      <x:c r="E452" s="70" t="str">
        <x:v>目录层核对</x:v>
      </x:c>
      <x:c r="F452" s="70" t="str">
        <x:v>2026目录；新旧syllabus按Year 11/12及首考年份分别选择</x:v>
      </x:c>
      <x:c r="G452" s="70" t="str">
        <x:v>启用前按年份和本校授权复核</x:v>
      </x:c>
      <x:c r="H452" s="70" t="str">
        <x:v>课程目录层</x:v>
      </x:c>
      <x:c r="I452" s="70" t="str">
        <x:v>校内成绩按学校规则；外考成绩不自动换GPA</x:v>
      </x:c>
      <x:c r="J452" s="70" t="str">
        <x:v>人工选择与审核</x:v>
      </x:c>
      <x:c r="K452" s="70" t="str">
        <x:v>未预填官方代码</x:v>
      </x:c>
      <x:c r="L452" s="70" t="str"/>
      <x:c r="M452" s="70" t="str">
        <x:v>V3-HSC</x:v>
      </x:c>
      <x:c r="N452" s="70" t="str">
        <x:v>https://curriculum.nsw.edu.au/stages/senior</x:v>
      </x:c>
    </x:row>
    <x:row r="453" ht="72" customHeight="1">
      <x:c r="A453" s="71" t="str">
        <x:v>C452</x:v>
      </x:c>
      <x:c r="B453" s="70" t="str">
        <x:v>AU-HSC</x:v>
      </x:c>
      <x:c r="C453" s="70" t="str">
        <x:v>学历学科</x:v>
      </x:c>
      <x:c r="D453" s="70" t="str">
        <x:v>Years 11–12</x:v>
      </x:c>
      <x:c r="E453" s="70" t="str">
        <x:v>目录层核对</x:v>
      </x:c>
      <x:c r="F453" s="70" t="str">
        <x:v>2026目录；新旧syllabus按Year 11/12及首考年份分别选择</x:v>
      </x:c>
      <x:c r="G453" s="70" t="str">
        <x:v>启用前按年份和本校授权复核</x:v>
      </x:c>
      <x:c r="H453" s="70" t="str">
        <x:v>课程目录层</x:v>
      </x:c>
      <x:c r="I453" s="70" t="str">
        <x:v>校内成绩按学校规则；外考成绩不自动换GPA</x:v>
      </x:c>
      <x:c r="J453" s="70" t="str">
        <x:v>人工选择与审核</x:v>
      </x:c>
      <x:c r="K453" s="70" t="str">
        <x:v>未预填官方代码</x:v>
      </x:c>
      <x:c r="L453" s="70" t="str"/>
      <x:c r="M453" s="70" t="str">
        <x:v>V3-HSC</x:v>
      </x:c>
      <x:c r="N453" s="70" t="str">
        <x:v>https://curriculum.nsw.edu.au/stages/senior</x:v>
      </x:c>
    </x:row>
    <x:row r="454" ht="72" customHeight="1">
      <x:c r="A454" s="71" t="str">
        <x:v>C453</x:v>
      </x:c>
      <x:c r="B454" s="70" t="str">
        <x:v>AU-HSC</x:v>
      </x:c>
      <x:c r="C454" s="70" t="str">
        <x:v>学历学科</x:v>
      </x:c>
      <x:c r="D454" s="70" t="str">
        <x:v>Years 11–12</x:v>
      </x:c>
      <x:c r="E454" s="70" t="str">
        <x:v>目录层核对</x:v>
      </x:c>
      <x:c r="F454" s="70" t="str">
        <x:v>2026目录；新旧syllabus按Year 11/12及首考年份分别选择</x:v>
      </x:c>
      <x:c r="G454" s="70" t="str">
        <x:v>启用前按年份和本校授权复核</x:v>
      </x:c>
      <x:c r="H454" s="70" t="str">
        <x:v>课程目录层</x:v>
      </x:c>
      <x:c r="I454" s="70" t="str">
        <x:v>校内成绩按学校规则；外考成绩不自动换GPA</x:v>
      </x:c>
      <x:c r="J454" s="70" t="str">
        <x:v>人工选择与审核</x:v>
      </x:c>
      <x:c r="K454" s="70" t="str">
        <x:v>未预填官方代码</x:v>
      </x:c>
      <x:c r="L454" s="70" t="str"/>
      <x:c r="M454" s="70" t="str">
        <x:v>V3-HSC</x:v>
      </x:c>
      <x:c r="N454" s="70" t="str">
        <x:v>https://curriculum.nsw.edu.au/stages/senior</x:v>
      </x:c>
    </x:row>
    <x:row r="455" ht="72" customHeight="1">
      <x:c r="A455" s="71" t="str">
        <x:v>C454</x:v>
      </x:c>
      <x:c r="B455" s="70" t="str">
        <x:v>AU-HSC</x:v>
      </x:c>
      <x:c r="C455" s="70" t="str">
        <x:v>学历学科</x:v>
      </x:c>
      <x:c r="D455" s="70" t="str">
        <x:v>Years 11–12</x:v>
      </x:c>
      <x:c r="E455" s="70" t="str">
        <x:v>目录层核对</x:v>
      </x:c>
      <x:c r="F455" s="70" t="str">
        <x:v>2026目录；新旧syllabus按Year 11/12及首考年份分别选择</x:v>
      </x:c>
      <x:c r="G455" s="70" t="str">
        <x:v>启用前按年份和本校授权复核</x:v>
      </x:c>
      <x:c r="H455" s="70" t="str">
        <x:v>课程目录层</x:v>
      </x:c>
      <x:c r="I455" s="70" t="str">
        <x:v>校内成绩按学校规则；外考成绩不自动换GPA</x:v>
      </x:c>
      <x:c r="J455" s="70" t="str">
        <x:v>人工选择与审核</x:v>
      </x:c>
      <x:c r="K455" s="70" t="str">
        <x:v>未预填官方代码</x:v>
      </x:c>
      <x:c r="L455" s="70" t="str"/>
      <x:c r="M455" s="70" t="str">
        <x:v>V3-HSC</x:v>
      </x:c>
      <x:c r="N455" s="70" t="str">
        <x:v>https://curriculum.nsw.edu.au/stages/senior</x:v>
      </x:c>
    </x:row>
    <x:row r="456" ht="72" customHeight="1">
      <x:c r="A456" s="71" t="str">
        <x:v>C455</x:v>
      </x:c>
      <x:c r="B456" s="70" t="str">
        <x:v>AU-HSC</x:v>
      </x:c>
      <x:c r="C456" s="70" t="str">
        <x:v>学历学科</x:v>
      </x:c>
      <x:c r="D456" s="70" t="str">
        <x:v>Years 11–12</x:v>
      </x:c>
      <x:c r="E456" s="70" t="str">
        <x:v>目录层核对</x:v>
      </x:c>
      <x:c r="F456" s="70" t="str">
        <x:v>2026目录；新旧syllabus按Year 11/12及首考年份分别选择</x:v>
      </x:c>
      <x:c r="G456" s="70" t="str">
        <x:v>启用前按年份和本校授权复核</x:v>
      </x:c>
      <x:c r="H456" s="70" t="str">
        <x:v>课程目录层</x:v>
      </x:c>
      <x:c r="I456" s="70" t="str">
        <x:v>校内成绩按学校规则；外考成绩不自动换GPA</x:v>
      </x:c>
      <x:c r="J456" s="70" t="str">
        <x:v>人工选择与审核</x:v>
      </x:c>
      <x:c r="K456" s="70" t="str">
        <x:v>未预填官方代码</x:v>
      </x:c>
      <x:c r="L456" s="70" t="str"/>
      <x:c r="M456" s="70" t="str">
        <x:v>V3-HSC</x:v>
      </x:c>
      <x:c r="N456" s="70" t="str">
        <x:v>https://curriculum.nsw.edu.au/stages/senior</x:v>
      </x:c>
    </x:row>
    <x:row r="457" ht="72" customHeight="1">
      <x:c r="A457" s="71" t="str">
        <x:v>C456</x:v>
      </x:c>
      <x:c r="B457" s="70" t="str">
        <x:v>AU-HSC</x:v>
      </x:c>
      <x:c r="C457" s="70" t="str">
        <x:v>学历学科</x:v>
      </x:c>
      <x:c r="D457" s="70" t="str">
        <x:v>Years 11–12</x:v>
      </x:c>
      <x:c r="E457" s="70" t="str">
        <x:v>目录层核对</x:v>
      </x:c>
      <x:c r="F457" s="70" t="str">
        <x:v>2026目录；新旧syllabus按Year 11/12及首考年份分别选择</x:v>
      </x:c>
      <x:c r="G457" s="70" t="str">
        <x:v>启用前按年份和本校授权复核</x:v>
      </x:c>
      <x:c r="H457" s="70" t="str">
        <x:v>课程目录层</x:v>
      </x:c>
      <x:c r="I457" s="70" t="str">
        <x:v>校内成绩按学校规则；外考成绩不自动换GPA</x:v>
      </x:c>
      <x:c r="J457" s="70" t="str">
        <x:v>人工选择与审核</x:v>
      </x:c>
      <x:c r="K457" s="70" t="str">
        <x:v>未预填官方代码</x:v>
      </x:c>
      <x:c r="L457" s="70" t="str"/>
      <x:c r="M457" s="70" t="str">
        <x:v>V3-HSC</x:v>
      </x:c>
      <x:c r="N457" s="70" t="str">
        <x:v>https://curriculum.nsw.edu.au/stages/senior</x:v>
      </x:c>
    </x:row>
    <x:row r="458" ht="72" customHeight="1">
      <x:c r="A458" s="71" t="str">
        <x:v>C457</x:v>
      </x:c>
      <x:c r="B458" s="70" t="str">
        <x:v>AU-HSC</x:v>
      </x:c>
      <x:c r="C458" s="70" t="str">
        <x:v>学历学科</x:v>
      </x:c>
      <x:c r="D458" s="70" t="str">
        <x:v>Years 11–12</x:v>
      </x:c>
      <x:c r="E458" s="70" t="str">
        <x:v>目录层核对</x:v>
      </x:c>
      <x:c r="F458" s="70" t="str">
        <x:v>2026目录；新旧syllabus按Year 11/12及首考年份分别选择</x:v>
      </x:c>
      <x:c r="G458" s="70" t="str">
        <x:v>启用前按年份和本校授权复核</x:v>
      </x:c>
      <x:c r="H458" s="70" t="str">
        <x:v>课程目录层</x:v>
      </x:c>
      <x:c r="I458" s="70" t="str">
        <x:v>校内成绩按学校规则；外考成绩不自动换GPA</x:v>
      </x:c>
      <x:c r="J458" s="70" t="str">
        <x:v>人工选择与审核</x:v>
      </x:c>
      <x:c r="K458" s="70" t="str">
        <x:v>未预填官方代码</x:v>
      </x:c>
      <x:c r="L458" s="70" t="str"/>
      <x:c r="M458" s="70" t="str">
        <x:v>V3-HSC</x:v>
      </x:c>
      <x:c r="N458" s="70" t="str">
        <x:v>https://curriculum.nsw.edu.au/stages/senior</x:v>
      </x:c>
    </x:row>
    <x:row r="459" ht="72" customHeight="1">
      <x:c r="A459" s="71" t="str">
        <x:v>C458</x:v>
      </x:c>
      <x:c r="B459" s="70" t="str">
        <x:v>AU-HSC</x:v>
      </x:c>
      <x:c r="C459" s="70" t="str">
        <x:v>学历学科</x:v>
      </x:c>
      <x:c r="D459" s="70" t="str">
        <x:v>Years 11–12</x:v>
      </x:c>
      <x:c r="E459" s="70" t="str">
        <x:v>目录层核对</x:v>
      </x:c>
      <x:c r="F459" s="70" t="str">
        <x:v>2026目录；新旧syllabus按Year 11/12及首考年份分别选择</x:v>
      </x:c>
      <x:c r="G459" s="70" t="str">
        <x:v>启用前按年份和本校授权复核</x:v>
      </x:c>
      <x:c r="H459" s="70" t="str">
        <x:v>课程目录层</x:v>
      </x:c>
      <x:c r="I459" s="70" t="str">
        <x:v>校内成绩按学校规则；外考成绩不自动换GPA</x:v>
      </x:c>
      <x:c r="J459" s="70" t="str">
        <x:v>人工选择与审核</x:v>
      </x:c>
      <x:c r="K459" s="70" t="str">
        <x:v>未预填官方代码</x:v>
      </x:c>
      <x:c r="L459" s="70" t="str"/>
      <x:c r="M459" s="70" t="str">
        <x:v>V3-HSC</x:v>
      </x:c>
      <x:c r="N459" s="70" t="str">
        <x:v>https://curriculum.nsw.edu.au/stages/senior</x:v>
      </x:c>
    </x:row>
    <x:row r="460" ht="72" customHeight="1">
      <x:c r="A460" s="71" t="str">
        <x:v>C459</x:v>
      </x:c>
      <x:c r="B460" s="70" t="str">
        <x:v>AU-HSC</x:v>
      </x:c>
      <x:c r="C460" s="70" t="str">
        <x:v>学历学科</x:v>
      </x:c>
      <x:c r="D460" s="70" t="str">
        <x:v>Years 11–12</x:v>
      </x:c>
      <x:c r="E460" s="70" t="str">
        <x:v>目录层核对</x:v>
      </x:c>
      <x:c r="F460" s="70" t="str">
        <x:v>2026目录；新旧syllabus按Year 11/12及首考年份分别选择</x:v>
      </x:c>
      <x:c r="G460" s="70" t="str">
        <x:v>启用前按年份和本校授权复核</x:v>
      </x:c>
      <x:c r="H460" s="70" t="str">
        <x:v>课程目录层</x:v>
      </x:c>
      <x:c r="I460" s="70" t="str">
        <x:v>校内成绩按学校规则；外考成绩不自动换GPA</x:v>
      </x:c>
      <x:c r="J460" s="70" t="str">
        <x:v>人工选择与审核</x:v>
      </x:c>
      <x:c r="K460" s="70" t="str">
        <x:v>未预填官方代码</x:v>
      </x:c>
      <x:c r="L460" s="70" t="str"/>
      <x:c r="M460" s="70" t="str">
        <x:v>V3-HSC</x:v>
      </x:c>
      <x:c r="N460" s="70" t="str">
        <x:v>https://curriculum.nsw.edu.au/stages/senior</x:v>
      </x:c>
    </x:row>
    <x:row r="461" ht="72" customHeight="1">
      <x:c r="A461" s="71" t="str">
        <x:v>C460</x:v>
      </x:c>
      <x:c r="B461" s="70" t="str">
        <x:v>AU-HSC</x:v>
      </x:c>
      <x:c r="C461" s="70" t="str">
        <x:v>学历学科</x:v>
      </x:c>
      <x:c r="D461" s="70" t="str">
        <x:v>Years 11–12</x:v>
      </x:c>
      <x:c r="E461" s="70" t="str">
        <x:v>目录层核对</x:v>
      </x:c>
      <x:c r="F461" s="70" t="str">
        <x:v>2026目录；新旧syllabus按Year 11/12及首考年份分别选择</x:v>
      </x:c>
      <x:c r="G461" s="70" t="str">
        <x:v>启用前按年份和本校授权复核</x:v>
      </x:c>
      <x:c r="H461" s="70" t="str">
        <x:v>课程目录层</x:v>
      </x:c>
      <x:c r="I461" s="70" t="str">
        <x:v>校内成绩按学校规则；外考成绩不自动换GPA</x:v>
      </x:c>
      <x:c r="J461" s="70" t="str">
        <x:v>人工选择与审核</x:v>
      </x:c>
      <x:c r="K461" s="70" t="str">
        <x:v>未预填官方代码</x:v>
      </x:c>
      <x:c r="L461" s="70" t="str"/>
      <x:c r="M461" s="70" t="str">
        <x:v>V3-HSC</x:v>
      </x:c>
      <x:c r="N461" s="70" t="str">
        <x:v>https://curriculum.nsw.edu.au/stages/senior</x:v>
      </x:c>
    </x:row>
    <x:row r="462" ht="72" customHeight="1">
      <x:c r="A462" s="71" t="str">
        <x:v>C461</x:v>
      </x:c>
      <x:c r="B462" s="70" t="str">
        <x:v>AU-HSC</x:v>
      </x:c>
      <x:c r="C462" s="70" t="str">
        <x:v>学历学科</x:v>
      </x:c>
      <x:c r="D462" s="70" t="str">
        <x:v>Years 11–12</x:v>
      </x:c>
      <x:c r="E462" s="70" t="str">
        <x:v>目录层核对</x:v>
      </x:c>
      <x:c r="F462" s="70" t="str">
        <x:v>2026目录；新旧syllabus按Year 11/12及首考年份分别选择</x:v>
      </x:c>
      <x:c r="G462" s="70" t="str">
        <x:v>启用前按年份和本校授权复核</x:v>
      </x:c>
      <x:c r="H462" s="70" t="str">
        <x:v>课程目录层</x:v>
      </x:c>
      <x:c r="I462" s="70" t="str">
        <x:v>校内成绩按学校规则；外考成绩不自动换GPA</x:v>
      </x:c>
      <x:c r="J462" s="70" t="str">
        <x:v>人工选择与审核</x:v>
      </x:c>
      <x:c r="K462" s="70" t="str">
        <x:v>未预填官方代码</x:v>
      </x:c>
      <x:c r="L462" s="70" t="str"/>
      <x:c r="M462" s="70" t="str">
        <x:v>V3-HSC</x:v>
      </x:c>
      <x:c r="N462" s="70" t="str">
        <x:v>https://curriculum.nsw.edu.au/stages/senior</x:v>
      </x:c>
    </x:row>
    <x:row r="463" ht="72" customHeight="1">
      <x:c r="A463" s="71" t="str">
        <x:v>C462</x:v>
      </x:c>
      <x:c r="B463" s="70" t="str">
        <x:v>AU-HSC</x:v>
      </x:c>
      <x:c r="C463" s="70" t="str">
        <x:v>学历学科</x:v>
      </x:c>
      <x:c r="D463" s="70" t="str">
        <x:v>Years 11–12</x:v>
      </x:c>
      <x:c r="E463" s="70" t="str">
        <x:v>目录层核对</x:v>
      </x:c>
      <x:c r="F463" s="70" t="str">
        <x:v>2026目录；新旧syllabus按Year 11/12及首考年份分别选择</x:v>
      </x:c>
      <x:c r="G463" s="70" t="str">
        <x:v>启用前按年份和本校授权复核</x:v>
      </x:c>
      <x:c r="H463" s="70" t="str">
        <x:v>课程目录层</x:v>
      </x:c>
      <x:c r="I463" s="70" t="str">
        <x:v>校内成绩按学校规则；外考成绩不自动换GPA</x:v>
      </x:c>
      <x:c r="J463" s="70" t="str">
        <x:v>人工选择与审核</x:v>
      </x:c>
      <x:c r="K463" s="70" t="str">
        <x:v>未预填官方代码</x:v>
      </x:c>
      <x:c r="L463" s="70" t="str"/>
      <x:c r="M463" s="70" t="str">
        <x:v>V3-HSC</x:v>
      </x:c>
      <x:c r="N463" s="70" t="str">
        <x:v>https://curriculum.nsw.edu.au/stages/senior</x:v>
      </x:c>
    </x:row>
    <x:row r="464" ht="72" customHeight="1">
      <x:c r="A464" s="71" t="str">
        <x:v>C463</x:v>
      </x:c>
      <x:c r="B464" s="70" t="str">
        <x:v>AU-HSC</x:v>
      </x:c>
      <x:c r="C464" s="70" t="str">
        <x:v>学历学科</x:v>
      </x:c>
      <x:c r="D464" s="70" t="str">
        <x:v>Years 11–12</x:v>
      </x:c>
      <x:c r="E464" s="70" t="str">
        <x:v>目录层核对</x:v>
      </x:c>
      <x:c r="F464" s="70" t="str">
        <x:v>2026目录；新旧syllabus按Year 11/12及首考年份分别选择</x:v>
      </x:c>
      <x:c r="G464" s="70" t="str">
        <x:v>启用前按年份和本校授权复核</x:v>
      </x:c>
      <x:c r="H464" s="70" t="str">
        <x:v>课程目录层</x:v>
      </x:c>
      <x:c r="I464" s="70" t="str">
        <x:v>校内成绩按学校规则；外考成绩不自动换GPA</x:v>
      </x:c>
      <x:c r="J464" s="70" t="str">
        <x:v>人工选择与审核</x:v>
      </x:c>
      <x:c r="K464" s="70" t="str">
        <x:v>未预填官方代码</x:v>
      </x:c>
      <x:c r="L464" s="70" t="str"/>
      <x:c r="M464" s="70" t="str">
        <x:v>V3-HSC</x:v>
      </x:c>
      <x:c r="N464" s="70" t="str">
        <x:v>https://curriculum.nsw.edu.au/stages/senior</x:v>
      </x:c>
    </x:row>
    <x:row r="465" ht="72" customHeight="1">
      <x:c r="A465" s="71" t="str">
        <x:v>C464</x:v>
      </x:c>
      <x:c r="B465" s="70" t="str">
        <x:v>AU-HSC</x:v>
      </x:c>
      <x:c r="C465" s="70" t="str">
        <x:v>学历学科</x:v>
      </x:c>
      <x:c r="D465" s="70" t="str">
        <x:v>Years 11–12</x:v>
      </x:c>
      <x:c r="E465" s="70" t="str">
        <x:v>目录层核对</x:v>
      </x:c>
      <x:c r="F465" s="70" t="str">
        <x:v>2026目录；新旧syllabus按Year 11/12及首考年份分别选择</x:v>
      </x:c>
      <x:c r="G465" s="70" t="str">
        <x:v>启用前按年份和本校授权复核</x:v>
      </x:c>
      <x:c r="H465" s="70" t="str">
        <x:v>课程目录层</x:v>
      </x:c>
      <x:c r="I465" s="70" t="str">
        <x:v>校内成绩按学校规则；外考成绩不自动换GPA</x:v>
      </x:c>
      <x:c r="J465" s="70" t="str">
        <x:v>人工选择与审核</x:v>
      </x:c>
      <x:c r="K465" s="70" t="str">
        <x:v>未预填官方代码</x:v>
      </x:c>
      <x:c r="L465" s="70" t="str"/>
      <x:c r="M465" s="70" t="str">
        <x:v>V3-HSC</x:v>
      </x:c>
      <x:c r="N465" s="70" t="str">
        <x:v>https://curriculum.nsw.edu.au/stages/senior</x:v>
      </x:c>
    </x:row>
    <x:row r="466" ht="72" customHeight="1">
      <x:c r="A466" s="71" t="str">
        <x:v>C465</x:v>
      </x:c>
      <x:c r="B466" s="70" t="str">
        <x:v>AU-HSC</x:v>
      </x:c>
      <x:c r="C466" s="70" t="str">
        <x:v>学历学科</x:v>
      </x:c>
      <x:c r="D466" s="70" t="str">
        <x:v>Years 11–12</x:v>
      </x:c>
      <x:c r="E466" s="70" t="str">
        <x:v>目录层核对</x:v>
      </x:c>
      <x:c r="F466" s="70" t="str">
        <x:v>2026目录；新旧syllabus按Year 11/12及首考年份分别选择</x:v>
      </x:c>
      <x:c r="G466" s="70" t="str">
        <x:v>启用前按年份和本校授权复核</x:v>
      </x:c>
      <x:c r="H466" s="70" t="str">
        <x:v>课程目录层</x:v>
      </x:c>
      <x:c r="I466" s="70" t="str">
        <x:v>校内成绩按学校规则；外考成绩不自动换GPA</x:v>
      </x:c>
      <x:c r="J466" s="70" t="str">
        <x:v>人工选择与审核</x:v>
      </x:c>
      <x:c r="K466" s="70" t="str">
        <x:v>未预填官方代码</x:v>
      </x:c>
      <x:c r="L466" s="70" t="str"/>
      <x:c r="M466" s="70" t="str">
        <x:v>V3-HSC</x:v>
      </x:c>
      <x:c r="N466" s="70" t="str">
        <x:v>https://curriculum.nsw.edu.au/stages/senior</x:v>
      </x:c>
    </x:row>
    <x:row r="467" ht="72" customHeight="1">
      <x:c r="A467" s="71" t="str">
        <x:v>C466</x:v>
      </x:c>
      <x:c r="B467" s="70" t="str">
        <x:v>AU-HSC</x:v>
      </x:c>
      <x:c r="C467" s="70" t="str">
        <x:v>学历学科</x:v>
      </x:c>
      <x:c r="D467" s="70" t="str">
        <x:v>Years 11–12</x:v>
      </x:c>
      <x:c r="E467" s="70" t="str">
        <x:v>目录层核对</x:v>
      </x:c>
      <x:c r="F467" s="70" t="str">
        <x:v>2026目录；新旧syllabus按Year 11/12及首考年份分别选择</x:v>
      </x:c>
      <x:c r="G467" s="70" t="str">
        <x:v>启用前按年份和本校授权复核</x:v>
      </x:c>
      <x:c r="H467" s="70" t="str">
        <x:v>课程目录层</x:v>
      </x:c>
      <x:c r="I467" s="70" t="str">
        <x:v>校内成绩按学校规则；外考成绩不自动换GPA</x:v>
      </x:c>
      <x:c r="J467" s="70" t="str">
        <x:v>人工选择与审核</x:v>
      </x:c>
      <x:c r="K467" s="70" t="str">
        <x:v>未预填官方代码</x:v>
      </x:c>
      <x:c r="L467" s="70" t="str"/>
      <x:c r="M467" s="70" t="str">
        <x:v>V3-HSC</x:v>
      </x:c>
      <x:c r="N467" s="70" t="str">
        <x:v>https://curriculum.nsw.edu.au/stages/senior</x:v>
      </x:c>
    </x:row>
    <x:row r="468" ht="72" customHeight="1">
      <x:c r="A468" s="71" t="str">
        <x:v>C467</x:v>
      </x:c>
      <x:c r="B468" s="70" t="str">
        <x:v>AU-HSC</x:v>
      </x:c>
      <x:c r="C468" s="70" t="str">
        <x:v>学历学科</x:v>
      </x:c>
      <x:c r="D468" s="70" t="str">
        <x:v>Years 11–12</x:v>
      </x:c>
      <x:c r="E468" s="70" t="str">
        <x:v>目录层核对</x:v>
      </x:c>
      <x:c r="F468" s="70" t="str">
        <x:v>2026目录；新旧syllabus按Year 11/12及首考年份分别选择</x:v>
      </x:c>
      <x:c r="G468" s="70" t="str">
        <x:v>启用前按年份和本校授权复核</x:v>
      </x:c>
      <x:c r="H468" s="70" t="str">
        <x:v>课程目录层</x:v>
      </x:c>
      <x:c r="I468" s="70" t="str">
        <x:v>校内成绩按学校规则；外考成绩不自动换GPA</x:v>
      </x:c>
      <x:c r="J468" s="70" t="str">
        <x:v>人工选择与审核</x:v>
      </x:c>
      <x:c r="K468" s="70" t="str">
        <x:v>未预填官方代码</x:v>
      </x:c>
      <x:c r="L468" s="70" t="str"/>
      <x:c r="M468" s="70" t="str">
        <x:v>V3-HSC</x:v>
      </x:c>
      <x:c r="N468" s="70" t="str">
        <x:v>https://curriculum.nsw.edu.au/stages/senior</x:v>
      </x:c>
    </x:row>
    <x:row r="469" ht="72" customHeight="1">
      <x:c r="A469" s="71" t="str">
        <x:v>C468</x:v>
      </x:c>
      <x:c r="B469" s="70" t="str">
        <x:v>AU-HSC</x:v>
      </x:c>
      <x:c r="C469" s="70" t="str">
        <x:v>学历学科</x:v>
      </x:c>
      <x:c r="D469" s="70" t="str">
        <x:v>Years 11–12</x:v>
      </x:c>
      <x:c r="E469" s="70" t="str">
        <x:v>目录层核对</x:v>
      </x:c>
      <x:c r="F469" s="70" t="str">
        <x:v>2026目录；新旧syllabus按Year 11/12及首考年份分别选择</x:v>
      </x:c>
      <x:c r="G469" s="70" t="str">
        <x:v>启用前按年份和本校授权复核</x:v>
      </x:c>
      <x:c r="H469" s="70" t="str">
        <x:v>课程目录层</x:v>
      </x:c>
      <x:c r="I469" s="70" t="str">
        <x:v>校内成绩按学校规则；外考成绩不自动换GPA</x:v>
      </x:c>
      <x:c r="J469" s="70" t="str">
        <x:v>人工选择与审核</x:v>
      </x:c>
      <x:c r="K469" s="70" t="str">
        <x:v>未预填官方代码</x:v>
      </x:c>
      <x:c r="L469" s="70" t="str"/>
      <x:c r="M469" s="70" t="str">
        <x:v>V3-HSC</x:v>
      </x:c>
      <x:c r="N469" s="70" t="str">
        <x:v>https://curriculum.nsw.edu.au/stages/senior</x:v>
      </x:c>
    </x:row>
    <x:row r="470" ht="72" customHeight="1">
      <x:c r="A470" s="71" t="str">
        <x:v>C469</x:v>
      </x:c>
      <x:c r="B470" s="70" t="str">
        <x:v>AU-HSC</x:v>
      </x:c>
      <x:c r="C470" s="70" t="str">
        <x:v>学历学科</x:v>
      </x:c>
      <x:c r="D470" s="70" t="str">
        <x:v>Years 11–12</x:v>
      </x:c>
      <x:c r="E470" s="70" t="str">
        <x:v>目录层核对</x:v>
      </x:c>
      <x:c r="F470" s="70" t="str">
        <x:v>2026目录；新旧syllabus按Year 11/12及首考年份分别选择</x:v>
      </x:c>
      <x:c r="G470" s="70" t="str">
        <x:v>启用前按年份和本校授权复核</x:v>
      </x:c>
      <x:c r="H470" s="70" t="str">
        <x:v>课程目录层</x:v>
      </x:c>
      <x:c r="I470" s="70" t="str">
        <x:v>校内成绩按学校规则；外考成绩不自动换GPA</x:v>
      </x:c>
      <x:c r="J470" s="70" t="str">
        <x:v>人工选择与审核</x:v>
      </x:c>
      <x:c r="K470" s="70" t="str">
        <x:v>未预填官方代码</x:v>
      </x:c>
      <x:c r="L470" s="70" t="str"/>
      <x:c r="M470" s="70" t="str">
        <x:v>V3-HSC</x:v>
      </x:c>
      <x:c r="N470" s="70" t="str">
        <x:v>https://curriculum.nsw.edu.au/stages/senior</x:v>
      </x:c>
    </x:row>
    <x:row r="471" ht="72" customHeight="1">
      <x:c r="A471" s="71" t="str">
        <x:v>C470</x:v>
      </x:c>
      <x:c r="B471" s="70" t="str">
        <x:v>AU-HSC</x:v>
      </x:c>
      <x:c r="C471" s="70" t="str">
        <x:v>学历学科</x:v>
      </x:c>
      <x:c r="D471" s="70" t="str">
        <x:v>Years 11–12</x:v>
      </x:c>
      <x:c r="E471" s="70" t="str">
        <x:v>目录层核对</x:v>
      </x:c>
      <x:c r="F471" s="70" t="str">
        <x:v>2026目录；新旧syllabus按Year 11/12及首考年份分别选择</x:v>
      </x:c>
      <x:c r="G471" s="70" t="str">
        <x:v>启用前按年份和本校授权复核</x:v>
      </x:c>
      <x:c r="H471" s="70" t="str">
        <x:v>课程目录层</x:v>
      </x:c>
      <x:c r="I471" s="70" t="str">
        <x:v>校内成绩按学校规则；外考成绩不自动换GPA</x:v>
      </x:c>
      <x:c r="J471" s="70" t="str">
        <x:v>人工选择与审核</x:v>
      </x:c>
      <x:c r="K471" s="70" t="str">
        <x:v>未预填官方代码</x:v>
      </x:c>
      <x:c r="L471" s="70" t="str"/>
      <x:c r="M471" s="70" t="str">
        <x:v>V3-HSC</x:v>
      </x:c>
      <x:c r="N471" s="70" t="str">
        <x:v>https://curriculum.nsw.edu.au/stages/senior</x:v>
      </x:c>
    </x:row>
    <x:row r="472" ht="72" customHeight="1">
      <x:c r="A472" s="71" t="str">
        <x:v>C471</x:v>
      </x:c>
      <x:c r="B472" s="70" t="str">
        <x:v>IN-CBSE</x:v>
      </x:c>
      <x:c r="C472" s="70" t="str">
        <x:v>学历学科</x:v>
      </x:c>
      <x:c r="D472" s="70" t="str">
        <x:v>Classes XI–XII</x:v>
      </x:c>
      <x:c r="E472" s="70" t="str">
        <x:v>目录层核对</x:v>
      </x:c>
      <x:c r="F472" s="70" t="str">
        <x:v>CBSE curriculum 2026–2027</x:v>
      </x:c>
      <x:c r="G472" s="70" t="str">
        <x:v>启用前按年份和本校授权复核</x:v>
      </x:c>
      <x:c r="H472" s="70" t="str">
        <x:v>课程目录层</x:v>
      </x:c>
      <x:c r="I472" s="70" t="str">
        <x:v>校内成绩按学校规则；外考成绩不自动换GPA</x:v>
      </x:c>
      <x:c r="J472" s="70" t="str">
        <x:v>人工选择与审核</x:v>
      </x:c>
      <x:c r="K472" s="70" t="str">
        <x:v>未预填官方代码</x:v>
      </x:c>
      <x:c r="L472" s="70" t="str"/>
      <x:c r="M472" s="70" t="str">
        <x:v>V3-CBSE</x:v>
      </x:c>
      <x:c r="N472" s="70" t="str">
        <x:v>https://cbseacademic.nic.in/curriculum_2027.html</x:v>
      </x:c>
    </x:row>
    <x:row r="473" ht="72" customHeight="1">
      <x:c r="A473" s="71" t="str">
        <x:v>C472</x:v>
      </x:c>
      <x:c r="B473" s="70" t="str">
        <x:v>IN-CBSE</x:v>
      </x:c>
      <x:c r="C473" s="70" t="str">
        <x:v>学历学科</x:v>
      </x:c>
      <x:c r="D473" s="70" t="str">
        <x:v>Classes XI–XII</x:v>
      </x:c>
      <x:c r="E473" s="70" t="str">
        <x:v>目录层核对</x:v>
      </x:c>
      <x:c r="F473" s="70" t="str">
        <x:v>CBSE curriculum 2026–2027</x:v>
      </x:c>
      <x:c r="G473" s="70" t="str">
        <x:v>启用前按年份和本校授权复核</x:v>
      </x:c>
      <x:c r="H473" s="70" t="str">
        <x:v>课程目录层</x:v>
      </x:c>
      <x:c r="I473" s="70" t="str">
        <x:v>校内成绩按学校规则；外考成绩不自动换GPA</x:v>
      </x:c>
      <x:c r="J473" s="70" t="str">
        <x:v>人工选择与审核</x:v>
      </x:c>
      <x:c r="K473" s="70" t="str">
        <x:v>未预填官方代码</x:v>
      </x:c>
      <x:c r="L473" s="70" t="str"/>
      <x:c r="M473" s="70" t="str">
        <x:v>V3-CBSE</x:v>
      </x:c>
      <x:c r="N473" s="70" t="str">
        <x:v>https://cbseacademic.nic.in/curriculum_2027.html</x:v>
      </x:c>
    </x:row>
    <x:row r="474" ht="72" customHeight="1">
      <x:c r="A474" s="71" t="str">
        <x:v>C473</x:v>
      </x:c>
      <x:c r="B474" s="70" t="str">
        <x:v>IN-CBSE</x:v>
      </x:c>
      <x:c r="C474" s="70" t="str">
        <x:v>学历学科</x:v>
      </x:c>
      <x:c r="D474" s="70" t="str">
        <x:v>Classes XI–XII</x:v>
      </x:c>
      <x:c r="E474" s="70" t="str">
        <x:v>目录层核对</x:v>
      </x:c>
      <x:c r="F474" s="70" t="str">
        <x:v>CBSE curriculum 2026–2027</x:v>
      </x:c>
      <x:c r="G474" s="70" t="str">
        <x:v>启用前按年份和本校授权复核</x:v>
      </x:c>
      <x:c r="H474" s="70" t="str">
        <x:v>课程目录层</x:v>
      </x:c>
      <x:c r="I474" s="70" t="str">
        <x:v>校内成绩按学校规则；外考成绩不自动换GPA</x:v>
      </x:c>
      <x:c r="J474" s="70" t="str">
        <x:v>人工选择与审核</x:v>
      </x:c>
      <x:c r="K474" s="70" t="str">
        <x:v>未预填官方代码</x:v>
      </x:c>
      <x:c r="L474" s="70" t="str"/>
      <x:c r="M474" s="70" t="str">
        <x:v>V3-CBSE</x:v>
      </x:c>
      <x:c r="N474" s="70" t="str">
        <x:v>https://cbseacademic.nic.in/curriculum_2027.html</x:v>
      </x:c>
    </x:row>
    <x:row r="475" ht="72" customHeight="1">
      <x:c r="A475" s="71" t="str">
        <x:v>C474</x:v>
      </x:c>
      <x:c r="B475" s="70" t="str">
        <x:v>IN-CBSE</x:v>
      </x:c>
      <x:c r="C475" s="70" t="str">
        <x:v>学历学科</x:v>
      </x:c>
      <x:c r="D475" s="70" t="str">
        <x:v>Classes XI–XII</x:v>
      </x:c>
      <x:c r="E475" s="70" t="str">
        <x:v>目录层核对</x:v>
      </x:c>
      <x:c r="F475" s="70" t="str">
        <x:v>CBSE curriculum 2026–2027</x:v>
      </x:c>
      <x:c r="G475" s="70" t="str">
        <x:v>启用前按年份和本校授权复核</x:v>
      </x:c>
      <x:c r="H475" s="70" t="str">
        <x:v>课程目录层</x:v>
      </x:c>
      <x:c r="I475" s="70" t="str">
        <x:v>校内成绩按学校规则；外考成绩不自动换GPA</x:v>
      </x:c>
      <x:c r="J475" s="70" t="str">
        <x:v>人工选择与审核</x:v>
      </x:c>
      <x:c r="K475" s="70" t="str">
        <x:v>未预填官方代码</x:v>
      </x:c>
      <x:c r="L475" s="70" t="str"/>
      <x:c r="M475" s="70" t="str">
        <x:v>V3-CBSE</x:v>
      </x:c>
      <x:c r="N475" s="70" t="str">
        <x:v>https://cbseacademic.nic.in/curriculum_2027.html</x:v>
      </x:c>
    </x:row>
    <x:row r="476" ht="72" customHeight="1">
      <x:c r="A476" s="71" t="str">
        <x:v>C475</x:v>
      </x:c>
      <x:c r="B476" s="70" t="str">
        <x:v>IN-CBSE</x:v>
      </x:c>
      <x:c r="C476" s="70" t="str">
        <x:v>学历学科</x:v>
      </x:c>
      <x:c r="D476" s="70" t="str">
        <x:v>Classes XI–XII</x:v>
      </x:c>
      <x:c r="E476" s="70" t="str">
        <x:v>目录层核对</x:v>
      </x:c>
      <x:c r="F476" s="70" t="str">
        <x:v>CBSE curriculum 2026–2027</x:v>
      </x:c>
      <x:c r="G476" s="70" t="str">
        <x:v>启用前按年份和本校授权复核</x:v>
      </x:c>
      <x:c r="H476" s="70" t="str">
        <x:v>课程目录层</x:v>
      </x:c>
      <x:c r="I476" s="70" t="str">
        <x:v>校内成绩按学校规则；外考成绩不自动换GPA</x:v>
      </x:c>
      <x:c r="J476" s="70" t="str">
        <x:v>人工选择与审核</x:v>
      </x:c>
      <x:c r="K476" s="70" t="str">
        <x:v>未预填官方代码</x:v>
      </x:c>
      <x:c r="L476" s="70" t="str"/>
      <x:c r="M476" s="70" t="str">
        <x:v>V3-CBSE</x:v>
      </x:c>
      <x:c r="N476" s="70" t="str">
        <x:v>https://cbseacademic.nic.in/curriculum_2027.html</x:v>
      </x:c>
    </x:row>
    <x:row r="477" ht="72" customHeight="1">
      <x:c r="A477" s="71" t="str">
        <x:v>C476</x:v>
      </x:c>
      <x:c r="B477" s="70" t="str">
        <x:v>IN-CBSE</x:v>
      </x:c>
      <x:c r="C477" s="70" t="str">
        <x:v>学历学科</x:v>
      </x:c>
      <x:c r="D477" s="70" t="str">
        <x:v>Classes XI–XII</x:v>
      </x:c>
      <x:c r="E477" s="70" t="str">
        <x:v>目录层核对</x:v>
      </x:c>
      <x:c r="F477" s="70" t="str">
        <x:v>CBSE curriculum 2026–2027</x:v>
      </x:c>
      <x:c r="G477" s="70" t="str">
        <x:v>启用前按年份和本校授权复核</x:v>
      </x:c>
      <x:c r="H477" s="70" t="str">
        <x:v>课程目录层</x:v>
      </x:c>
      <x:c r="I477" s="70" t="str">
        <x:v>校内成绩按学校规则；外考成绩不自动换GPA</x:v>
      </x:c>
      <x:c r="J477" s="70" t="str">
        <x:v>人工选择与审核</x:v>
      </x:c>
      <x:c r="K477" s="70" t="str">
        <x:v>未预填官方代码</x:v>
      </x:c>
      <x:c r="L477" s="70" t="str"/>
      <x:c r="M477" s="70" t="str">
        <x:v>V3-CBSE</x:v>
      </x:c>
      <x:c r="N477" s="70" t="str">
        <x:v>https://cbseacademic.nic.in/curriculum_2027.html</x:v>
      </x:c>
    </x:row>
    <x:row r="478" ht="72" customHeight="1">
      <x:c r="A478" s="71" t="str">
        <x:v>C477</x:v>
      </x:c>
      <x:c r="B478" s="70" t="str">
        <x:v>IN-CBSE</x:v>
      </x:c>
      <x:c r="C478" s="70" t="str">
        <x:v>学历学科</x:v>
      </x:c>
      <x:c r="D478" s="70" t="str">
        <x:v>Classes XI–XII</x:v>
      </x:c>
      <x:c r="E478" s="70" t="str">
        <x:v>目录层核对</x:v>
      </x:c>
      <x:c r="F478" s="70" t="str">
        <x:v>CBSE curriculum 2026–2027</x:v>
      </x:c>
      <x:c r="G478" s="70" t="str">
        <x:v>启用前按年份和本校授权复核</x:v>
      </x:c>
      <x:c r="H478" s="70" t="str">
        <x:v>课程目录层</x:v>
      </x:c>
      <x:c r="I478" s="70" t="str">
        <x:v>校内成绩按学校规则；外考成绩不自动换GPA</x:v>
      </x:c>
      <x:c r="J478" s="70" t="str">
        <x:v>人工选择与审核</x:v>
      </x:c>
      <x:c r="K478" s="70" t="str">
        <x:v>未预填官方代码</x:v>
      </x:c>
      <x:c r="L478" s="70" t="str"/>
      <x:c r="M478" s="70" t="str">
        <x:v>V3-CBSE</x:v>
      </x:c>
      <x:c r="N478" s="70" t="str">
        <x:v>https://cbseacademic.nic.in/curriculum_2027.html</x:v>
      </x:c>
    </x:row>
    <x:row r="479" ht="72" customHeight="1">
      <x:c r="A479" s="71" t="str">
        <x:v>C478</x:v>
      </x:c>
      <x:c r="B479" s="70" t="str">
        <x:v>IN-CBSE</x:v>
      </x:c>
      <x:c r="C479" s="70" t="str">
        <x:v>学历学科</x:v>
      </x:c>
      <x:c r="D479" s="70" t="str">
        <x:v>Classes XI–XII</x:v>
      </x:c>
      <x:c r="E479" s="70" t="str">
        <x:v>目录层核对</x:v>
      </x:c>
      <x:c r="F479" s="70" t="str">
        <x:v>CBSE curriculum 2026–2027</x:v>
      </x:c>
      <x:c r="G479" s="70" t="str">
        <x:v>启用前按年份和本校授权复核</x:v>
      </x:c>
      <x:c r="H479" s="70" t="str">
        <x:v>课程目录层</x:v>
      </x:c>
      <x:c r="I479" s="70" t="str">
        <x:v>校内成绩按学校规则；外考成绩不自动换GPA</x:v>
      </x:c>
      <x:c r="J479" s="70" t="str">
        <x:v>人工选择与审核</x:v>
      </x:c>
      <x:c r="K479" s="70" t="str">
        <x:v>未预填官方代码</x:v>
      </x:c>
      <x:c r="L479" s="70" t="str"/>
      <x:c r="M479" s="70" t="str">
        <x:v>V3-CBSE</x:v>
      </x:c>
      <x:c r="N479" s="70" t="str">
        <x:v>https://cbseacademic.nic.in/curriculum_2027.html</x:v>
      </x:c>
    </x:row>
    <x:row r="480" ht="72" customHeight="1">
      <x:c r="A480" s="71" t="str">
        <x:v>C479</x:v>
      </x:c>
      <x:c r="B480" s="70" t="str">
        <x:v>IN-CBSE</x:v>
      </x:c>
      <x:c r="C480" s="70" t="str">
        <x:v>学历学科</x:v>
      </x:c>
      <x:c r="D480" s="70" t="str">
        <x:v>Classes XI–XII</x:v>
      </x:c>
      <x:c r="E480" s="70" t="str">
        <x:v>目录层核对</x:v>
      </x:c>
      <x:c r="F480" s="70" t="str">
        <x:v>CBSE curriculum 2026–2027</x:v>
      </x:c>
      <x:c r="G480" s="70" t="str">
        <x:v>启用前按年份和本校授权复核</x:v>
      </x:c>
      <x:c r="H480" s="70" t="str">
        <x:v>课程目录层</x:v>
      </x:c>
      <x:c r="I480" s="70" t="str">
        <x:v>校内成绩按学校规则；外考成绩不自动换GPA</x:v>
      </x:c>
      <x:c r="J480" s="70" t="str">
        <x:v>人工选择与审核</x:v>
      </x:c>
      <x:c r="K480" s="70" t="str">
        <x:v>未预填官方代码</x:v>
      </x:c>
      <x:c r="L480" s="70" t="str"/>
      <x:c r="M480" s="70" t="str">
        <x:v>V3-CBSE</x:v>
      </x:c>
      <x:c r="N480" s="70" t="str">
        <x:v>https://cbseacademic.nic.in/curriculum_2027.html</x:v>
      </x:c>
    </x:row>
    <x:row r="481" ht="72" customHeight="1">
      <x:c r="A481" s="71" t="str">
        <x:v>C480</x:v>
      </x:c>
      <x:c r="B481" s="70" t="str">
        <x:v>IN-CBSE</x:v>
      </x:c>
      <x:c r="C481" s="70" t="str">
        <x:v>学历学科</x:v>
      </x:c>
      <x:c r="D481" s="70" t="str">
        <x:v>Classes XI–XII</x:v>
      </x:c>
      <x:c r="E481" s="70" t="str">
        <x:v>目录层核对</x:v>
      </x:c>
      <x:c r="F481" s="70" t="str">
        <x:v>CBSE curriculum 2026–2027</x:v>
      </x:c>
      <x:c r="G481" s="70" t="str">
        <x:v>启用前按年份和本校授权复核</x:v>
      </x:c>
      <x:c r="H481" s="70" t="str">
        <x:v>课程目录层</x:v>
      </x:c>
      <x:c r="I481" s="70" t="str">
        <x:v>校内成绩按学校规则；外考成绩不自动换GPA</x:v>
      </x:c>
      <x:c r="J481" s="70" t="str">
        <x:v>人工选择与审核</x:v>
      </x:c>
      <x:c r="K481" s="70" t="str">
        <x:v>未预填官方代码</x:v>
      </x:c>
      <x:c r="L481" s="70" t="str"/>
      <x:c r="M481" s="70" t="str">
        <x:v>V3-CBSE</x:v>
      </x:c>
      <x:c r="N481" s="70" t="str">
        <x:v>https://cbseacademic.nic.in/curriculum_2027.html</x:v>
      </x:c>
    </x:row>
    <x:row r="482" ht="72" customHeight="1">
      <x:c r="A482" s="71" t="str">
        <x:v>C481</x:v>
      </x:c>
      <x:c r="B482" s="70" t="str">
        <x:v>IN-CBSE</x:v>
      </x:c>
      <x:c r="C482" s="70" t="str">
        <x:v>学历学科</x:v>
      </x:c>
      <x:c r="D482" s="70" t="str">
        <x:v>Classes XI–XII</x:v>
      </x:c>
      <x:c r="E482" s="70" t="str">
        <x:v>目录层核对</x:v>
      </x:c>
      <x:c r="F482" s="70" t="str">
        <x:v>CBSE curriculum 2026–2027</x:v>
      </x:c>
      <x:c r="G482" s="70" t="str">
        <x:v>启用前按年份和本校授权复核</x:v>
      </x:c>
      <x:c r="H482" s="70" t="str">
        <x:v>课程目录层</x:v>
      </x:c>
      <x:c r="I482" s="70" t="str">
        <x:v>校内成绩按学校规则；外考成绩不自动换GPA</x:v>
      </x:c>
      <x:c r="J482" s="70" t="str">
        <x:v>人工选择与审核</x:v>
      </x:c>
      <x:c r="K482" s="70" t="str">
        <x:v>未预填官方代码</x:v>
      </x:c>
      <x:c r="L482" s="70" t="str"/>
      <x:c r="M482" s="70" t="str">
        <x:v>V3-CBSE</x:v>
      </x:c>
      <x:c r="N482" s="70" t="str">
        <x:v>https://cbseacademic.nic.in/curriculum_2027.html</x:v>
      </x:c>
    </x:row>
    <x:row r="483" ht="72" customHeight="1">
      <x:c r="A483" s="71" t="str">
        <x:v>C482</x:v>
      </x:c>
      <x:c r="B483" s="70" t="str">
        <x:v>IN-CBSE</x:v>
      </x:c>
      <x:c r="C483" s="70" t="str">
        <x:v>学历学科</x:v>
      </x:c>
      <x:c r="D483" s="70" t="str">
        <x:v>Classes XI–XII</x:v>
      </x:c>
      <x:c r="E483" s="70" t="str">
        <x:v>目录层核对</x:v>
      </x:c>
      <x:c r="F483" s="70" t="str">
        <x:v>CBSE curriculum 2026–2027</x:v>
      </x:c>
      <x:c r="G483" s="70" t="str">
        <x:v>启用前按年份和本校授权复核</x:v>
      </x:c>
      <x:c r="H483" s="70" t="str">
        <x:v>课程目录层</x:v>
      </x:c>
      <x:c r="I483" s="70" t="str">
        <x:v>校内成绩按学校规则；外考成绩不自动换GPA</x:v>
      </x:c>
      <x:c r="J483" s="70" t="str">
        <x:v>人工选择与审核</x:v>
      </x:c>
      <x:c r="K483" s="70" t="str">
        <x:v>未预填官方代码</x:v>
      </x:c>
      <x:c r="L483" s="70" t="str"/>
      <x:c r="M483" s="70" t="str">
        <x:v>V3-CBSE</x:v>
      </x:c>
      <x:c r="N483" s="70" t="str">
        <x:v>https://cbseacademic.nic.in/curriculum_2027.html</x:v>
      </x:c>
    </x:row>
    <x:row r="484" ht="72" customHeight="1">
      <x:c r="A484" s="71" t="str">
        <x:v>C483</x:v>
      </x:c>
      <x:c r="B484" s="70" t="str">
        <x:v>IN-CBSE</x:v>
      </x:c>
      <x:c r="C484" s="70" t="str">
        <x:v>学历学科</x:v>
      </x:c>
      <x:c r="D484" s="70" t="str">
        <x:v>Classes XI–XII</x:v>
      </x:c>
      <x:c r="E484" s="70" t="str">
        <x:v>目录层核对</x:v>
      </x:c>
      <x:c r="F484" s="70" t="str">
        <x:v>CBSE curriculum 2026–2027</x:v>
      </x:c>
      <x:c r="G484" s="70" t="str">
        <x:v>启用前按年份和本校授权复核</x:v>
      </x:c>
      <x:c r="H484" s="70" t="str">
        <x:v>课程目录层</x:v>
      </x:c>
      <x:c r="I484" s="70" t="str">
        <x:v>校内成绩按学校规则；外考成绩不自动换GPA</x:v>
      </x:c>
      <x:c r="J484" s="70" t="str">
        <x:v>人工选择与审核</x:v>
      </x:c>
      <x:c r="K484" s="70" t="str">
        <x:v>未预填官方代码</x:v>
      </x:c>
      <x:c r="L484" s="70" t="str"/>
      <x:c r="M484" s="70" t="str">
        <x:v>V3-CBSE</x:v>
      </x:c>
      <x:c r="N484" s="70" t="str">
        <x:v>https://cbseacademic.nic.in/curriculum_2027.html</x:v>
      </x:c>
    </x:row>
    <x:row r="485" ht="72" customHeight="1">
      <x:c r="A485" s="71" t="str">
        <x:v>C484</x:v>
      </x:c>
      <x:c r="B485" s="70" t="str">
        <x:v>IN-CBSE</x:v>
      </x:c>
      <x:c r="C485" s="70" t="str">
        <x:v>学历学科</x:v>
      </x:c>
      <x:c r="D485" s="70" t="str">
        <x:v>Classes XI–XII</x:v>
      </x:c>
      <x:c r="E485" s="70" t="str">
        <x:v>目录层核对</x:v>
      </x:c>
      <x:c r="F485" s="70" t="str">
        <x:v>CBSE curriculum 2026–2027</x:v>
      </x:c>
      <x:c r="G485" s="70" t="str">
        <x:v>启用前按年份和本校授权复核</x:v>
      </x:c>
      <x:c r="H485" s="70" t="str">
        <x:v>课程目录层</x:v>
      </x:c>
      <x:c r="I485" s="70" t="str">
        <x:v>校内成绩按学校规则；外考成绩不自动换GPA</x:v>
      </x:c>
      <x:c r="J485" s="70" t="str">
        <x:v>人工选择与审核</x:v>
      </x:c>
      <x:c r="K485" s="70" t="str">
        <x:v>未预填官方代码</x:v>
      </x:c>
      <x:c r="L485" s="70" t="str"/>
      <x:c r="M485" s="70" t="str">
        <x:v>V3-CBSE</x:v>
      </x:c>
      <x:c r="N485" s="70" t="str">
        <x:v>https://cbseacademic.nic.in/curriculum_2027.html</x:v>
      </x:c>
    </x:row>
    <x:row r="486" ht="72" customHeight="1">
      <x:c r="A486" s="71" t="str">
        <x:v>C485</x:v>
      </x:c>
      <x:c r="B486" s="70" t="str">
        <x:v>IN-CBSE</x:v>
      </x:c>
      <x:c r="C486" s="70" t="str">
        <x:v>学历学科</x:v>
      </x:c>
      <x:c r="D486" s="70" t="str">
        <x:v>Classes XI–XII</x:v>
      </x:c>
      <x:c r="E486" s="70" t="str">
        <x:v>目录层核对</x:v>
      </x:c>
      <x:c r="F486" s="70" t="str">
        <x:v>CBSE curriculum 2026–2027</x:v>
      </x:c>
      <x:c r="G486" s="70" t="str">
        <x:v>启用前按年份和本校授权复核</x:v>
      </x:c>
      <x:c r="H486" s="70" t="str">
        <x:v>课程目录层</x:v>
      </x:c>
      <x:c r="I486" s="70" t="str">
        <x:v>校内成绩按学校规则；外考成绩不自动换GPA</x:v>
      </x:c>
      <x:c r="J486" s="70" t="str">
        <x:v>人工选择与审核</x:v>
      </x:c>
      <x:c r="K486" s="70" t="str">
        <x:v>未预填官方代码</x:v>
      </x:c>
      <x:c r="L486" s="70" t="str"/>
      <x:c r="M486" s="70" t="str">
        <x:v>V3-CBSE</x:v>
      </x:c>
      <x:c r="N486" s="70" t="str">
        <x:v>https://cbseacademic.nic.in/curriculum_2027.html</x:v>
      </x:c>
    </x:row>
    <x:row r="487" ht="72" customHeight="1">
      <x:c r="A487" s="71" t="str">
        <x:v>C486</x:v>
      </x:c>
      <x:c r="B487" s="70" t="str">
        <x:v>IN-CBSE</x:v>
      </x:c>
      <x:c r="C487" s="70" t="str">
        <x:v>学历学科</x:v>
      </x:c>
      <x:c r="D487" s="70" t="str">
        <x:v>Classes XI–XII</x:v>
      </x:c>
      <x:c r="E487" s="70" t="str">
        <x:v>目录层核对</x:v>
      </x:c>
      <x:c r="F487" s="70" t="str">
        <x:v>CBSE curriculum 2026–2027</x:v>
      </x:c>
      <x:c r="G487" s="70" t="str">
        <x:v>启用前按年份和本校授权复核</x:v>
      </x:c>
      <x:c r="H487" s="70" t="str">
        <x:v>课程目录层</x:v>
      </x:c>
      <x:c r="I487" s="70" t="str">
        <x:v>校内成绩按学校规则；外考成绩不自动换GPA</x:v>
      </x:c>
      <x:c r="J487" s="70" t="str">
        <x:v>人工选择与审核</x:v>
      </x:c>
      <x:c r="K487" s="70" t="str">
        <x:v>未预填官方代码</x:v>
      </x:c>
      <x:c r="L487" s="70" t="str"/>
      <x:c r="M487" s="70" t="str">
        <x:v>V3-CBSE</x:v>
      </x:c>
      <x:c r="N487" s="70" t="str">
        <x:v>https://cbseacademic.nic.in/curriculum_2027.html</x:v>
      </x:c>
    </x:row>
    <x:row r="488" ht="72" customHeight="1">
      <x:c r="A488" s="71" t="str">
        <x:v>C487</x:v>
      </x:c>
      <x:c r="B488" s="70" t="str">
        <x:v>IN-CBSE</x:v>
      </x:c>
      <x:c r="C488" s="70" t="str">
        <x:v>学历学科</x:v>
      </x:c>
      <x:c r="D488" s="70" t="str">
        <x:v>Classes XI–XII</x:v>
      </x:c>
      <x:c r="E488" s="70" t="str">
        <x:v>目录层核对</x:v>
      </x:c>
      <x:c r="F488" s="70" t="str">
        <x:v>CBSE curriculum 2026–2027</x:v>
      </x:c>
      <x:c r="G488" s="70" t="str">
        <x:v>启用前按年份和本校授权复核</x:v>
      </x:c>
      <x:c r="H488" s="70" t="str">
        <x:v>课程目录层</x:v>
      </x:c>
      <x:c r="I488" s="70" t="str">
        <x:v>校内成绩按学校规则；外考成绩不自动换GPA</x:v>
      </x:c>
      <x:c r="J488" s="70" t="str">
        <x:v>人工选择与审核</x:v>
      </x:c>
      <x:c r="K488" s="70" t="str">
        <x:v>未预填官方代码</x:v>
      </x:c>
      <x:c r="L488" s="70" t="str"/>
      <x:c r="M488" s="70" t="str">
        <x:v>V3-CBSE</x:v>
      </x:c>
      <x:c r="N488" s="70" t="str">
        <x:v>https://cbseacademic.nic.in/curriculum_2027.html</x:v>
      </x:c>
    </x:row>
    <x:row r="489" ht="72" customHeight="1">
      <x:c r="A489" s="71" t="str">
        <x:v>C488</x:v>
      </x:c>
      <x:c r="B489" s="70" t="str">
        <x:v>IN-CBSE</x:v>
      </x:c>
      <x:c r="C489" s="70" t="str">
        <x:v>学历学科</x:v>
      </x:c>
      <x:c r="D489" s="70" t="str">
        <x:v>Classes XI–XII</x:v>
      </x:c>
      <x:c r="E489" s="70" t="str">
        <x:v>目录层核对</x:v>
      </x:c>
      <x:c r="F489" s="70" t="str">
        <x:v>CBSE curriculum 2026–2027</x:v>
      </x:c>
      <x:c r="G489" s="70" t="str">
        <x:v>启用前按年份和本校授权复核</x:v>
      </x:c>
      <x:c r="H489" s="70" t="str">
        <x:v>课程目录层</x:v>
      </x:c>
      <x:c r="I489" s="70" t="str">
        <x:v>校内成绩按学校规则；外考成绩不自动换GPA</x:v>
      </x:c>
      <x:c r="J489" s="70" t="str">
        <x:v>人工选择与审核</x:v>
      </x:c>
      <x:c r="K489" s="70" t="str">
        <x:v>未预填官方代码</x:v>
      </x:c>
      <x:c r="L489" s="70" t="str"/>
      <x:c r="M489" s="70" t="str">
        <x:v>V3-CBSE</x:v>
      </x:c>
      <x:c r="N489" s="70" t="str">
        <x:v>https://cbseacademic.nic.in/curriculum_2027.html</x:v>
      </x:c>
    </x:row>
    <x:row r="490" ht="72" customHeight="1">
      <x:c r="A490" s="71" t="str">
        <x:v>C489</x:v>
      </x:c>
      <x:c r="B490" s="70" t="str">
        <x:v>IN-CBSE</x:v>
      </x:c>
      <x:c r="C490" s="70" t="str">
        <x:v>学历学科</x:v>
      </x:c>
      <x:c r="D490" s="70" t="str">
        <x:v>Classes XI–XII</x:v>
      </x:c>
      <x:c r="E490" s="70" t="str">
        <x:v>目录层核对</x:v>
      </x:c>
      <x:c r="F490" s="70" t="str">
        <x:v>CBSE curriculum 2026–2027</x:v>
      </x:c>
      <x:c r="G490" s="70" t="str">
        <x:v>启用前按年份和本校授权复核</x:v>
      </x:c>
      <x:c r="H490" s="70" t="str">
        <x:v>课程目录层</x:v>
      </x:c>
      <x:c r="I490" s="70" t="str">
        <x:v>校内成绩按学校规则；外考成绩不自动换GPA</x:v>
      </x:c>
      <x:c r="J490" s="70" t="str">
        <x:v>人工选择与审核</x:v>
      </x:c>
      <x:c r="K490" s="70" t="str">
        <x:v>未预填官方代码</x:v>
      </x:c>
      <x:c r="L490" s="70" t="str"/>
      <x:c r="M490" s="70" t="str">
        <x:v>V3-CBSE</x:v>
      </x:c>
      <x:c r="N490" s="70" t="str">
        <x:v>https://cbseacademic.nic.in/curriculum_2027.html</x:v>
      </x:c>
    </x:row>
    <x:row r="491" ht="72" customHeight="1">
      <x:c r="A491" s="71" t="str">
        <x:v>C490</x:v>
      </x:c>
      <x:c r="B491" s="70" t="str">
        <x:v>IN-CBSE</x:v>
      </x:c>
      <x:c r="C491" s="70" t="str">
        <x:v>学历学科</x:v>
      </x:c>
      <x:c r="D491" s="70" t="str">
        <x:v>Classes XI–XII</x:v>
      </x:c>
      <x:c r="E491" s="70" t="str">
        <x:v>目录层核对</x:v>
      </x:c>
      <x:c r="F491" s="70" t="str">
        <x:v>CBSE curriculum 2026–2027</x:v>
      </x:c>
      <x:c r="G491" s="70" t="str">
        <x:v>启用前按年份和本校授权复核</x:v>
      </x:c>
      <x:c r="H491" s="70" t="str">
        <x:v>课程目录层</x:v>
      </x:c>
      <x:c r="I491" s="70" t="str">
        <x:v>校内成绩按学校规则；外考成绩不自动换GPA</x:v>
      </x:c>
      <x:c r="J491" s="70" t="str">
        <x:v>人工选择与审核</x:v>
      </x:c>
      <x:c r="K491" s="70" t="str">
        <x:v>未预填官方代码</x:v>
      </x:c>
      <x:c r="L491" s="70" t="str"/>
      <x:c r="M491" s="70" t="str">
        <x:v>V3-CBSE</x:v>
      </x:c>
      <x:c r="N491" s="70" t="str">
        <x:v>https://cbseacademic.nic.in/curriculum_2027.html</x:v>
      </x:c>
    </x:row>
    <x:row r="492" ht="72" customHeight="1">
      <x:c r="A492" s="71" t="str">
        <x:v>C491</x:v>
      </x:c>
      <x:c r="B492" s="70" t="str">
        <x:v>IN-CBSE</x:v>
      </x:c>
      <x:c r="C492" s="70" t="str">
        <x:v>学历学科</x:v>
      </x:c>
      <x:c r="D492" s="70" t="str">
        <x:v>Classes XI–XII</x:v>
      </x:c>
      <x:c r="E492" s="70" t="str">
        <x:v>目录层核对</x:v>
      </x:c>
      <x:c r="F492" s="70" t="str">
        <x:v>CBSE curriculum 2026–2027</x:v>
      </x:c>
      <x:c r="G492" s="70" t="str">
        <x:v>启用前按年份和本校授权复核</x:v>
      </x:c>
      <x:c r="H492" s="70" t="str">
        <x:v>课程目录层</x:v>
      </x:c>
      <x:c r="I492" s="70" t="str">
        <x:v>校内成绩按学校规则；外考成绩不自动换GPA</x:v>
      </x:c>
      <x:c r="J492" s="70" t="str">
        <x:v>人工选择与审核</x:v>
      </x:c>
      <x:c r="K492" s="70" t="str">
        <x:v>未预填官方代码</x:v>
      </x:c>
      <x:c r="L492" s="70" t="str"/>
      <x:c r="M492" s="70" t="str">
        <x:v>V3-CBSE</x:v>
      </x:c>
      <x:c r="N492" s="70" t="str">
        <x:v>https://cbseacademic.nic.in/curriculum_2027.html</x:v>
      </x:c>
    </x:row>
    <x:row r="493" ht="72" customHeight="1">
      <x:c r="A493" s="71" t="str">
        <x:v>C492</x:v>
      </x:c>
      <x:c r="B493" s="70" t="str">
        <x:v>IN-CBSE</x:v>
      </x:c>
      <x:c r="C493" s="70" t="str">
        <x:v>学历学科</x:v>
      </x:c>
      <x:c r="D493" s="70" t="str">
        <x:v>Classes XI–XII</x:v>
      </x:c>
      <x:c r="E493" s="70" t="str">
        <x:v>目录层核对</x:v>
      </x:c>
      <x:c r="F493" s="70" t="str">
        <x:v>CBSE curriculum 2026–2027</x:v>
      </x:c>
      <x:c r="G493" s="70" t="str">
        <x:v>启用前按年份和本校授权复核</x:v>
      </x:c>
      <x:c r="H493" s="70" t="str">
        <x:v>课程目录层</x:v>
      </x:c>
      <x:c r="I493" s="70" t="str">
        <x:v>校内成绩按学校规则；外考成绩不自动换GPA</x:v>
      </x:c>
      <x:c r="J493" s="70" t="str">
        <x:v>人工选择与审核</x:v>
      </x:c>
      <x:c r="K493" s="70" t="str">
        <x:v>未预填官方代码</x:v>
      </x:c>
      <x:c r="L493" s="70" t="str"/>
      <x:c r="M493" s="70" t="str">
        <x:v>V3-CBSE</x:v>
      </x:c>
      <x:c r="N493" s="70" t="str">
        <x:v>https://cbseacademic.nic.in/curriculum_2027.html</x:v>
      </x:c>
    </x:row>
    <x:row r="494" ht="72" customHeight="1">
      <x:c r="A494" s="71" t="str">
        <x:v>C493</x:v>
      </x:c>
      <x:c r="B494" s="70" t="str">
        <x:v>IN-CBSE</x:v>
      </x:c>
      <x:c r="C494" s="70" t="str">
        <x:v>学历学科</x:v>
      </x:c>
      <x:c r="D494" s="70" t="str">
        <x:v>Classes XI–XII</x:v>
      </x:c>
      <x:c r="E494" s="70" t="str">
        <x:v>目录层核对</x:v>
      </x:c>
      <x:c r="F494" s="70" t="str">
        <x:v>CBSE curriculum 2026–2027</x:v>
      </x:c>
      <x:c r="G494" s="70" t="str">
        <x:v>启用前按年份和本校授权复核</x:v>
      </x:c>
      <x:c r="H494" s="70" t="str">
        <x:v>课程目录层</x:v>
      </x:c>
      <x:c r="I494" s="70" t="str">
        <x:v>校内成绩按学校规则；外考成绩不自动换GPA</x:v>
      </x:c>
      <x:c r="J494" s="70" t="str">
        <x:v>人工选择与审核</x:v>
      </x:c>
      <x:c r="K494" s="70" t="str">
        <x:v>未预填官方代码</x:v>
      </x:c>
      <x:c r="L494" s="70" t="str"/>
      <x:c r="M494" s="70" t="str">
        <x:v>V3-CBSE</x:v>
      </x:c>
      <x:c r="N494" s="70" t="str">
        <x:v>https://cbseacademic.nic.in/curriculum_2027.html</x:v>
      </x:c>
    </x:row>
    <x:row r="495" ht="72" customHeight="1">
      <x:c r="A495" s="71" t="str">
        <x:v>C494</x:v>
      </x:c>
      <x:c r="B495" s="70" t="str">
        <x:v>IN-CBSE</x:v>
      </x:c>
      <x:c r="C495" s="70" t="str">
        <x:v>学历学科</x:v>
      </x:c>
      <x:c r="D495" s="70" t="str">
        <x:v>Classes XI–XII</x:v>
      </x:c>
      <x:c r="E495" s="70" t="str">
        <x:v>目录层核对</x:v>
      </x:c>
      <x:c r="F495" s="70" t="str">
        <x:v>CBSE curriculum 2026–2027</x:v>
      </x:c>
      <x:c r="G495" s="70" t="str">
        <x:v>启用前按年份和本校授权复核</x:v>
      </x:c>
      <x:c r="H495" s="70" t="str">
        <x:v>课程目录层</x:v>
      </x:c>
      <x:c r="I495" s="70" t="str">
        <x:v>校内成绩按学校规则；外考成绩不自动换GPA</x:v>
      </x:c>
      <x:c r="J495" s="70" t="str">
        <x:v>人工选择与审核</x:v>
      </x:c>
      <x:c r="K495" s="70" t="str">
        <x:v>未预填官方代码</x:v>
      </x:c>
      <x:c r="L495" s="70" t="str"/>
      <x:c r="M495" s="70" t="str">
        <x:v>V3-CBSE</x:v>
      </x:c>
      <x:c r="N495" s="70" t="str">
        <x:v>https://cbseacademic.nic.in/curriculum_2027.html</x:v>
      </x:c>
    </x:row>
    <x:row r="496" ht="72" customHeight="1">
      <x:c r="A496" s="71" t="str">
        <x:v>C495</x:v>
      </x:c>
      <x:c r="B496" s="70" t="str">
        <x:v>IN-CBSE</x:v>
      </x:c>
      <x:c r="C496" s="70" t="str">
        <x:v>学历学科</x:v>
      </x:c>
      <x:c r="D496" s="70" t="str">
        <x:v>Classes XI–XII</x:v>
      </x:c>
      <x:c r="E496" s="70" t="str">
        <x:v>目录层核对</x:v>
      </x:c>
      <x:c r="F496" s="70" t="str">
        <x:v>CBSE curriculum 2026–2027</x:v>
      </x:c>
      <x:c r="G496" s="70" t="str">
        <x:v>启用前按年份和本校授权复核</x:v>
      </x:c>
      <x:c r="H496" s="70" t="str">
        <x:v>课程目录层</x:v>
      </x:c>
      <x:c r="I496" s="70" t="str">
        <x:v>校内成绩按学校规则；外考成绩不自动换GPA</x:v>
      </x:c>
      <x:c r="J496" s="70" t="str">
        <x:v>人工选择与审核</x:v>
      </x:c>
      <x:c r="K496" s="70" t="str">
        <x:v>未预填官方代码</x:v>
      </x:c>
      <x:c r="L496" s="70" t="str"/>
      <x:c r="M496" s="70" t="str">
        <x:v>V3-CBSE</x:v>
      </x:c>
      <x:c r="N496" s="70" t="str">
        <x:v>https://cbseacademic.nic.in/curriculum_2027.html</x:v>
      </x:c>
    </x:row>
    <x:row r="497" ht="72" customHeight="1">
      <x:c r="A497" s="71" t="str">
        <x:v>C496</x:v>
      </x:c>
      <x:c r="B497" s="70" t="str">
        <x:v>IN-CBSE</x:v>
      </x:c>
      <x:c r="C497" s="70" t="str">
        <x:v>学历学科</x:v>
      </x:c>
      <x:c r="D497" s="70" t="str">
        <x:v>Classes XI–XII</x:v>
      </x:c>
      <x:c r="E497" s="70" t="str">
        <x:v>目录层核对</x:v>
      </x:c>
      <x:c r="F497" s="70" t="str">
        <x:v>CBSE curriculum 2026–2027</x:v>
      </x:c>
      <x:c r="G497" s="70" t="str">
        <x:v>启用前按年份和本校授权复核</x:v>
      </x:c>
      <x:c r="H497" s="70" t="str">
        <x:v>课程目录层</x:v>
      </x:c>
      <x:c r="I497" s="70" t="str">
        <x:v>校内成绩按学校规则；外考成绩不自动换GPA</x:v>
      </x:c>
      <x:c r="J497" s="70" t="str">
        <x:v>人工选择与审核</x:v>
      </x:c>
      <x:c r="K497" s="70" t="str">
        <x:v>未预填官方代码</x:v>
      </x:c>
      <x:c r="L497" s="70" t="str"/>
      <x:c r="M497" s="70" t="str">
        <x:v>V3-CBSE</x:v>
      </x:c>
      <x:c r="N497" s="70" t="str">
        <x:v>https://cbseacademic.nic.in/curriculum_2027.html</x:v>
      </x:c>
    </x:row>
    <x:row r="498" ht="72" customHeight="1">
      <x:c r="A498" s="71" t="str">
        <x:v>C497</x:v>
      </x:c>
      <x:c r="B498" s="70" t="str">
        <x:v>US-TEST</x:v>
      </x:c>
      <x:c r="C498" s="70" t="str">
        <x:v>升学考试备考</x:v>
      </x:c>
      <x:c r="D498" s="70" t="str"/>
      <x:c r="E498" s="70" t="str">
        <x:v>现行产品目录核对</x:v>
      </x:c>
      <x:c r="F498" s="70" t="str">
        <x:v>Digital SAT；2026目录</x:v>
      </x:c>
      <x:c r="G498" s="70" t="str">
        <x:v>启用前按年份和本校授权复核</x:v>
      </x:c>
      <x:c r="H498" s="70" t="str">
        <x:v>课程目录＋教学分块；非完整考核映射</x:v>
      </x:c>
      <x:c r="I498" s="70" t="str">
        <x:v>备考课默认不计GPA；外部考试成绩独立保存</x:v>
      </x:c>
      <x:c r="J498" s="70" t="str">
        <x:v>人工选择与审核</x:v>
      </x:c>
      <x:c r="K498" s="70" t="str">
        <x:v>未预填官方代码</x:v>
      </x:c>
      <x:c r="L498" s="70" t="str">
        <x:v>SAT-DIGITAL</x:v>
      </x:c>
      <x:c r="M498" s="70" t="str">
        <x:v>V3-SAT</x:v>
      </x:c>
      <x:c r="N498" s="70" t="str">
        <x:v>https://satsuite.collegeboard.org/sat/whats-on-the-test/structure</x:v>
      </x:c>
    </x:row>
    <x:row r="499" ht="72" customHeight="1">
      <x:c r="A499" s="71" t="str">
        <x:v>C498</x:v>
      </x:c>
      <x:c r="B499" s="70" t="str">
        <x:v>US-TEST</x:v>
      </x:c>
      <x:c r="C499" s="70" t="str">
        <x:v>升学考试备考</x:v>
      </x:c>
      <x:c r="D499" s="70" t="str"/>
      <x:c r="E499" s="70" t="str">
        <x:v>现行产品目录核对</x:v>
      </x:c>
      <x:c r="F499" s="70" t="str">
        <x:v>Enhanced ACT；国际考试2026改革版本</x:v>
      </x:c>
      <x:c r="G499" s="70" t="str">
        <x:v>启用前按年份和本校授权复核</x:v>
      </x:c>
      <x:c r="H499" s="70" t="str">
        <x:v>课程目录＋教学分块；非完整考核映射</x:v>
      </x:c>
      <x:c r="I499" s="70" t="str">
        <x:v>备考课默认不计GPA；外部考试成绩独立保存</x:v>
      </x:c>
      <x:c r="J499" s="70" t="str">
        <x:v>人工选择与审核</x:v>
      </x:c>
      <x:c r="K499" s="70" t="str">
        <x:v>未预填官方代码</x:v>
      </x:c>
      <x:c r="L499" s="70" t="str">
        <x:v>ACT-ENHANCED</x:v>
      </x:c>
      <x:c r="M499" s="70" t="str">
        <x:v>V3-ACT</x:v>
      </x:c>
      <x:c r="N499" s="70" t="str">
        <x:v>https://global.act.org/content/global/en/products-and-services/the-act-non-us/test-preparation/test-enhancements.html</x:v>
      </x:c>
    </x:row>
    <x:row r="500" ht="72" customHeight="1">
      <x:c r="A500" s="71" t="str">
        <x:v>C499</x:v>
      </x:c>
      <x:c r="B500" s="70" t="str">
        <x:v>ENGLISH-TEST</x:v>
      </x:c>
      <x:c r="C500" s="70" t="str">
        <x:v>语言考试备考</x:v>
      </x:c>
      <x:c r="D500" s="70" t="str"/>
      <x:c r="E500" s="70" t="str">
        <x:v>现行产品目录核对</x:v>
      </x:c>
      <x:c r="F500" s="70" t="str">
        <x:v>2026产品目录</x:v>
      </x:c>
      <x:c r="G500" s="70" t="str">
        <x:v>启用前按年份和本校授权复核</x:v>
      </x:c>
      <x:c r="H500" s="70" t="str">
        <x:v>课程目录＋教学分块；非完整考核映射</x:v>
      </x:c>
      <x:c r="I500" s="70" t="str">
        <x:v>备考课默认不计GPA；外部考试成绩独立保存</x:v>
      </x:c>
      <x:c r="J500" s="70" t="str">
        <x:v>人工选择与审核</x:v>
      </x:c>
      <x:c r="K500" s="70" t="str">
        <x:v>未预填官方代码</x:v>
      </x:c>
      <x:c r="L500" s="70" t="str">
        <x:v>IELTS-ACADEMIC</x:v>
      </x:c>
      <x:c r="M500" s="70" t="str">
        <x:v>V3-IELTS</x:v>
      </x:c>
      <x:c r="N500" s="70" t="str">
        <x:v>https://ielts.org/take-a-test/test-types/ielts-academic-test</x:v>
      </x:c>
    </x:row>
    <x:row r="501" ht="72" customHeight="1">
      <x:c r="A501" s="71" t="str">
        <x:v>C500</x:v>
      </x:c>
      <x:c r="B501" s="70" t="str">
        <x:v>ENGLISH-TEST</x:v>
      </x:c>
      <x:c r="C501" s="70" t="str">
        <x:v>语言考试备考</x:v>
      </x:c>
      <x:c r="D501" s="70" t="str"/>
      <x:c r="E501" s="70" t="str">
        <x:v>现行产品目录核对</x:v>
      </x:c>
      <x:c r="F501" s="70" t="str">
        <x:v>2026产品目录</x:v>
      </x:c>
      <x:c r="G501" s="70" t="str">
        <x:v>启用前按年份和本校授权复核</x:v>
      </x:c>
      <x:c r="H501" s="70" t="str">
        <x:v>课程目录＋教学分块；非完整考核映射</x:v>
      </x:c>
      <x:c r="I501" s="70" t="str">
        <x:v>备考课默认不计GPA；外部考试成绩独立保存</x:v>
      </x:c>
      <x:c r="J501" s="70" t="str">
        <x:v>人工选择与审核</x:v>
      </x:c>
      <x:c r="K501" s="70" t="str">
        <x:v>未预填官方代码</x:v>
      </x:c>
      <x:c r="L501" s="70" t="str">
        <x:v>IELTS-GENERAL</x:v>
      </x:c>
      <x:c r="M501" s="70" t="str">
        <x:v>V3-IELTS-GT</x:v>
      </x:c>
      <x:c r="N501" s="70" t="str">
        <x:v>https://ielts.org/take-a-test/test-types/ielts-general-training-test</x:v>
      </x:c>
    </x:row>
    <x:row r="502" ht="72" customHeight="1">
      <x:c r="A502" s="71" t="str">
        <x:v>C501</x:v>
      </x:c>
      <x:c r="B502" s="70" t="str">
        <x:v>ENGLISH-TEST</x:v>
      </x:c>
      <x:c r="C502" s="70" t="str">
        <x:v>语言考试备考</x:v>
      </x:c>
      <x:c r="D502" s="70" t="str"/>
      <x:c r="E502" s="70" t="str">
        <x:v>现行产品目录核对</x:v>
      </x:c>
      <x:c r="F502" s="70" t="str">
        <x:v>Tests taken on/after 2026-01-21</x:v>
      </x:c>
      <x:c r="G502" s="70" t="str">
        <x:v>启用前按年份和本校授权复核</x:v>
      </x:c>
      <x:c r="H502" s="70" t="str">
        <x:v>课程目录＋教学分块；非完整考核映射</x:v>
      </x:c>
      <x:c r="I502" s="70" t="str">
        <x:v>备考课默认不计GPA；外部考试成绩独立保存</x:v>
      </x:c>
      <x:c r="J502" s="70" t="str">
        <x:v>人工选择与审核</x:v>
      </x:c>
      <x:c r="K502" s="70" t="str">
        <x:v>未预填官方代码</x:v>
      </x:c>
      <x:c r="L502" s="70" t="str">
        <x:v>TOEFL-IBT-2026</x:v>
      </x:c>
      <x:c r="M502" s="70" t="str">
        <x:v>V3-TOEFL-SCORE</x:v>
      </x:c>
      <x:c r="N502" s="70" t="str">
        <x:v>https://www.ets.org/toefl/test-takers/ibt/scores/understand-scores.html</x:v>
      </x:c>
    </x:row>
    <x:row r="503" ht="72" customHeight="1">
      <x:c r="A503" s="71" t="str">
        <x:v>C502</x:v>
      </x:c>
      <x:c r="B503" s="70" t="str">
        <x:v>ENGLISH-TEST</x:v>
      </x:c>
      <x:c r="C503" s="70" t="str">
        <x:v>语言考试备考</x:v>
      </x:c>
      <x:c r="D503" s="70" t="str"/>
      <x:c r="E503" s="70" t="str">
        <x:v>现行产品目录核对</x:v>
      </x:c>
      <x:c r="F503" s="70" t="str">
        <x:v>2026成绩报告快照</x:v>
      </x:c>
      <x:c r="G503" s="70" t="str">
        <x:v>启用前按年份和本校授权复核</x:v>
      </x:c>
      <x:c r="H503" s="70" t="str">
        <x:v>课程目录＋教学分块；非完整考核映射</x:v>
      </x:c>
      <x:c r="I503" s="70" t="str">
        <x:v>备考课默认不计GPA；外部考试成绩独立保存</x:v>
      </x:c>
      <x:c r="J503" s="70" t="str">
        <x:v>人工选择与审核</x:v>
      </x:c>
      <x:c r="K503" s="70" t="str">
        <x:v>未预填官方代码</x:v>
      </x:c>
      <x:c r="L503" s="70" t="str">
        <x:v>DET</x:v>
      </x:c>
      <x:c r="M503" s="70" t="str">
        <x:v>V3-DET26</x:v>
      </x:c>
      <x:c r="N503" s="70" t="str">
        <x:v>https://englishtest-static.duolingo.com/media/resources/DET_Scoring%20Guide%20for%20Teachers%20%282026%29.pdf</x:v>
      </x:c>
    </x:row>
    <x:row r="504" ht="72" customHeight="1">
      <x:c r="A504" s="71" t="str">
        <x:v>C503</x:v>
      </x:c>
      <x:c r="B504" s="70" t="str">
        <x:v>ENGLISH-TEST</x:v>
      </x:c>
      <x:c r="C504" s="70" t="str">
        <x:v>语言考试备考</x:v>
      </x:c>
      <x:c r="D504" s="70" t="str"/>
      <x:c r="E504" s="70" t="str">
        <x:v>现行产品目录核对</x:v>
      </x:c>
      <x:c r="F504" s="70" t="str">
        <x:v>2026产品目录</x:v>
      </x:c>
      <x:c r="G504" s="70" t="str">
        <x:v>启用前按年份和本校授权复核</x:v>
      </x:c>
      <x:c r="H504" s="70" t="str">
        <x:v>课程目录层</x:v>
      </x:c>
      <x:c r="I504" s="70" t="str">
        <x:v>备考课默认不计GPA；外部考试成绩独立保存</x:v>
      </x:c>
      <x:c r="J504" s="70" t="str">
        <x:v>人工选择与审核</x:v>
      </x:c>
      <x:c r="K504" s="70" t="str">
        <x:v>未预填官方代码</x:v>
      </x:c>
      <x:c r="L504" s="70" t="str">
        <x:v>PTE-ACADEMIC</x:v>
      </x:c>
      <x:c r="M504" s="70" t="str">
        <x:v>V3-PTE</x:v>
      </x:c>
      <x:c r="N504" s="70" t="str">
        <x:v>https://www.pearsonpte.com/pte-academic/scoring/</x:v>
      </x:c>
    </x:row>
    <x:row r="505" ht="72" customHeight="1">
      <x:c r="A505" s="71" t="str">
        <x:v>C504</x:v>
      </x:c>
      <x:c r="B505" s="70" t="str">
        <x:v>ENGLISH-TEST</x:v>
      </x:c>
      <x:c r="C505" s="70" t="str">
        <x:v>语言考试备考</x:v>
      </x:c>
      <x:c r="D505" s="70" t="str"/>
      <x:c r="E505" s="70" t="str">
        <x:v>现行产品目录核对</x:v>
      </x:c>
      <x:c r="F505" s="70" t="str">
        <x:v>2026产品目录</x:v>
      </x:c>
      <x:c r="G505" s="70" t="str">
        <x:v>启用前按年份和本校授权复核</x:v>
      </x:c>
      <x:c r="H505" s="70" t="str">
        <x:v>课程目录层</x:v>
      </x:c>
      <x:c r="I505" s="70" t="str">
        <x:v>备考课默认不计GPA；外部考试成绩独立保存</x:v>
      </x:c>
      <x:c r="J505" s="70" t="str">
        <x:v>人工选择与审核</x:v>
      </x:c>
      <x:c r="K505" s="70" t="str">
        <x:v>未预填官方代码</x:v>
      </x:c>
      <x:c r="L505" s="70" t="str">
        <x:v>CAEL</x:v>
      </x:c>
      <x:c r="M505" s="70" t="str">
        <x:v>V3-CAEL</x:v>
      </x:c>
      <x:c r="N505" s="70" t="str">
        <x:v>https://cael.ca/take-cael/test-results-scoring/</x:v>
      </x:c>
    </x:row>
    <x:row r="506" ht="72" customHeight="1">
      <x:c r="A506" s="71" t="str">
        <x:v>C505</x:v>
      </x:c>
      <x:c r="B506" s="70" t="str">
        <x:v>ENGLISH-TEST</x:v>
      </x:c>
      <x:c r="C506" s="70" t="str">
        <x:v>语言考试备考</x:v>
      </x:c>
      <x:c r="D506" s="70" t="str"/>
      <x:c r="E506" s="70" t="str">
        <x:v>现行产品目录核对</x:v>
      </x:c>
      <x:c r="F506" s="70" t="str">
        <x:v>2026产品目录</x:v>
      </x:c>
      <x:c r="G506" s="70" t="str">
        <x:v>启用前按年份和本校授权复核</x:v>
      </x:c>
      <x:c r="H506" s="70" t="str">
        <x:v>课程目录层</x:v>
      </x:c>
      <x:c r="I506" s="70" t="str">
        <x:v>备考课默认不计GPA；外部考试成绩独立保存</x:v>
      </x:c>
      <x:c r="J506" s="70" t="str">
        <x:v>人工选择与审核</x:v>
      </x:c>
      <x:c r="K506" s="70" t="str">
        <x:v>未预填官方代码</x:v>
      </x:c>
      <x:c r="L506" s="70" t="str">
        <x:v>LANGCERT-ACADEMIC</x:v>
      </x:c>
      <x:c r="M506" s="70" t="str">
        <x:v>V3-LANGCERT</x:v>
      </x:c>
      <x:c r="N506" s="70" t="str">
        <x:v>https://www.languagecert.org/en/language-exams/english/languagecert-academic/academic</x:v>
      </x:c>
    </x:row>
    <x:row r="507" ht="72" customHeight="1">
      <x:c r="A507" s="71" t="str">
        <x:v>C506</x:v>
      </x:c>
      <x:c r="B507" s="70" t="str">
        <x:v>ENGLISH-TEST</x:v>
      </x:c>
      <x:c r="C507" s="70" t="str">
        <x:v>语言考试备考</x:v>
      </x:c>
      <x:c r="D507" s="70" t="str"/>
      <x:c r="E507" s="70" t="str">
        <x:v>现行产品目录核对</x:v>
      </x:c>
      <x:c r="F507" s="70" t="str">
        <x:v>2026产品目录</x:v>
      </x:c>
      <x:c r="G507" s="70" t="str">
        <x:v>启用前按年份和本校授权复核</x:v>
      </x:c>
      <x:c r="H507" s="70" t="str">
        <x:v>课程目录层</x:v>
      </x:c>
      <x:c r="I507" s="70" t="str">
        <x:v>备考课默认不计GPA；外部考试成绩独立保存</x:v>
      </x:c>
      <x:c r="J507" s="70" t="str">
        <x:v>人工选择与审核</x:v>
      </x:c>
      <x:c r="K507" s="70" t="str">
        <x:v>未预填官方代码</x:v>
      </x:c>
      <x:c r="L507" s="70" t="str">
        <x:v>CAM-A2-KEY</x:v>
      </x:c>
      <x:c r="M507" s="70" t="str">
        <x:v>V3-CAM-ENG</x:v>
      </x:c>
      <x:c r="N507" s="70" t="str">
        <x:v>https://www.cambridgeenglish.org/exams-and-tests/qualifications/preparation/</x:v>
      </x:c>
    </x:row>
    <x:row r="508" ht="72" customHeight="1">
      <x:c r="A508" s="71" t="str">
        <x:v>C507</x:v>
      </x:c>
      <x:c r="B508" s="70" t="str">
        <x:v>ENGLISH-TEST</x:v>
      </x:c>
      <x:c r="C508" s="70" t="str">
        <x:v>语言考试备考</x:v>
      </x:c>
      <x:c r="D508" s="70" t="str"/>
      <x:c r="E508" s="70" t="str">
        <x:v>现行产品目录核对</x:v>
      </x:c>
      <x:c r="F508" s="70" t="str">
        <x:v>2026产品目录</x:v>
      </x:c>
      <x:c r="G508" s="70" t="str">
        <x:v>启用前按年份和本校授权复核</x:v>
      </x:c>
      <x:c r="H508" s="70" t="str">
        <x:v>课程目录层</x:v>
      </x:c>
      <x:c r="I508" s="70" t="str">
        <x:v>备考课默认不计GPA；外部考试成绩独立保存</x:v>
      </x:c>
      <x:c r="J508" s="70" t="str">
        <x:v>人工选择与审核</x:v>
      </x:c>
      <x:c r="K508" s="70" t="str">
        <x:v>未预填官方代码</x:v>
      </x:c>
      <x:c r="L508" s="70" t="str">
        <x:v>CAM-A2-KEY-SCHOOLS</x:v>
      </x:c>
      <x:c r="M508" s="70" t="str">
        <x:v>V3-CAM-ENG</x:v>
      </x:c>
      <x:c r="N508" s="70" t="str">
        <x:v>https://www.cambridgeenglish.org/exams-and-tests/qualifications/preparation/</x:v>
      </x:c>
    </x:row>
    <x:row r="509" ht="72" customHeight="1">
      <x:c r="A509" s="71" t="str">
        <x:v>C508</x:v>
      </x:c>
      <x:c r="B509" s="70" t="str">
        <x:v>ENGLISH-TEST</x:v>
      </x:c>
      <x:c r="C509" s="70" t="str">
        <x:v>语言考试备考</x:v>
      </x:c>
      <x:c r="D509" s="70" t="str"/>
      <x:c r="E509" s="70" t="str">
        <x:v>现行产品目录核对</x:v>
      </x:c>
      <x:c r="F509" s="70" t="str">
        <x:v>2026产品目录</x:v>
      </x:c>
      <x:c r="G509" s="70" t="str">
        <x:v>启用前按年份和本校授权复核</x:v>
      </x:c>
      <x:c r="H509" s="70" t="str">
        <x:v>课程目录层</x:v>
      </x:c>
      <x:c r="I509" s="70" t="str">
        <x:v>备考课默认不计GPA；外部考试成绩独立保存</x:v>
      </x:c>
      <x:c r="J509" s="70" t="str">
        <x:v>人工选择与审核</x:v>
      </x:c>
      <x:c r="K509" s="70" t="str">
        <x:v>未预填官方代码</x:v>
      </x:c>
      <x:c r="L509" s="70" t="str">
        <x:v>CAM-B1-PRELIM</x:v>
      </x:c>
      <x:c r="M509" s="70" t="str">
        <x:v>V3-CAM-ENG</x:v>
      </x:c>
      <x:c r="N509" s="70" t="str">
        <x:v>https://www.cambridgeenglish.org/exams-and-tests/qualifications/preparation/</x:v>
      </x:c>
    </x:row>
    <x:row r="510" ht="72" customHeight="1">
      <x:c r="A510" s="71" t="str">
        <x:v>C509</x:v>
      </x:c>
      <x:c r="B510" s="70" t="str">
        <x:v>ENGLISH-TEST</x:v>
      </x:c>
      <x:c r="C510" s="70" t="str">
        <x:v>语言考试备考</x:v>
      </x:c>
      <x:c r="D510" s="70" t="str"/>
      <x:c r="E510" s="70" t="str">
        <x:v>现行产品目录核对</x:v>
      </x:c>
      <x:c r="F510" s="70" t="str">
        <x:v>2026产品目录</x:v>
      </x:c>
      <x:c r="G510" s="70" t="str">
        <x:v>启用前按年份和本校授权复核</x:v>
      </x:c>
      <x:c r="H510" s="70" t="str">
        <x:v>课程目录层</x:v>
      </x:c>
      <x:c r="I510" s="70" t="str">
        <x:v>备考课默认不计GPA；外部考试成绩独立保存</x:v>
      </x:c>
      <x:c r="J510" s="70" t="str">
        <x:v>人工选择与审核</x:v>
      </x:c>
      <x:c r="K510" s="70" t="str">
        <x:v>未预填官方代码</x:v>
      </x:c>
      <x:c r="L510" s="70" t="str">
        <x:v>CAM-B1-PRELIM-SCHOOLS</x:v>
      </x:c>
      <x:c r="M510" s="70" t="str">
        <x:v>V3-CAM-ENG</x:v>
      </x:c>
      <x:c r="N510" s="70" t="str">
        <x:v>https://www.cambridgeenglish.org/exams-and-tests/qualifications/preparation/</x:v>
      </x:c>
    </x:row>
    <x:row r="511" ht="72" customHeight="1">
      <x:c r="A511" s="71" t="str">
        <x:v>C510</x:v>
      </x:c>
      <x:c r="B511" s="70" t="str">
        <x:v>ENGLISH-TEST</x:v>
      </x:c>
      <x:c r="C511" s="70" t="str">
        <x:v>语言考试备考</x:v>
      </x:c>
      <x:c r="D511" s="70" t="str"/>
      <x:c r="E511" s="70" t="str">
        <x:v>现行产品目录核对</x:v>
      </x:c>
      <x:c r="F511" s="70" t="str">
        <x:v>2026产品目录</x:v>
      </x:c>
      <x:c r="G511" s="70" t="str">
        <x:v>启用前按年份和本校授权复核</x:v>
      </x:c>
      <x:c r="H511" s="70" t="str">
        <x:v>课程目录层</x:v>
      </x:c>
      <x:c r="I511" s="70" t="str">
        <x:v>备考课默认不计GPA；外部考试成绩独立保存</x:v>
      </x:c>
      <x:c r="J511" s="70" t="str">
        <x:v>人工选择与审核</x:v>
      </x:c>
      <x:c r="K511" s="70" t="str">
        <x:v>未预填官方代码</x:v>
      </x:c>
      <x:c r="L511" s="70" t="str">
        <x:v>CAM-B2-FIRST</x:v>
      </x:c>
      <x:c r="M511" s="70" t="str">
        <x:v>V3-CAM-ENG</x:v>
      </x:c>
      <x:c r="N511" s="70" t="str">
        <x:v>https://www.cambridgeenglish.org/exams-and-tests/qualifications/preparation/</x:v>
      </x:c>
    </x:row>
    <x:row r="512" ht="72" customHeight="1">
      <x:c r="A512" s="71" t="str">
        <x:v>C511</x:v>
      </x:c>
      <x:c r="B512" s="70" t="str">
        <x:v>ENGLISH-TEST</x:v>
      </x:c>
      <x:c r="C512" s="70" t="str">
        <x:v>语言考试备考</x:v>
      </x:c>
      <x:c r="D512" s="70" t="str"/>
      <x:c r="E512" s="70" t="str">
        <x:v>现行产品目录核对</x:v>
      </x:c>
      <x:c r="F512" s="70" t="str">
        <x:v>2026产品目录</x:v>
      </x:c>
      <x:c r="G512" s="70" t="str">
        <x:v>启用前按年份和本校授权复核</x:v>
      </x:c>
      <x:c r="H512" s="70" t="str">
        <x:v>课程目录层</x:v>
      </x:c>
      <x:c r="I512" s="70" t="str">
        <x:v>备考课默认不计GPA；外部考试成绩独立保存</x:v>
      </x:c>
      <x:c r="J512" s="70" t="str">
        <x:v>人工选择与审核</x:v>
      </x:c>
      <x:c r="K512" s="70" t="str">
        <x:v>未预填官方代码</x:v>
      </x:c>
      <x:c r="L512" s="70" t="str">
        <x:v>CAM-B2-FIRST-SCHOOLS</x:v>
      </x:c>
      <x:c r="M512" s="70" t="str">
        <x:v>V3-CAM-ENG</x:v>
      </x:c>
      <x:c r="N512" s="70" t="str">
        <x:v>https://www.cambridgeenglish.org/exams-and-tests/qualifications/preparation/</x:v>
      </x:c>
    </x:row>
    <x:row r="513" ht="72" customHeight="1">
      <x:c r="A513" s="71" t="str">
        <x:v>C512</x:v>
      </x:c>
      <x:c r="B513" s="70" t="str">
        <x:v>ENGLISH-TEST</x:v>
      </x:c>
      <x:c r="C513" s="70" t="str">
        <x:v>语言考试备考</x:v>
      </x:c>
      <x:c r="D513" s="70" t="str"/>
      <x:c r="E513" s="70" t="str">
        <x:v>现行产品目录核对</x:v>
      </x:c>
      <x:c r="F513" s="70" t="str">
        <x:v>2026产品目录</x:v>
      </x:c>
      <x:c r="G513" s="70" t="str">
        <x:v>启用前按年份和本校授权复核</x:v>
      </x:c>
      <x:c r="H513" s="70" t="str">
        <x:v>课程目录层</x:v>
      </x:c>
      <x:c r="I513" s="70" t="str">
        <x:v>备考课默认不计GPA；外部考试成绩独立保存</x:v>
      </x:c>
      <x:c r="J513" s="70" t="str">
        <x:v>人工选择与审核</x:v>
      </x:c>
      <x:c r="K513" s="70" t="str">
        <x:v>未预填官方代码</x:v>
      </x:c>
      <x:c r="L513" s="70" t="str">
        <x:v>CAM-C1-ADVANCED</x:v>
      </x:c>
      <x:c r="M513" s="70" t="str">
        <x:v>V3-CAM-ENG</x:v>
      </x:c>
      <x:c r="N513" s="70" t="str">
        <x:v>https://www.cambridgeenglish.org/exams-and-tests/qualifications/preparation/</x:v>
      </x:c>
    </x:row>
    <x:row r="514" ht="72" customHeight="1">
      <x:c r="A514" s="71" t="str">
        <x:v>C513</x:v>
      </x:c>
      <x:c r="B514" s="70" t="str">
        <x:v>ENGLISH-TEST</x:v>
      </x:c>
      <x:c r="C514" s="70" t="str">
        <x:v>语言考试备考</x:v>
      </x:c>
      <x:c r="D514" s="70" t="str"/>
      <x:c r="E514" s="70" t="str">
        <x:v>现行产品目录核对</x:v>
      </x:c>
      <x:c r="F514" s="70" t="str">
        <x:v>2026产品目录</x:v>
      </x:c>
      <x:c r="G514" s="70" t="str">
        <x:v>启用前按年份和本校授权复核</x:v>
      </x:c>
      <x:c r="H514" s="70" t="str">
        <x:v>课程目录层</x:v>
      </x:c>
      <x:c r="I514" s="70" t="str">
        <x:v>备考课默认不计GPA；外部考试成绩独立保存</x:v>
      </x:c>
      <x:c r="J514" s="70" t="str">
        <x:v>人工选择与审核</x:v>
      </x:c>
      <x:c r="K514" s="70" t="str">
        <x:v>未预填官方代码</x:v>
      </x:c>
      <x:c r="L514" s="70" t="str">
        <x:v>CAM-C2-PROFICIENCY</x:v>
      </x:c>
      <x:c r="M514" s="70" t="str">
        <x:v>V3-CAM-ENG</x:v>
      </x:c>
      <x:c r="N514" s="70" t="str">
        <x:v>https://www.cambridgeenglish.org/exams-and-tests/qualifications/preparation/</x:v>
      </x:c>
    </x:row>
    <x:row r="515" ht="72" customHeight="1">
      <x:c r="A515" s="71" t="str">
        <x:v>C514</x:v>
      </x:c>
      <x:c r="B515" s="70" t="str">
        <x:v>UK-TEST</x:v>
      </x:c>
      <x:c r="C515" s="70" t="str">
        <x:v>升学考试备考</x:v>
      </x:c>
      <x:c r="D515" s="70" t="str"/>
      <x:c r="E515" s="70" t="str">
        <x:v>现行产品目录核对</x:v>
      </x:c>
      <x:c r="F515" s="70" t="str">
        <x:v>2026目录；具体大学、考季与地区另核</x:v>
      </x:c>
      <x:c r="G515" s="70" t="str">
        <x:v>启用前按年份和本校授权复核</x:v>
      </x:c>
      <x:c r="H515" s="70" t="str">
        <x:v>课程目录层</x:v>
      </x:c>
      <x:c r="I515" s="70" t="str">
        <x:v>备考课默认不计GPA；外部考试成绩独立保存</x:v>
      </x:c>
      <x:c r="J515" s="70" t="str">
        <x:v>人工选择与审核</x:v>
      </x:c>
      <x:c r="K515" s="70" t="str">
        <x:v>未预填官方代码</x:v>
      </x:c>
      <x:c r="L515" s="70" t="str">
        <x:v>ESAT</x:v>
      </x:c>
      <x:c r="M515" s="70" t="str">
        <x:v>V3-UATUK</x:v>
      </x:c>
      <x:c r="N515" s="70" t="str">
        <x:v>https://esat-tmua.ac.uk/</x:v>
      </x:c>
    </x:row>
    <x:row r="516" ht="72" customHeight="1">
      <x:c r="A516" s="71" t="str">
        <x:v>C515</x:v>
      </x:c>
      <x:c r="B516" s="70" t="str">
        <x:v>UK-TEST</x:v>
      </x:c>
      <x:c r="C516" s="70" t="str">
        <x:v>升学考试备考</x:v>
      </x:c>
      <x:c r="D516" s="70" t="str"/>
      <x:c r="E516" s="70" t="str">
        <x:v>现行产品目录核对</x:v>
      </x:c>
      <x:c r="F516" s="70" t="str">
        <x:v>2026目录；具体大学、考季与地区另核</x:v>
      </x:c>
      <x:c r="G516" s="70" t="str">
        <x:v>启用前按年份和本校授权复核</x:v>
      </x:c>
      <x:c r="H516" s="70" t="str">
        <x:v>课程目录层</x:v>
      </x:c>
      <x:c r="I516" s="70" t="str">
        <x:v>备考课默认不计GPA；外部考试成绩独立保存</x:v>
      </x:c>
      <x:c r="J516" s="70" t="str">
        <x:v>人工选择与审核</x:v>
      </x:c>
      <x:c r="K516" s="70" t="str">
        <x:v>未预填官方代码</x:v>
      </x:c>
      <x:c r="L516" s="70" t="str">
        <x:v>TMUA</x:v>
      </x:c>
      <x:c r="M516" s="70" t="str">
        <x:v>V3-UATUK</x:v>
      </x:c>
      <x:c r="N516" s="70" t="str">
        <x:v>https://esat-tmua.ac.uk/</x:v>
      </x:c>
    </x:row>
    <x:row r="517" ht="72" customHeight="1">
      <x:c r="A517" s="71" t="str">
        <x:v>C516</x:v>
      </x:c>
      <x:c r="B517" s="70" t="str">
        <x:v>UK-TEST</x:v>
      </x:c>
      <x:c r="C517" s="70" t="str">
        <x:v>升学考试备考</x:v>
      </x:c>
      <x:c r="D517" s="70" t="str"/>
      <x:c r="E517" s="70" t="str">
        <x:v>现行产品目录核对</x:v>
      </x:c>
      <x:c r="F517" s="70" t="str">
        <x:v>2026目录；具体大学、考季与地区另核</x:v>
      </x:c>
      <x:c r="G517" s="70" t="str">
        <x:v>启用前按年份和本校授权复核</x:v>
      </x:c>
      <x:c r="H517" s="70" t="str">
        <x:v>课程目录层</x:v>
      </x:c>
      <x:c r="I517" s="70" t="str">
        <x:v>备考课默认不计GPA；外部考试成绩独立保存</x:v>
      </x:c>
      <x:c r="J517" s="70" t="str">
        <x:v>人工选择与审核</x:v>
      </x:c>
      <x:c r="K517" s="70" t="str">
        <x:v>未预填官方代码</x:v>
      </x:c>
      <x:c r="L517" s="70" t="str">
        <x:v>TARA</x:v>
      </x:c>
      <x:c r="M517" s="70" t="str">
        <x:v>V3-UATUK</x:v>
      </x:c>
      <x:c r="N517" s="70" t="str">
        <x:v>https://esat-tmua.ac.uk/</x:v>
      </x:c>
    </x:row>
    <x:row r="518" ht="72" customHeight="1">
      <x:c r="A518" s="71" t="str">
        <x:v>C517</x:v>
      </x:c>
      <x:c r="B518" s="70" t="str">
        <x:v>UK-TEST</x:v>
      </x:c>
      <x:c r="C518" s="70" t="str">
        <x:v>升学考试备考</x:v>
      </x:c>
      <x:c r="D518" s="70" t="str"/>
      <x:c r="E518" s="70" t="str">
        <x:v>现行产品目录核对</x:v>
      </x:c>
      <x:c r="F518" s="70" t="str">
        <x:v>2026目录；具体大学、考季与地区另核</x:v>
      </x:c>
      <x:c r="G518" s="70" t="str">
        <x:v>启用前按年份和本校授权复核</x:v>
      </x:c>
      <x:c r="H518" s="70" t="str">
        <x:v>课程目录层</x:v>
      </x:c>
      <x:c r="I518" s="70" t="str">
        <x:v>备考课默认不计GPA；外部考试成绩独立保存</x:v>
      </x:c>
      <x:c r="J518" s="70" t="str">
        <x:v>人工选择与审核</x:v>
      </x:c>
      <x:c r="K518" s="70" t="str">
        <x:v>未预填官方代码</x:v>
      </x:c>
      <x:c r="L518" s="70" t="str">
        <x:v>UCAT</x:v>
      </x:c>
      <x:c r="M518" s="70" t="str">
        <x:v>V3-UCAT</x:v>
      </x:c>
      <x:c r="N518" s="70" t="str">
        <x:v>https://www.ucat.ac.uk/about-ucat/test-format-and-scoring/</x:v>
      </x:c>
    </x:row>
    <x:row r="519" ht="72" customHeight="1">
      <x:c r="A519" s="71" t="str">
        <x:v>C518</x:v>
      </x:c>
      <x:c r="B519" s="70" t="str">
        <x:v>UK-TEST</x:v>
      </x:c>
      <x:c r="C519" s="70" t="str">
        <x:v>升学考试备考</x:v>
      </x:c>
      <x:c r="D519" s="70" t="str"/>
      <x:c r="E519" s="70" t="str">
        <x:v>现行产品目录核对</x:v>
      </x:c>
      <x:c r="F519" s="70" t="str">
        <x:v>2026目录；具体大学、考季与地区另核</x:v>
      </x:c>
      <x:c r="G519" s="70" t="str">
        <x:v>启用前按年份和本校授权复核</x:v>
      </x:c>
      <x:c r="H519" s="70" t="str">
        <x:v>课程目录层</x:v>
      </x:c>
      <x:c r="I519" s="70" t="str">
        <x:v>备考课默认不计GPA；外部考试成绩独立保存</x:v>
      </x:c>
      <x:c r="J519" s="70" t="str">
        <x:v>人工选择与审核</x:v>
      </x:c>
      <x:c r="K519" s="70" t="str">
        <x:v>未预填官方代码</x:v>
      </x:c>
      <x:c r="L519" s="70" t="str">
        <x:v>LNAT</x:v>
      </x:c>
      <x:c r="M519" s="70" t="str">
        <x:v>V3-LNAT</x:v>
      </x:c>
      <x:c r="N519" s="70" t="str">
        <x:v>https://lnat.ac.uk/what-is-lnat/</x:v>
      </x:c>
    </x:row>
    <x:row r="520" ht="72" customHeight="1">
      <x:c r="A520" s="71" t="str">
        <x:v>C519</x:v>
      </x:c>
      <x:c r="B520" s="70" t="str">
        <x:v>UK-TEST</x:v>
      </x:c>
      <x:c r="C520" s="70" t="str">
        <x:v>升学考试备考</x:v>
      </x:c>
      <x:c r="D520" s="70" t="str"/>
      <x:c r="E520" s="70" t="str">
        <x:v>现行产品目录核对</x:v>
      </x:c>
      <x:c r="F520" s="70" t="str">
        <x:v>2026目录；具体大学、考季与地区另核</x:v>
      </x:c>
      <x:c r="G520" s="70" t="str">
        <x:v>启用前按年份和本校授权复核</x:v>
      </x:c>
      <x:c r="H520" s="70" t="str">
        <x:v>课程目录层</x:v>
      </x:c>
      <x:c r="I520" s="70" t="str">
        <x:v>备考课默认不计GPA；外部考试成绩独立保存</x:v>
      </x:c>
      <x:c r="J520" s="70" t="str">
        <x:v>人工选择与审核</x:v>
      </x:c>
      <x:c r="K520" s="70" t="str">
        <x:v>未预填官方代码</x:v>
      </x:c>
      <x:c r="L520" s="70" t="str">
        <x:v>STEP</x:v>
      </x:c>
      <x:c r="M520" s="70" t="str">
        <x:v>V3-STEP</x:v>
      </x:c>
      <x:c r="N520" s="70" t="str">
        <x:v>https://www.ocr.org.uk/students/step-mathematics/</x:v>
      </x:c>
    </x:row>
  </x:sheetData>
  <x:pageMargins left="0.7" right="0.7" top="0.75" bottom="0.75" header="0.3" footer="0.3"/>
  <x:tableParts count="1">
    <x:tablePart xmlns:r="http://schemas.openxmlformats.org/officeDocument/2006/relationships" r:id="R47d4ffe76d7c495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2" hidden="0" customWidth="1"/>
    <x:col min="4" max="4" width="28" hidden="0" customWidth="1"/>
    <x:col min="5" max="5" width="32" hidden="0" customWidth="1"/>
    <x:col min="6" max="6" width="30" hidden="0" customWidth="1"/>
    <x:col min="7" max="7" width="55" hidden="0" customWidth="1"/>
    <x:col min="8" max="8" width="49" hidden="0" customWidth="1"/>
    <x:col min="9" max="9" width="36" hidden="0" customWidth="1"/>
    <x:col min="10" max="10" width="65" hidden="0" customWidth="1"/>
    <x:col min="11" max="11" width="35" hidden="0" customWidth="1"/>
    <x:col min="12" max="12" width="25" hidden="0" customWidth="1"/>
    <x:col min="13" max="13" width="48" hidden="0" customWidth="1"/>
  </x:cols>
  <x:sheetData>
    <x:row r="1" ht="38" customHeight="1">
      <x:c r="A1" s="76" t="str">
        <x:v>外部考试键</x:v>
      </x:c>
      <x:c r="B1" s="76" t="str">
        <x:v>备考课程标记</x:v>
      </x:c>
      <x:c r="C1" s="76" t="str">
        <x:v>考试产品</x:v>
      </x:c>
      <x:c r="D1" s="76" t="str">
        <x:v>考试机构</x:v>
      </x:c>
      <x:c r="E1" s="76" t="str">
        <x:v>适用版本／日期</x:v>
      </x:c>
      <x:c r="F1" s="76" t="str">
        <x:v>状态</x:v>
      </x:c>
      <x:c r="G1" s="76" t="str">
        <x:v>考试内容／分项</x:v>
      </x:c>
      <x:c r="H1" s="76" t="str">
        <x:v>成绩量表</x:v>
      </x:c>
      <x:c r="I1" s="76" t="str">
        <x:v>使用边界</x:v>
      </x:c>
      <x:c r="J1" s="76" t="str">
        <x:v>重要说明</x:v>
      </x:c>
      <x:c r="K1" s="76" t="str">
        <x:v>数据性质</x:v>
      </x:c>
      <x:c r="L1" s="76" t="str">
        <x:v>来源编号</x:v>
      </x:c>
      <x:c r="M1" s="76" t="str">
        <x:v>官方来源URL</x:v>
      </x:c>
    </x:row>
    <x:row r="2" ht="94" customHeight="1">
      <x:c r="A2" s="71" t="str">
        <x:v>SAT-DIGITAL</x:v>
      </x:c>
      <x:c r="B2" s="70" t="str">
        <x:v>C497</x:v>
      </x:c>
      <x:c r="C2" s="70" t="str">
        <x:v>SAT (Digital)</x:v>
      </x:c>
      <x:c r="D2" s="70" t="str">
        <x:v>College Board</x:v>
      </x:c>
      <x:c r="E2" s="70" t="str">
        <x:v>Digital SAT；2026目录</x:v>
      </x:c>
      <x:c r="F2" s="70" t="str">
        <x:v>现行产品目录核对</x:v>
      </x:c>
      <x:c r="G2" s="70" t="str">
        <x:v>Reading and Writing; Math（每部分2个自适应模块）</x:v>
      </x:c>
      <x:c r="H2" s="70" t="str">
        <x:v>Total 400–1600; RW 200–800; Math 200–800</x:v>
      </x:c>
      <x:c r="I2" s="70" t="str">
        <x:v>学校/考试日/版本分别核对；非自动GPA</x:v>
      </x:c>
      <x:c r="J2" s="70" t="str">
        <x:v>SAT是升学考试，不是美国高中学历体系；分数范围来源另见V3-SAT-SCORES。</x:v>
      </x:c>
      <x:c r="K2" s="70" t="str">
        <x:v>本表不登记学生真实成绩或报考</x:v>
      </x:c>
      <x:c r="L2" s="70" t="str">
        <x:v>V3-SAT</x:v>
      </x:c>
      <x:c r="M2" s="70" t="str">
        <x:v>https://satsuite.collegeboard.org/sat/whats-on-the-test/structure</x:v>
      </x:c>
    </x:row>
    <x:row r="3" ht="94" customHeight="1">
      <x:c r="A3" s="71" t="str">
        <x:v>ACT-ENHANCED</x:v>
      </x:c>
      <x:c r="B3" s="70" t="str">
        <x:v>C498</x:v>
      </x:c>
      <x:c r="C3" s="70" t="str">
        <x:v>ACT (Enhanced)</x:v>
      </x:c>
      <x:c r="D3" s="70" t="str">
        <x:v>ACT</x:v>
      </x:c>
      <x:c r="E3" s="70" t="str">
        <x:v>Enhanced ACT；国际考试2026改革版本</x:v>
      </x:c>
      <x:c r="F3" s="70" t="str">
        <x:v>现行产品目录核对</x:v>
      </x:c>
      <x:c r="G3" s="70" t="str">
        <x:v>English; Mathematics; Reading; Science optional; Writing optional</x:v>
      </x:c>
      <x:c r="H3" s="70" t="str">
        <x:v>Composite 1–36; English/Math/Reading 1–36</x:v>
      </x:c>
      <x:c r="I3" s="70" t="str">
        <x:v>学校/考试日/版本分别核对；非自动GPA</x:v>
      </x:c>
      <x:c r="J3" s="70" t="str">
        <x:v>Composite按English、Math、Reading；Science/Writing分别保存，参加要求按场次核。</x:v>
      </x:c>
      <x:c r="K3" s="70" t="str">
        <x:v>本表不登记学生真实成绩或报考</x:v>
      </x:c>
      <x:c r="L3" s="70" t="str">
        <x:v>V3-ACT</x:v>
      </x:c>
      <x:c r="M3" s="70" t="str">
        <x:v>https://global.act.org/content/global/en/products-and-services/the-act-non-us/test-preparation/test-enhancements.html</x:v>
      </x:c>
    </x:row>
    <x:row r="4" ht="94" customHeight="1">
      <x:c r="A4" s="71" t="str">
        <x:v>IELTS-ACADEMIC</x:v>
      </x:c>
      <x:c r="B4" s="70" t="str">
        <x:v>C499</x:v>
      </x:c>
      <x:c r="C4" s="70" t="str">
        <x:v>IELTS Academic</x:v>
      </x:c>
      <x:c r="D4" s="70" t="str">
        <x:v>IELTS Partners</x:v>
      </x:c>
      <x:c r="E4" s="70" t="str">
        <x:v>2026产品目录</x:v>
      </x:c>
      <x:c r="F4" s="70" t="str">
        <x:v>现行产品目录核对</x:v>
      </x:c>
      <x:c r="G4" s="70" t="str">
        <x:v>Listening; Academic Reading; Academic Writing; Speaking</x:v>
      </x:c>
      <x:c r="H4" s="70" t="str">
        <x:v>Overall and four skills: 0–9, half bands</x:v>
      </x:c>
      <x:c r="I4" s="70" t="str">
        <x:v>学校/考试日/版本分别核对；非自动GPA</x:v>
      </x:c>
      <x:c r="J4" s="70" t="str">
        <x:v>本科/研究生学术用途；UKVI、机考/纸考作为产品实施/场次属性，不伪造另一门学科。计分见V3-IELTS-SCORE。</x:v>
      </x:c>
      <x:c r="K4" s="70" t="str">
        <x:v>本表不登记学生真实成绩或报考</x:v>
      </x:c>
      <x:c r="L4" s="70" t="str">
        <x:v>V3-IELTS</x:v>
      </x:c>
      <x:c r="M4" s="70" t="str">
        <x:v>https://ielts.org/take-a-test/test-types/ielts-academic-test</x:v>
      </x:c>
    </x:row>
    <x:row r="5" ht="94" customHeight="1">
      <x:c r="A5" s="71" t="str">
        <x:v>IELTS-GENERAL</x:v>
      </x:c>
      <x:c r="B5" s="70" t="str">
        <x:v>C500</x:v>
      </x:c>
      <x:c r="C5" s="70" t="str">
        <x:v>IELTS General Training</x:v>
      </x:c>
      <x:c r="D5" s="70" t="str">
        <x:v>IELTS Partners</x:v>
      </x:c>
      <x:c r="E5" s="70" t="str">
        <x:v>2026产品目录</x:v>
      </x:c>
      <x:c r="F5" s="70" t="str">
        <x:v>现行产品目录核对</x:v>
      </x:c>
      <x:c r="G5" s="70" t="str">
        <x:v>Listening; General Training Reading; General Training Writing; Speaking</x:v>
      </x:c>
      <x:c r="H5" s="70" t="str">
        <x:v>Overall and four skills: 0–9, half bands</x:v>
      </x:c>
      <x:c r="I5" s="70" t="str">
        <x:v>学校/考试日/版本分别核对；非自动GPA</x:v>
      </x:c>
      <x:c r="J5" s="70" t="str">
        <x:v>不是默认大学学术英语入学考试；与Academic不可自动互换。计分见V3-IELTS-SCORE。</x:v>
      </x:c>
      <x:c r="K5" s="70" t="str">
        <x:v>本表不登记学生真实成绩或报考</x:v>
      </x:c>
      <x:c r="L5" s="70" t="str">
        <x:v>V3-IELTS-GT</x:v>
      </x:c>
      <x:c r="M5" s="70" t="str">
        <x:v>https://ielts.org/take-a-test/test-types/ielts-general-training-test</x:v>
      </x:c>
    </x:row>
    <x:row r="6" ht="94" customHeight="1">
      <x:c r="A6" s="71" t="str">
        <x:v>TOEFL-IBT-2026</x:v>
      </x:c>
      <x:c r="B6" s="70" t="str">
        <x:v>C501</x:v>
      </x:c>
      <x:c r="C6" s="70" t="str">
        <x:v>TOEFL iBT</x:v>
      </x:c>
      <x:c r="D6" s="70" t="str">
        <x:v>ETS</x:v>
      </x:c>
      <x:c r="E6" s="70" t="str">
        <x:v>Tests taken on/after 2026-01-21</x:v>
      </x:c>
      <x:c r="F6" s="70" t="str">
        <x:v>现行产品目录核对</x:v>
      </x:c>
      <x:c r="G6" s="70" t="str">
        <x:v>Reading; Listening; Speaking; Writing</x:v>
      </x:c>
      <x:c r="H6" s="70" t="str">
        <x:v>Overall and four sections: 1–6 in 0.5 steps</x:v>
      </x:c>
      <x:c r="I6" s="70" t="str">
        <x:v>学校/考试日/版本分别核对；非自动GPA</x:v>
      </x:c>
      <x:c r="J6" s="70" t="str">
        <x:v>两年过渡期另报可比0–120总分；不得将其当旧版四个0–30单项。Home Edition是交付模式，不另造资格。</x:v>
      </x:c>
      <x:c r="K6" s="70" t="str">
        <x:v>本表不登记学生真实成绩或报考</x:v>
      </x:c>
      <x:c r="L6" s="70" t="str">
        <x:v>V3-TOEFL-SCORE</x:v>
      </x:c>
      <x:c r="M6" s="70" t="str">
        <x:v>https://www.ets.org/toefl/test-takers/ibt/scores/understand-scores.html</x:v>
      </x:c>
    </x:row>
    <x:row r="7" ht="94" customHeight="1">
      <x:c r="A7" s="71" t="str">
        <x:v>TOEFL-IBT-PRE2026</x:v>
      </x:c>
      <x:c r="B7" s="70" t="str">
        <x:v>C501</x:v>
      </x:c>
      <x:c r="C7" s="70" t="str">
        <x:v>TOEFL iBT — historical score schema</x:v>
      </x:c>
      <x:c r="D7" s="70" t="str">
        <x:v>ETS</x:v>
      </x:c>
      <x:c r="E7" s="70" t="str">
        <x:v>Tests before 2026-01-21</x:v>
      </x:c>
      <x:c r="F7" s="70" t="str">
        <x:v>历史成绩结构；非新增开课</x:v>
      </x:c>
      <x:c r="G7" s="70" t="str">
        <x:v>Reading; Listening; Speaking; Writing</x:v>
      </x:c>
      <x:c r="H7" s="70" t="str">
        <x:v>Total 0–120; four sections 0–30</x:v>
      </x:c>
      <x:c r="I7" s="70" t="str">
        <x:v>保留原始成绩单和考试日期；不覆盖历史量表</x:v>
      </x:c>
      <x:c r="J7" s="70" t="str">
        <x:v>可与新版本关联同一备考课程，但每次成绩必须带量表版本。</x:v>
      </x:c>
      <x:c r="K7" s="70" t="str">
        <x:v>仅用于历史成绩兼容</x:v>
      </x:c>
      <x:c r="L7" s="70" t="str">
        <x:v>V3-TOEFL-SCORE</x:v>
      </x:c>
      <x:c r="M7" s="70" t="str">
        <x:v>https://www.ets.org/toefl/test-takers/ibt/scores/understand-scores.html</x:v>
      </x:c>
    </x:row>
    <x:row r="8" ht="94" customHeight="1">
      <x:c r="A8" s="71" t="str">
        <x:v>DET</x:v>
      </x:c>
      <x:c r="B8" s="70" t="str">
        <x:v>C502</x:v>
      </x:c>
      <x:c r="C8" s="70" t="str">
        <x:v>Duolingo English Test</x:v>
      </x:c>
      <x:c r="D8" s="70" t="str">
        <x:v>Duolingo</x:v>
      </x:c>
      <x:c r="E8" s="70" t="str">
        <x:v>2026成绩报告快照</x:v>
      </x:c>
      <x:c r="F8" s="70" t="str">
        <x:v>现行产品目录核对</x:v>
      </x:c>
      <x:c r="G8" s="70" t="str">
        <x:v>Individual: Reading/Writing/Listening/Speaking; integrated subscores separately</x:v>
      </x:c>
      <x:c r="H8" s="70" t="str">
        <x:v>Overall 10–160; follow official score report for subscores</x:v>
      </x:c>
      <x:c r="I8" s="70" t="str">
        <x:v>学校/考试日/版本分别核对；非自动GPA</x:v>
      </x:c>
      <x:c r="J8" s="70" t="str">
        <x:v>不是Duolingo日常学习App积分；四项技能教学块不代表四个独立计时分卷。</x:v>
      </x:c>
      <x:c r="K8" s="70" t="str">
        <x:v>本表不登记学生真实成绩或报考</x:v>
      </x:c>
      <x:c r="L8" s="70" t="str">
        <x:v>V3-DET26</x:v>
      </x:c>
      <x:c r="M8" s="70" t="str">
        <x:v>https://englishtest-static.duolingo.com/media/resources/DET_Scoring%20Guide%20for%20Teachers%20%282026%29.pdf</x:v>
      </x:c>
    </x:row>
    <x:row r="9" ht="94" customHeight="1">
      <x:c r="A9" s="71" t="str">
        <x:v>PTE-ACADEMIC</x:v>
      </x:c>
      <x:c r="B9" s="70" t="str">
        <x:v>C503</x:v>
      </x:c>
      <x:c r="C9" s="70" t="str">
        <x:v>PTE Academic</x:v>
      </x:c>
      <x:c r="D9" s="70" t="str">
        <x:v>Pearson</x:v>
      </x:c>
      <x:c r="E9" s="70" t="str">
        <x:v>2026产品目录</x:v>
      </x:c>
      <x:c r="F9" s="70" t="str">
        <x:v>现行产品目录核对</x:v>
      </x:c>
      <x:c r="G9" s="70" t="str">
        <x:v>Speaking &amp; Writing; Reading; Listening</x:v>
      </x:c>
      <x:c r="H9" s="70" t="str">
        <x:v>Overall and communicative skills 10–90</x:v>
      </x:c>
      <x:c r="I9" s="70" t="str">
        <x:v>学校/考试日/版本分别核对；非自动GPA</x:v>
      </x:c>
      <x:c r="J9" s="70" t="str">
        <x:v>Overall不按四个技能简单算术平均；PTE Core、UKVI等产品/用途另核，不自动等同。</x:v>
      </x:c>
      <x:c r="K9" s="70" t="str">
        <x:v>本表不登记学生真实成绩或报考</x:v>
      </x:c>
      <x:c r="L9" s="70" t="str">
        <x:v>V3-PTE</x:v>
      </x:c>
      <x:c r="M9" s="70" t="str">
        <x:v>https://www.pearsonpte.com/pte-academic/scoring/</x:v>
      </x:c>
    </x:row>
    <x:row r="10" ht="94" customHeight="1">
      <x:c r="A10" s="71" t="str">
        <x:v>CAEL</x:v>
      </x:c>
      <x:c r="B10" s="70" t="str">
        <x:v>C504</x:v>
      </x:c>
      <x:c r="C10" s="70" t="str">
        <x:v>CAEL</x:v>
      </x:c>
      <x:c r="D10" s="70" t="str">
        <x:v>Paragon Testing Enterprises</x:v>
      </x:c>
      <x:c r="E10" s="70" t="str">
        <x:v>2026产品目录</x:v>
      </x:c>
      <x:c r="F10" s="70" t="str">
        <x:v>现行产品目录核对</x:v>
      </x:c>
      <x:c r="G10" s="70" t="str">
        <x:v>Speaking; Reading; Listening; Writing; integrated academic tasks</x:v>
      </x:c>
      <x:c r="H10" s="70" t="str">
        <x:v>Overall and skills 10–90; reported in 10-point bands</x:v>
      </x:c>
      <x:c r="I10" s="70" t="str">
        <x:v>学校/考试日/版本分别核对；非自动GPA</x:v>
      </x:c>
      <x:c r="J10" s="70" t="str">
        <x:v>CAEL与IELTS/TOEFL/PTE均保留各自量表，不做未经批准的等值换算。</x:v>
      </x:c>
      <x:c r="K10" s="70" t="str">
        <x:v>本表不登记学生真实成绩或报考</x:v>
      </x:c>
      <x:c r="L10" s="70" t="str">
        <x:v>V3-CAEL</x:v>
      </x:c>
      <x:c r="M10" s="70" t="str">
        <x:v>https://cael.ca/take-cael/test-results-scoring/</x:v>
      </x:c>
    </x:row>
    <x:row r="11" ht="94" customHeight="1">
      <x:c r="A11" s="71" t="str">
        <x:v>LANGCERT-ACADEMIC</x:v>
      </x:c>
      <x:c r="B11" s="70" t="str">
        <x:v>C505</x:v>
      </x:c>
      <x:c r="C11" s="70" t="str">
        <x:v>LANGUAGECERT Academic</x:v>
      </x:c>
      <x:c r="D11" s="70" t="str">
        <x:v>LANGUAGECERT</x:v>
      </x:c>
      <x:c r="E11" s="70" t="str">
        <x:v>2026产品目录</x:v>
      </x:c>
      <x:c r="F11" s="70" t="str">
        <x:v>现行产品目录核对</x:v>
      </x:c>
      <x:c r="G11" s="70" t="str">
        <x:v>Listening; Reading; Writing; Speaking</x:v>
      </x:c>
      <x:c r="H11" s="70" t="str">
        <x:v>Follow official Academic score report; B1–C2 multilevel</x:v>
      </x:c>
      <x:c r="I11" s="70" t="str">
        <x:v>学校/考试日/版本分别核对；非自动GPA</x:v>
      </x:c>
      <x:c r="J11" s="70" t="str">
        <x:v>不将LANGUAGECERT所有ESOL、SELT或Academic产品视为同一考试；本版未填写数值计分上下限。</x:v>
      </x:c>
      <x:c r="K11" s="70" t="str">
        <x:v>本表不登记学生真实成绩或报考</x:v>
      </x:c>
      <x:c r="L11" s="70" t="str">
        <x:v>V3-LANGCERT</x:v>
      </x:c>
      <x:c r="M11" s="70" t="str">
        <x:v>https://www.languagecert.org/en/language-exams/english/languagecert-academic/academic</x:v>
      </x:c>
    </x:row>
    <x:row r="12" ht="94" customHeight="1">
      <x:c r="A12" s="71" t="str">
        <x:v>CAM-A2-KEY</x:v>
      </x:c>
      <x:c r="B12" s="70" t="str">
        <x:v>C506</x:v>
      </x:c>
      <x:c r="C12" s="70" t="str">
        <x:v>A2 Key</x:v>
      </x:c>
      <x:c r="D12" s="70" t="str">
        <x:v>Cambridge English</x:v>
      </x:c>
      <x:c r="E12" s="70" t="str">
        <x:v>2026产品目录</x:v>
      </x:c>
      <x:c r="F12" s="70" t="str">
        <x:v>现行产品目录核对</x:v>
      </x:c>
      <x:c r="G12" s="70" t="str">
        <x:v>Reading/Writing/Listening/Speaking; Use of English where applicable</x:v>
      </x:c>
      <x:c r="H12" s="70" t="str">
        <x:v>Cambridge English Scale; exam-specific reporting range</x:v>
      </x:c>
      <x:c r="I12" s="70" t="str">
        <x:v>学校/考试日/版本分别核对；非自动GPA</x:v>
      </x:c>
      <x:c r="J12" s="70" t="str">
        <x:v>考试目标CEFR级别不等于可报告分数范围；for Schools单独标明。大学是否接受及要求按目标校核。</x:v>
      </x:c>
      <x:c r="K12" s="70" t="str">
        <x:v>本表不登记学生真实成绩或报考</x:v>
      </x:c>
      <x:c r="L12" s="70" t="str">
        <x:v>V3-CAM-ENG</x:v>
      </x:c>
      <x:c r="M12" s="70" t="str">
        <x:v>https://www.cambridgeenglish.org/exams-and-tests/qualifications/preparation/</x:v>
      </x:c>
    </x:row>
    <x:row r="13" ht="94" customHeight="1">
      <x:c r="A13" s="71" t="str">
        <x:v>CAM-A2-KEY-SCHOOLS</x:v>
      </x:c>
      <x:c r="B13" s="70" t="str">
        <x:v>C507</x:v>
      </x:c>
      <x:c r="C13" s="70" t="str">
        <x:v>A2 Key for Schools</x:v>
      </x:c>
      <x:c r="D13" s="70" t="str">
        <x:v>Cambridge English</x:v>
      </x:c>
      <x:c r="E13" s="70" t="str">
        <x:v>2026产品目录</x:v>
      </x:c>
      <x:c r="F13" s="70" t="str">
        <x:v>现行产品目录核对</x:v>
      </x:c>
      <x:c r="G13" s="70" t="str">
        <x:v>Reading/Writing/Listening/Speaking; Use of English where applicable</x:v>
      </x:c>
      <x:c r="H13" s="70" t="str">
        <x:v>Cambridge English Scale; exam-specific reporting range</x:v>
      </x:c>
      <x:c r="I13" s="70" t="str">
        <x:v>学校/考试日/版本分别核对；非自动GPA</x:v>
      </x:c>
      <x:c r="J13" s="70" t="str">
        <x:v>考试目标CEFR级别不等于可报告分数范围；for Schools单独标明。大学是否接受及要求按目标校核。</x:v>
      </x:c>
      <x:c r="K13" s="70" t="str">
        <x:v>本表不登记学生真实成绩或报考</x:v>
      </x:c>
      <x:c r="L13" s="70" t="str">
        <x:v>V3-CAM-ENG</x:v>
      </x:c>
      <x:c r="M13" s="70" t="str">
        <x:v>https://www.cambridgeenglish.org/exams-and-tests/qualifications/preparation/</x:v>
      </x:c>
    </x:row>
    <x:row r="14" ht="94" customHeight="1">
      <x:c r="A14" s="71" t="str">
        <x:v>CAM-B1-PRELIM</x:v>
      </x:c>
      <x:c r="B14" s="70" t="str">
        <x:v>C508</x:v>
      </x:c>
      <x:c r="C14" s="70" t="str">
        <x:v>B1 Preliminary</x:v>
      </x:c>
      <x:c r="D14" s="70" t="str">
        <x:v>Cambridge English</x:v>
      </x:c>
      <x:c r="E14" s="70" t="str">
        <x:v>2026产品目录</x:v>
      </x:c>
      <x:c r="F14" s="70" t="str">
        <x:v>现行产品目录核对</x:v>
      </x:c>
      <x:c r="G14" s="70" t="str">
        <x:v>Reading/Writing/Listening/Speaking; Use of English where applicable</x:v>
      </x:c>
      <x:c r="H14" s="70" t="str">
        <x:v>Cambridge English Scale; exam-specific reporting range</x:v>
      </x:c>
      <x:c r="I14" s="70" t="str">
        <x:v>学校/考试日/版本分别核对；非自动GPA</x:v>
      </x:c>
      <x:c r="J14" s="70" t="str">
        <x:v>考试目标CEFR级别不等于可报告分数范围；for Schools单独标明。大学是否接受及要求按目标校核。</x:v>
      </x:c>
      <x:c r="K14" s="70" t="str">
        <x:v>本表不登记学生真实成绩或报考</x:v>
      </x:c>
      <x:c r="L14" s="70" t="str">
        <x:v>V3-CAM-ENG</x:v>
      </x:c>
      <x:c r="M14" s="70" t="str">
        <x:v>https://www.cambridgeenglish.org/exams-and-tests/qualifications/preparation/</x:v>
      </x:c>
    </x:row>
    <x:row r="15" ht="94" customHeight="1">
      <x:c r="A15" s="71" t="str">
        <x:v>CAM-B1-PRELIM-SCHOOLS</x:v>
      </x:c>
      <x:c r="B15" s="70" t="str">
        <x:v>C509</x:v>
      </x:c>
      <x:c r="C15" s="70" t="str">
        <x:v>B1 Preliminary for Schools</x:v>
      </x:c>
      <x:c r="D15" s="70" t="str">
        <x:v>Cambridge English</x:v>
      </x:c>
      <x:c r="E15" s="70" t="str">
        <x:v>2026产品目录</x:v>
      </x:c>
      <x:c r="F15" s="70" t="str">
        <x:v>现行产品目录核对</x:v>
      </x:c>
      <x:c r="G15" s="70" t="str">
        <x:v>Reading/Writing/Listening/Speaking; Use of English where applicable</x:v>
      </x:c>
      <x:c r="H15" s="70" t="str">
        <x:v>Cambridge English Scale; exam-specific reporting range</x:v>
      </x:c>
      <x:c r="I15" s="70" t="str">
        <x:v>学校/考试日/版本分别核对；非自动GPA</x:v>
      </x:c>
      <x:c r="J15" s="70" t="str">
        <x:v>考试目标CEFR级别不等于可报告分数范围；for Schools单独标明。大学是否接受及要求按目标校核。</x:v>
      </x:c>
      <x:c r="K15" s="70" t="str">
        <x:v>本表不登记学生真实成绩或报考</x:v>
      </x:c>
      <x:c r="L15" s="70" t="str">
        <x:v>V3-CAM-ENG</x:v>
      </x:c>
      <x:c r="M15" s="70" t="str">
        <x:v>https://www.cambridgeenglish.org/exams-and-tests/qualifications/preparation/</x:v>
      </x:c>
    </x:row>
    <x:row r="16" ht="94" customHeight="1">
      <x:c r="A16" s="71" t="str">
        <x:v>CAM-B2-FIRST</x:v>
      </x:c>
      <x:c r="B16" s="70" t="str">
        <x:v>C510</x:v>
      </x:c>
      <x:c r="C16" s="70" t="str">
        <x:v>B2 First</x:v>
      </x:c>
      <x:c r="D16" s="70" t="str">
        <x:v>Cambridge English</x:v>
      </x:c>
      <x:c r="E16" s="70" t="str">
        <x:v>2026产品目录</x:v>
      </x:c>
      <x:c r="F16" s="70" t="str">
        <x:v>现行产品目录核对</x:v>
      </x:c>
      <x:c r="G16" s="70" t="str">
        <x:v>Reading/Writing/Listening/Speaking; Use of English where applicable</x:v>
      </x:c>
      <x:c r="H16" s="70" t="str">
        <x:v>Cambridge English Scale; exam-specific reporting range</x:v>
      </x:c>
      <x:c r="I16" s="70" t="str">
        <x:v>学校/考试日/版本分别核对；非自动GPA</x:v>
      </x:c>
      <x:c r="J16" s="70" t="str">
        <x:v>考试目标CEFR级别不等于可报告分数范围；for Schools单独标明。大学是否接受及要求按目标校核。</x:v>
      </x:c>
      <x:c r="K16" s="70" t="str">
        <x:v>本表不登记学生真实成绩或报考</x:v>
      </x:c>
      <x:c r="L16" s="70" t="str">
        <x:v>V3-CAM-ENG</x:v>
      </x:c>
      <x:c r="M16" s="70" t="str">
        <x:v>https://www.cambridgeenglish.org/exams-and-tests/qualifications/preparation/</x:v>
      </x:c>
    </x:row>
    <x:row r="17" ht="94" customHeight="1">
      <x:c r="A17" s="71" t="str">
        <x:v>CAM-B2-FIRST-SCHOOLS</x:v>
      </x:c>
      <x:c r="B17" s="70" t="str">
        <x:v>C511</x:v>
      </x:c>
      <x:c r="C17" s="70" t="str">
        <x:v>B2 First for Schools</x:v>
      </x:c>
      <x:c r="D17" s="70" t="str">
        <x:v>Cambridge English</x:v>
      </x:c>
      <x:c r="E17" s="70" t="str">
        <x:v>2026产品目录</x:v>
      </x:c>
      <x:c r="F17" s="70" t="str">
        <x:v>现行产品目录核对</x:v>
      </x:c>
      <x:c r="G17" s="70" t="str">
        <x:v>Reading/Writing/Listening/Speaking; Use of English where applicable</x:v>
      </x:c>
      <x:c r="H17" s="70" t="str">
        <x:v>Cambridge English Scale; exam-specific reporting range</x:v>
      </x:c>
      <x:c r="I17" s="70" t="str">
        <x:v>学校/考试日/版本分别核对；非自动GPA</x:v>
      </x:c>
      <x:c r="J17" s="70" t="str">
        <x:v>考试目标CEFR级别不等于可报告分数范围；for Schools单独标明。大学是否接受及要求按目标校核。</x:v>
      </x:c>
      <x:c r="K17" s="70" t="str">
        <x:v>本表不登记学生真实成绩或报考</x:v>
      </x:c>
      <x:c r="L17" s="70" t="str">
        <x:v>V3-CAM-ENG</x:v>
      </x:c>
      <x:c r="M17" s="70" t="str">
        <x:v>https://www.cambridgeenglish.org/exams-and-tests/qualifications/preparation/</x:v>
      </x:c>
    </x:row>
    <x:row r="18" ht="94" customHeight="1">
      <x:c r="A18" s="71" t="str">
        <x:v>CAM-C1-ADVANCED</x:v>
      </x:c>
      <x:c r="B18" s="70" t="str">
        <x:v>C512</x:v>
      </x:c>
      <x:c r="C18" s="70" t="str">
        <x:v>C1 Advanced</x:v>
      </x:c>
      <x:c r="D18" s="70" t="str">
        <x:v>Cambridge English</x:v>
      </x:c>
      <x:c r="E18" s="70" t="str">
        <x:v>2026产品目录</x:v>
      </x:c>
      <x:c r="F18" s="70" t="str">
        <x:v>现行产品目录核对</x:v>
      </x:c>
      <x:c r="G18" s="70" t="str">
        <x:v>Reading/Writing/Listening/Speaking; Use of English where applicable</x:v>
      </x:c>
      <x:c r="H18" s="70" t="str">
        <x:v>Cambridge English Scale; exam-specific reporting range</x:v>
      </x:c>
      <x:c r="I18" s="70" t="str">
        <x:v>学校/考试日/版本分别核对；非自动GPA</x:v>
      </x:c>
      <x:c r="J18" s="70" t="str">
        <x:v>考试目标CEFR级别不等于可报告分数范围；for Schools单独标明。大学是否接受及要求按目标校核。</x:v>
      </x:c>
      <x:c r="K18" s="70" t="str">
        <x:v>本表不登记学生真实成绩或报考</x:v>
      </x:c>
      <x:c r="L18" s="70" t="str">
        <x:v>V3-CAM-ENG</x:v>
      </x:c>
      <x:c r="M18" s="70" t="str">
        <x:v>https://www.cambridgeenglish.org/exams-and-tests/qualifications/preparation/</x:v>
      </x:c>
    </x:row>
    <x:row r="19" ht="94" customHeight="1">
      <x:c r="A19" s="71" t="str">
        <x:v>CAM-C2-PROFICIENCY</x:v>
      </x:c>
      <x:c r="B19" s="70" t="str">
        <x:v>C513</x:v>
      </x:c>
      <x:c r="C19" s="70" t="str">
        <x:v>C2 Proficiency</x:v>
      </x:c>
      <x:c r="D19" s="70" t="str">
        <x:v>Cambridge English</x:v>
      </x:c>
      <x:c r="E19" s="70" t="str">
        <x:v>2026产品目录</x:v>
      </x:c>
      <x:c r="F19" s="70" t="str">
        <x:v>现行产品目录核对</x:v>
      </x:c>
      <x:c r="G19" s="70" t="str">
        <x:v>Reading/Writing/Listening/Speaking; Use of English where applicable</x:v>
      </x:c>
      <x:c r="H19" s="70" t="str">
        <x:v>Cambridge English Scale; exam-specific reporting range</x:v>
      </x:c>
      <x:c r="I19" s="70" t="str">
        <x:v>学校/考试日/版本分别核对；非自动GPA</x:v>
      </x:c>
      <x:c r="J19" s="70" t="str">
        <x:v>考试目标CEFR级别不等于可报告分数范围；for Schools单独标明。大学是否接受及要求按目标校核。</x:v>
      </x:c>
      <x:c r="K19" s="70" t="str">
        <x:v>本表不登记学生真实成绩或报考</x:v>
      </x:c>
      <x:c r="L19" s="70" t="str">
        <x:v>V3-CAM-ENG</x:v>
      </x:c>
      <x:c r="M19" s="70" t="str">
        <x:v>https://www.cambridgeenglish.org/exams-and-tests/qualifications/preparation/</x:v>
      </x:c>
    </x:row>
    <x:row r="20" ht="94" customHeight="1">
      <x:c r="A20" s="71" t="str">
        <x:v>ESAT</x:v>
      </x:c>
      <x:c r="B20" s="70" t="str">
        <x:v>C514</x:v>
      </x:c>
      <x:c r="C20" s="70" t="str">
        <x:v>ESAT</x:v>
      </x:c>
      <x:c r="D20" s="70" t="str">
        <x:v>UAT-UK</x:v>
      </x:c>
      <x:c r="E20" s="70" t="str">
        <x:v>2026目录；具体大学、考季与地区另核</x:v>
      </x:c>
      <x:c r="F20" s="70" t="str">
        <x:v>现行产品目录核对</x:v>
      </x:c>
      <x:c r="G20" s="70" t="str">
        <x:v>见当届官方结构；本版未展开计分</x:v>
      </x:c>
      <x:c r="H20" s="70" t="str">
        <x:v>按官方成绩单；数值量表未预填</x:v>
      </x:c>
      <x:c r="I20" s="70" t="str">
        <x:v>学校/考试日/版本分别核对；非自动GPA</x:v>
      </x:c>
      <x:c r="J20" s="70" t="str">
        <x:v>备考目录，不构成任何院校的固定申请要求；不自动报考。</x:v>
      </x:c>
      <x:c r="K20" s="70" t="str">
        <x:v>本表不登记学生真实成绩或报考</x:v>
      </x:c>
      <x:c r="L20" s="70" t="str">
        <x:v>V3-UATUK</x:v>
      </x:c>
      <x:c r="M20" s="70" t="str">
        <x:v>https://esat-tmua.ac.uk/</x:v>
      </x:c>
    </x:row>
    <x:row r="21" ht="94" customHeight="1">
      <x:c r="A21" s="71" t="str">
        <x:v>TMUA</x:v>
      </x:c>
      <x:c r="B21" s="70" t="str">
        <x:v>C515</x:v>
      </x:c>
      <x:c r="C21" s="70" t="str">
        <x:v>TMUA</x:v>
      </x:c>
      <x:c r="D21" s="70" t="str">
        <x:v>UAT-UK</x:v>
      </x:c>
      <x:c r="E21" s="70" t="str">
        <x:v>2026目录；具体大学、考季与地区另核</x:v>
      </x:c>
      <x:c r="F21" s="70" t="str">
        <x:v>现行产品目录核对</x:v>
      </x:c>
      <x:c r="G21" s="70" t="str">
        <x:v>见当届官方结构；本版未展开计分</x:v>
      </x:c>
      <x:c r="H21" s="70" t="str">
        <x:v>按官方成绩单；数值量表未预填</x:v>
      </x:c>
      <x:c r="I21" s="70" t="str">
        <x:v>学校/考试日/版本分别核对；非自动GPA</x:v>
      </x:c>
      <x:c r="J21" s="70" t="str">
        <x:v>备考目录，不构成任何院校的固定申请要求；不自动报考。</x:v>
      </x:c>
      <x:c r="K21" s="70" t="str">
        <x:v>本表不登记学生真实成绩或报考</x:v>
      </x:c>
      <x:c r="L21" s="70" t="str">
        <x:v>V3-UATUK</x:v>
      </x:c>
      <x:c r="M21" s="70" t="str">
        <x:v>https://esat-tmua.ac.uk/</x:v>
      </x:c>
    </x:row>
    <x:row r="22" ht="94" customHeight="1">
      <x:c r="A22" s="71" t="str">
        <x:v>TARA</x:v>
      </x:c>
      <x:c r="B22" s="70" t="str">
        <x:v>C516</x:v>
      </x:c>
      <x:c r="C22" s="70" t="str">
        <x:v>TARA</x:v>
      </x:c>
      <x:c r="D22" s="70" t="str">
        <x:v>UAT-UK</x:v>
      </x:c>
      <x:c r="E22" s="70" t="str">
        <x:v>2026目录；具体大学、考季与地区另核</x:v>
      </x:c>
      <x:c r="F22" s="70" t="str">
        <x:v>现行产品目录核对</x:v>
      </x:c>
      <x:c r="G22" s="70" t="str">
        <x:v>见当届官方结构；本版未展开计分</x:v>
      </x:c>
      <x:c r="H22" s="70" t="str">
        <x:v>按官方成绩单；数值量表未预填</x:v>
      </x:c>
      <x:c r="I22" s="70" t="str">
        <x:v>学校/考试日/版本分别核对；非自动GPA</x:v>
      </x:c>
      <x:c r="J22" s="70" t="str">
        <x:v>备考目录，不构成任何院校的固定申请要求；不自动报考。</x:v>
      </x:c>
      <x:c r="K22" s="70" t="str">
        <x:v>本表不登记学生真实成绩或报考</x:v>
      </x:c>
      <x:c r="L22" s="70" t="str">
        <x:v>V3-UATUK</x:v>
      </x:c>
      <x:c r="M22" s="70" t="str">
        <x:v>https://esat-tmua.ac.uk/</x:v>
      </x:c>
    </x:row>
    <x:row r="23" ht="94" customHeight="1">
      <x:c r="A23" s="71" t="str">
        <x:v>UCAT</x:v>
      </x:c>
      <x:c r="B23" s="70" t="str">
        <x:v>C517</x:v>
      </x:c>
      <x:c r="C23" s="70" t="str">
        <x:v>UCAT</x:v>
      </x:c>
      <x:c r="D23" s="70" t="str">
        <x:v>UCAT Consortium</x:v>
      </x:c>
      <x:c r="E23" s="70" t="str">
        <x:v>2026目录；具体大学、考季与地区另核</x:v>
      </x:c>
      <x:c r="F23" s="70" t="str">
        <x:v>现行产品目录核对</x:v>
      </x:c>
      <x:c r="G23" s="70" t="str">
        <x:v>Verbal Reasoning; Decision Making; Quantitative Reasoning; Situational Judgement</x:v>
      </x:c>
      <x:c r="H23" s="70" t="str">
        <x:v>Cognitive total 900–2700; three scores 300–900; SJT bands 1–4</x:v>
      </x:c>
      <x:c r="I23" s="70" t="str">
        <x:v>学校/考试日/版本分别核对；非自动GPA</x:v>
      </x:c>
      <x:c r="J23" s="70" t="str">
        <x:v>备考目录，不构成任何院校的固定申请要求；不自动报考。</x:v>
      </x:c>
      <x:c r="K23" s="70" t="str">
        <x:v>本表不登记学生真实成绩或报考</x:v>
      </x:c>
      <x:c r="L23" s="70" t="str">
        <x:v>V3-UCAT</x:v>
      </x:c>
      <x:c r="M23" s="70" t="str">
        <x:v>https://www.ucat.ac.uk/about-ucat/test-format-and-scoring/</x:v>
      </x:c>
    </x:row>
    <x:row r="24" ht="94" customHeight="1">
      <x:c r="A24" s="71" t="str">
        <x:v>LNAT</x:v>
      </x:c>
      <x:c r="B24" s="70" t="str">
        <x:v>C518</x:v>
      </x:c>
      <x:c r="C24" s="70" t="str">
        <x:v>LNAT</x:v>
      </x:c>
      <x:c r="D24" s="70" t="str">
        <x:v>LNAT Consortium</x:v>
      </x:c>
      <x:c r="E24" s="70" t="str">
        <x:v>2026目录；具体大学、考季与地区另核</x:v>
      </x:c>
      <x:c r="F24" s="70" t="str">
        <x:v>现行产品目录核对</x:v>
      </x:c>
      <x:c r="G24" s="70" t="str">
        <x:v>Multiple-choice section; essay</x:v>
      </x:c>
      <x:c r="H24" s="70" t="str">
        <x:v>按官方成绩单；数值量表未预填</x:v>
      </x:c>
      <x:c r="I24" s="70" t="str">
        <x:v>学校/考试日/版本分别核对；非自动GPA</x:v>
      </x:c>
      <x:c r="J24" s="70" t="str">
        <x:v>备考目录，不构成任何院校的固定申请要求；不自动报考。</x:v>
      </x:c>
      <x:c r="K24" s="70" t="str">
        <x:v>本表不登记学生真实成绩或报考</x:v>
      </x:c>
      <x:c r="L24" s="70" t="str">
        <x:v>V3-LNAT</x:v>
      </x:c>
      <x:c r="M24" s="70" t="str">
        <x:v>https://lnat.ac.uk/what-is-lnat/</x:v>
      </x:c>
    </x:row>
    <x:row r="25" ht="94" customHeight="1">
      <x:c r="A25" s="71" t="str">
        <x:v>STEP</x:v>
      </x:c>
      <x:c r="B25" s="70" t="str">
        <x:v>C519</x:v>
      </x:c>
      <x:c r="C25" s="70" t="str">
        <x:v>STEP Mathematics</x:v>
      </x:c>
      <x:c r="D25" s="70" t="str">
        <x:v>OCR</x:v>
      </x:c>
      <x:c r="E25" s="70" t="str">
        <x:v>2026目录；具体大学、考季与地区另核</x:v>
      </x:c>
      <x:c r="F25" s="70" t="str">
        <x:v>现行产品目录核对</x:v>
      </x:c>
      <x:c r="G25" s="70" t="str">
        <x:v>STEP 2; STEP 3</x:v>
      </x:c>
      <x:c r="H25" s="70" t="str">
        <x:v>按官方成绩单；数值量表未预填</x:v>
      </x:c>
      <x:c r="I25" s="70" t="str">
        <x:v>学校/考试日/版本分别核对；非自动GPA</x:v>
      </x:c>
      <x:c r="J25" s="70" t="str">
        <x:v>备考目录，不构成任何院校的固定申请要求；不自动报考。</x:v>
      </x:c>
      <x:c r="K25" s="70" t="str">
        <x:v>本表不登记学生真实成绩或报考</x:v>
      </x:c>
      <x:c r="L25" s="70" t="str">
        <x:v>V3-STEP</x:v>
      </x:c>
      <x:c r="M25" s="70" t="str">
        <x:v>https://www.ocr.org.uk/students/step-mathematics/</x:v>
      </x:c>
    </x:row>
  </x:sheetData>
  <x:pageMargins left="0.7" right="0.7" top="0.75" bottom="0.75" header="0.3" footer="0.3"/>
  <x:tableParts count="1">
    <x:tablePart xmlns:r="http://schemas.openxmlformats.org/officeDocument/2006/relationships" r:id="R68e2204116924fd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8" hidden="0" customWidth="1"/>
    <x:col min="4" max="4" width="37" hidden="0" customWidth="1"/>
    <x:col min="5" max="5" width="28" hidden="0" customWidth="1"/>
    <x:col min="6" max="6" width="65" hidden="0" customWidth="1"/>
    <x:col min="7" max="7" width="65" hidden="0" customWidth="1"/>
    <x:col min="8" max="8" width="25" hidden="0" customWidth="1"/>
    <x:col min="9" max="9" width="48" hidden="0" customWidth="1"/>
  </x:cols>
  <x:sheetData>
    <x:row r="1" ht="38" customHeight="1">
      <x:c r="A1" s="76" t="str">
        <x:v>事项标记</x:v>
      </x:c>
      <x:c r="B1" s="76" t="str">
        <x:v>体系键</x:v>
      </x:c>
      <x:c r="C1" s="76" t="str">
        <x:v>待补充／版本事项</x:v>
      </x:c>
      <x:c r="D1" s="76" t="str">
        <x:v>状态类别</x:v>
      </x:c>
      <x:c r="E1" s="76" t="str">
        <x:v>课程入库状态</x:v>
      </x:c>
      <x:c r="F1" s="76" t="str">
        <x:v>处理要求</x:v>
      </x:c>
      <x:c r="G1" s="76" t="str">
        <x:v>补充说明</x:v>
      </x:c>
      <x:c r="H1" s="76" t="str">
        <x:v>来源编号</x:v>
      </x:c>
      <x:c r="I1" s="76" t="str">
        <x:v>官方来源URL</x:v>
      </x:c>
    </x:row>
    <x:row r="2" ht="94" customHeight="1">
      <x:c r="A2" s="71" t="str">
        <x:v>R001</x:v>
      </x:c>
      <x:c r="B2" s="70" t="str">
        <x:v>SG-AL</x:v>
      </x:c>
      <x:c r="C2" s="70" t="str">
        <x:v>H2 Chemistry 9729 → 9476</x:v>
      </x:c>
      <x:c r="D2" s="70" t="str">
        <x:v>2026新旧并行／旧版最后考季</x:v>
      </x:c>
      <x:c r="E2" s="70" t="str">
        <x:v>未建立新的02课程记录</x:v>
      </x:c>
      <x:c r="F2" s="70" t="str">
        <x:v>02仅建所核对新版；需要旧考生/重考记录时按2026旧大纲单独建版本，不用新码覆盖历史。</x:v>
      </x:c>
      <x:c r="G2" s="70" t="str"/>
      <x:c r="H2" s="70" t="str">
        <x:v>V3-SG26</x:v>
      </x:c>
      <x:c r="I2" s="70" t="str">
        <x:v>https://www.seab.gov.sg/gce-a-level/a-level-syllabuses-examined-for-school-candidates-2026/</x:v>
      </x:c>
    </x:row>
    <x:row r="3" ht="94" customHeight="1">
      <x:c r="A3" s="71" t="str">
        <x:v>R002</x:v>
      </x:c>
      <x:c r="B3" s="70" t="str">
        <x:v>SG-AL</x:v>
      </x:c>
      <x:c r="C3" s="70" t="str">
        <x:v>H2 Biology 9744 → 9477</x:v>
      </x:c>
      <x:c r="D3" s="70" t="str">
        <x:v>2026新旧并行／旧版最后考季</x:v>
      </x:c>
      <x:c r="E3" s="70" t="str">
        <x:v>未建立新的02课程记录</x:v>
      </x:c>
      <x:c r="F3" s="70" t="str">
        <x:v>02仅建所核对新版；需要旧考生/重考记录时按2026旧大纲单独建版本，不用新码覆盖历史。</x:v>
      </x:c>
      <x:c r="G3" s="70" t="str"/>
      <x:c r="H3" s="70" t="str">
        <x:v>V3-SG26</x:v>
      </x:c>
      <x:c r="I3" s="70" t="str">
        <x:v>https://www.seab.gov.sg/gce-a-level/a-level-syllabuses-examined-for-school-candidates-2026/</x:v>
      </x:c>
    </x:row>
    <x:row r="4" ht="94" customHeight="1">
      <x:c r="A4" s="71" t="str">
        <x:v>R003</x:v>
      </x:c>
      <x:c r="B4" s="70" t="str">
        <x:v>SG-AL</x:v>
      </x:c>
      <x:c r="C4" s="70" t="str">
        <x:v>H2 Physics 9749 → 9478</x:v>
      </x:c>
      <x:c r="D4" s="70" t="str">
        <x:v>2026新旧并行／旧版最后考季</x:v>
      </x:c>
      <x:c r="E4" s="70" t="str">
        <x:v>未建立新的02课程记录</x:v>
      </x:c>
      <x:c r="F4" s="70" t="str">
        <x:v>02仅建所核对新版；需要旧考生/重考记录时按2026旧大纲单独建版本，不用新码覆盖历史。</x:v>
      </x:c>
      <x:c r="G4" s="70" t="str"/>
      <x:c r="H4" s="70" t="str">
        <x:v>V3-SG26</x:v>
      </x:c>
      <x:c r="I4" s="70" t="str">
        <x:v>https://www.seab.gov.sg/gce-a-level/a-level-syllabuses-examined-for-school-candidates-2026/</x:v>
      </x:c>
    </x:row>
    <x:row r="5" ht="94" customHeight="1">
      <x:c r="A5" s="71" t="str">
        <x:v>R004</x:v>
      </x:c>
      <x:c r="B5" s="70" t="str">
        <x:v>SG-AL</x:v>
      </x:c>
      <x:c r="C5" s="70" t="str">
        <x:v>H2 Art 9750 → 9357</x:v>
      </x:c>
      <x:c r="D5" s="70" t="str">
        <x:v>2026新旧并行／旧版最后考季</x:v>
      </x:c>
      <x:c r="E5" s="70" t="str">
        <x:v>未建立新的02课程记录</x:v>
      </x:c>
      <x:c r="F5" s="70" t="str">
        <x:v>02仅建所核对新版；需要旧考生/重考记录时按2026旧大纲单独建版本，不用新码覆盖历史。</x:v>
      </x:c>
      <x:c r="G5" s="70" t="str"/>
      <x:c r="H5" s="70" t="str">
        <x:v>V3-SG26</x:v>
      </x:c>
      <x:c r="I5" s="70" t="str">
        <x:v>https://www.seab.gov.sg/gce-a-level/a-level-syllabuses-examined-for-school-candidates-2026/</x:v>
      </x:c>
    </x:row>
    <x:row r="6" ht="94" customHeight="1">
      <x:c r="A6" s="71" t="str">
        <x:v>R005</x:v>
      </x:c>
      <x:c r="B6" s="70" t="str">
        <x:v>SG-AL</x:v>
      </x:c>
      <x:c r="C6" s="70" t="str">
        <x:v>English Language and Linguistics 9508 / Computing 9569</x:v>
      </x:c>
      <x:c r="D6" s="70" t="str">
        <x:v>同码大纲换版</x:v>
      </x:c>
      <x:c r="E6" s="70" t="str">
        <x:v>未建立新的02课程记录</x:v>
      </x:c>
      <x:c r="F6" s="70" t="str">
        <x:v>02已有条目但不得以代码单独判定版本；2027 revised大纲须带考试年份。</x:v>
      </x:c>
      <x:c r="G6" s="70" t="str"/>
      <x:c r="H6" s="70" t="str">
        <x:v>V3-SG27</x:v>
      </x:c>
      <x:c r="I6" s="70" t="str">
        <x:v>https://www.seab.gov.sg/gce-a-level/a-level-syllabuses-examined-for-school-candidates-2027/</x:v>
      </x:c>
    </x:row>
    <x:row r="7" ht="94" customHeight="1">
      <x:c r="A7" s="71" t="str">
        <x:v>R006</x:v>
      </x:c>
      <x:c r="B7" s="70" t="str">
        <x:v>AP</x:v>
      </x:c>
      <x:c r="C7" s="70" t="str">
        <x:v>AP Networking</x:v>
      </x:c>
      <x:c r="D7" s="70" t="str">
        <x:v>2026–27 pilot；2027–28 planned launch</x:v>
      </x:c>
      <x:c r="E7" s="70" t="str">
        <x:v>未建立新的02课程记录</x:v>
      </x:c>
      <x:c r="F7" s="70" t="str">
        <x:v>不作为2026普通可新开AP课程预置；按学校获准试点/首开年份核对。</x:v>
      </x:c>
      <x:c r="G7" s="70" t="str"/>
      <x:c r="H7" s="70" t="str">
        <x:v>V3-AP-NET</x:v>
      </x:c>
      <x:c r="I7" s="70" t="str">
        <x:v>https://apcentral.collegeboard.org/courses/ap-networking/adopt</x:v>
      </x:c>
    </x:row>
    <x:row r="8" ht="94" customHeight="1">
      <x:c r="A8" s="71" t="str">
        <x:v>R007</x:v>
      </x:c>
      <x:c r="B8" s="70" t="str">
        <x:v>HKDSE-C</x:v>
      </x:c>
      <x:c r="C8" s="70" t="str">
        <x:v>Hindi</x:v>
      </x:c>
      <x:c r="D8" s="70" t="str">
        <x:v>自2028新增</x:v>
      </x:c>
      <x:c r="E8" s="70" t="str">
        <x:v>未建立新的02课程记录</x:v>
      </x:c>
      <x:c r="F8" s="70" t="str">
        <x:v>2026目录不建立现行Hindi课程；到适用考季再启用。</x:v>
      </x:c>
      <x:c r="G8" s="70" t="str"/>
      <x:c r="H8" s="70" t="str">
        <x:v>V3-HK-C-2026</x:v>
      </x:c>
      <x:c r="I8" s="70" t="str">
        <x:v>https://www.info.gov.hk/gia/general/202606/23/P2026062300228.htm</x:v>
      </x:c>
    </x:row>
    <x:row r="9" ht="94" customHeight="1">
      <x:c r="A9" s="71" t="str">
        <x:v>R008</x:v>
      </x:c>
      <x:c r="B9" s="70" t="str">
        <x:v>HKDSE-A</x:v>
      </x:c>
      <x:c r="C9" s="70" t="str">
        <x:v>Combined Science / Integrated Science / Liberal Studies</x:v>
      </x:c>
      <x:c r="D9" s="70" t="str">
        <x:v>旧科目/旧框架历史兼容</x:v>
      </x:c>
      <x:c r="E9" s="70" t="str">
        <x:v>未建立新的02课程记录</x:v>
      </x:c>
      <x:c r="F9" s="70" t="str">
        <x:v>不得把旧网页仍可下载的科目自动视为新开课程；需历史成绩时按考季建立。</x:v>
      </x:c>
      <x:c r="G9" s="70" t="str"/>
      <x:c r="H9" s="70" t="str">
        <x:v>V3-HK-CHANGES</x:v>
      </x:c>
      <x:c r="I9" s="70" t="str">
        <x:v>https://www.hkeaa.edu.hk/DocLibrary/HKDSE/Subject_Information/NotesChangesAFs2024-e-rev1.pdf</x:v>
      </x:c>
    </x:row>
    <x:row r="10" ht="94" customHeight="1">
      <x:c r="A10" s="71" t="str">
        <x:v>R009</x:v>
      </x:c>
      <x:c r="B10" s="70" t="str">
        <x:v>CAIE-AL</x:v>
      </x:c>
      <x:c r="C10" s="70" t="str">
        <x:v>官网标注NEW的语言、历史等课程／替代代码</x:v>
      </x:c>
      <x:c r="D10" s="70" t="str">
        <x:v>首教/首考年份尚待逐科核对</x:v>
      </x:c>
      <x:c r="E10" s="70" t="str">
        <x:v>未建立新的02课程记录</x:v>
      </x:c>
      <x:c r="F10" s="70" t="str">
        <x:v>仅目录入口已核，未确认生效年份的新增代码不预置可开课。</x:v>
      </x:c>
      <x:c r="G10" s="70" t="str">
        <x:v>包括9865、9484、9868、8238、9981、9982、9844、8022、8386等候选；须逐科验证。</x:v>
      </x:c>
      <x:c r="H10" s="70" t="str">
        <x:v>V3-CAIE-AL</x:v>
      </x:c>
      <x:c r="I10" s="70" t="str">
        <x:v>https://www.cambridgeinternational.org/programmes-and-qualifications/cambridge-advanced/cambridge-international-as-and-a-levels/subjects/</x:v>
      </x:c>
    </x:row>
    <x:row r="11" ht="94" customHeight="1">
      <x:c r="A11" s="71" t="str">
        <x:v>R010</x:v>
      </x:c>
      <x:c r="B11" s="70" t="str">
        <x:v>OXFORD-AL</x:v>
      </x:c>
      <x:c r="C11" s="70" t="str">
        <x:v>新增/换版的Chinese、Sociology、Mathematics、Further Mathematics、Business</x:v>
      </x:c>
      <x:c r="D11" s="70" t="str">
        <x:v>目录变更待逐科核对</x:v>
      </x:c>
      <x:c r="E11" s="70" t="str">
        <x:v>未建立新的02课程记录</x:v>
      </x:c>
      <x:c r="F11" s="70" t="str">
        <x:v>旧代码与新代码必须按版本分开；不凭NEW标记推定当前所有年级适用。</x:v>
      </x:c>
      <x:c r="G11" s="70" t="str"/>
      <x:c r="H11" s="70" t="str">
        <x:v>V3-OXFORD</x:v>
      </x:c>
      <x:c r="I11" s="70" t="str">
        <x:v>https://www.oxfordaqa.com/</x:v>
      </x:c>
    </x:row>
    <x:row r="12" ht="94" customHeight="1">
      <x:c r="A12" s="71" t="str">
        <x:v>R011</x:v>
      </x:c>
      <x:c r="B12" s="70" t="str">
        <x:v>UK-AL</x:v>
      </x:c>
      <x:c r="C12" s="70" t="str">
        <x:v>AQA / OCR / Pearson UK / WJEC / Eduqas / CCEA其余学科</x:v>
      </x:c>
      <x:c r="D12" s="70" t="str">
        <x:v>待拓展范围</x:v>
      </x:c>
      <x:c r="E12" s="70" t="str">
        <x:v>未建立新的02课程记录</x:v>
      </x:c>
      <x:c r="F12" s="70" t="str">
        <x:v>原工作簿主要是结构示例；本版保留原样，仍非各英国考试局完整科目库。</x:v>
      </x:c>
      <x:c r="G12" s="70" t="str"/>
      <x:c r="H12" s="70" t="str"/>
      <x:c r="I12" s="70"/>
    </x:row>
    <x:row r="13" ht="94" customHeight="1">
      <x:c r="A13" s="71" t="str">
        <x:v>R012</x:v>
      </x:c>
      <x:c r="B13" s="70" t="str">
        <x:v>HKDSE-B</x:v>
      </x:c>
      <x:c r="C13" s="70" t="str">
        <x:v>Applied Learning (Category B)</x:v>
      </x:c>
      <x:c r="D13" s="70" t="str">
        <x:v>待拓展范围</x:v>
      </x:c>
      <x:c r="E13" s="70" t="str">
        <x:v>未建立新的02课程记录</x:v>
      </x:c>
      <x:c r="F13" s="70" t="str">
        <x:v>需按认可课程提供机构、届别和ApL课程核对；未逐条建课。</x:v>
      </x:c>
      <x:c r="G13" s="70" t="str"/>
      <x:c r="H13" s="70" t="str">
        <x:v>V3-HKDSE</x:v>
      </x:c>
      <x:c r="I13" s="70" t="str">
        <x:v>https://www.hkeaa.edu.hk/en/hkdse/assessment/subject_information/</x:v>
      </x:c>
    </x:row>
    <x:row r="14" ht="94" customHeight="1">
      <x:c r="A14" s="71" t="str">
        <x:v>R013</x:v>
      </x:c>
      <x:c r="B14" s="70" t="str">
        <x:v>SG-SEC</x:v>
      </x:c>
      <x:c r="C14" s="70" t="str">
        <x:v>Singapore O-Level / N-Level / SEC及IP路径</x:v>
      </x:c>
      <x:c r="D14" s="70" t="str">
        <x:v>待拓展范围</x:v>
      </x:c>
      <x:c r="E14" s="70" t="str">
        <x:v>未建立新的02课程记录</x:v>
      </x:c>
      <x:c r="F14" s="70" t="str">
        <x:v>高中毕业与中学阶段资格分层；正式新增前核对过渡届别和SEAB科目目录。</x:v>
      </x:c>
      <x:c r="G14" s="70" t="str"/>
      <x:c r="H14" s="70" t="str"/>
      <x:c r="I14" s="70"/>
    </x:row>
    <x:row r="15" ht="94" customHeight="1">
      <x:c r="A15" s="71" t="str">
        <x:v>R014</x:v>
      </x:c>
      <x:c r="B15" s="70" t="str">
        <x:v>CA-ON</x:v>
      </x:c>
      <x:c r="C15" s="70" t="str">
        <x:v>OSSD其余科目、学分与毕业条件</x:v>
      </x:c>
      <x:c r="D15" s="70" t="str">
        <x:v>待拓展范围</x:v>
      </x:c>
      <x:c r="E15" s="70" t="str">
        <x:v>未建立新的02课程记录</x:v>
      </x:c>
      <x:c r="F15" s="70" t="str">
        <x:v>本版只建已核对的英语与数学课程，不代表全部OSSD。</x:v>
      </x:c>
      <x:c r="G15" s="70" t="str"/>
      <x:c r="H15" s="70" t="str">
        <x:v>V3-ON-EN</x:v>
      </x:c>
      <x:c r="I15" s="70" t="str">
        <x:v>https://www.dcp.edu.gov.on.ca/en/curriculum/secondary-english/courses-list</x:v>
      </x:c>
    </x:row>
    <x:row r="16" ht="94" customHeight="1">
      <x:c r="A16" s="71" t="str">
        <x:v>R015</x:v>
      </x:c>
      <x:c r="B16" s="70" t="str">
        <x:v>CA-OTHER</x:v>
      </x:c>
      <x:c r="C16" s="70" t="str">
        <x:v>加拿大其他省课程／魁北克CEGEP</x:v>
      </x:c>
      <x:c r="D16" s="70" t="str">
        <x:v>待拓展范围</x:v>
      </x:c>
      <x:c r="E16" s="70" t="str">
        <x:v>未建立新的02课程记录</x:v>
      </x:c>
      <x:c r="F16" s="70" t="str">
        <x:v>不能统一建一个Canada通用课程代码库。</x:v>
      </x:c>
      <x:c r="G16" s="70" t="str"/>
      <x:c r="H16" s="70" t="str"/>
      <x:c r="I16" s="70"/>
    </x:row>
    <x:row r="17" ht="94" customHeight="1">
      <x:c r="A17" s="71" t="str">
        <x:v>R016</x:v>
      </x:c>
      <x:c r="B17" s="70" t="str">
        <x:v>AU-OTHER</x:v>
      </x:c>
      <x:c r="C17" s="70" t="str">
        <x:v>SACE / WACE / QCE / ACT及其他州领地体系</x:v>
      </x:c>
      <x:c r="D17" s="70" t="str">
        <x:v>待拓展范围</x:v>
      </x:c>
      <x:c r="E17" s="70" t="str">
        <x:v>未建立新的02课程记录</x:v>
      </x:c>
      <x:c r="F17" s="70" t="str">
        <x:v>ATAR应作为选拔排名结果，不作为课程或学校毕业资格名称。</x:v>
      </x:c>
      <x:c r="G17" s="70" t="str"/>
      <x:c r="H17" s="70" t="str"/>
      <x:c r="I17" s="70"/>
    </x:row>
    <x:row r="18" ht="94" customHeight="1">
      <x:c r="A18" s="71" t="str">
        <x:v>R017</x:v>
      </x:c>
      <x:c r="B18" s="70" t="str">
        <x:v>NZ-NCEA</x:v>
      </x:c>
      <x:c r="C18" s="70" t="str">
        <x:v>NCEA Level 1–3及科目/standards</x:v>
      </x:c>
      <x:c r="D18" s="70" t="str">
        <x:v>待拓展范围</x:v>
      </x:c>
      <x:c r="E18" s="70" t="str">
        <x:v>未建立新的02课程记录</x:v>
      </x:c>
      <x:c r="F18" s="70" t="str">
        <x:v>需进一步读取官方标准、级别和版本后建课。</x:v>
      </x:c>
      <x:c r="G18" s="70" t="str"/>
      <x:c r="H18" s="70" t="str">
        <x:v>V3-NCEA</x:v>
      </x:c>
      <x:c r="I18" s="70" t="str">
        <x:v>https://www2.nzqa.govt.nz/ncea/about-ncea/</x:v>
      </x:c>
    </x:row>
    <x:row r="19" ht="94" customHeight="1">
      <x:c r="A19" s="71" t="str">
        <x:v>R018</x:v>
      </x:c>
      <x:c r="B19" s="70" t="str">
        <x:v>MY-STPM</x:v>
      </x:c>
      <x:c r="C19" s="70" t="str">
        <x:v>STPM / UEC等马来西亚路径</x:v>
      </x:c>
      <x:c r="D19" s="70" t="str">
        <x:v>待拓展范围</x:v>
      </x:c>
      <x:c r="E19" s="70" t="str">
        <x:v>未建立新的02课程记录</x:v>
      </x:c>
      <x:c r="F19" s="70" t="str">
        <x:v>待核官方主管机构、现行科目、科目代码与考试结构。</x:v>
      </x:c>
      <x:c r="G19" s="70" t="str"/>
      <x:c r="H19" s="70" t="str"/>
      <x:c r="I19" s="70"/>
    </x:row>
    <x:row r="20" ht="94" customHeight="1">
      <x:c r="A20" s="71" t="str">
        <x:v>R019</x:v>
      </x:c>
      <x:c r="B20" s="70" t="str">
        <x:v>IB-OTHER</x:v>
      </x:c>
      <x:c r="C20" s="70" t="str">
        <x:v>IB MYP / CP及其核心项目</x:v>
      </x:c>
      <x:c r="D20" s="70" t="str">
        <x:v>待拓展范围</x:v>
      </x:c>
      <x:c r="E20" s="70" t="str">
        <x:v>未建立新的02课程记录</x:v>
      </x:c>
      <x:c r="F20" s="70" t="str">
        <x:v>本版IB只扩DP；不把DP科目当作所有IB项目。</x:v>
      </x:c>
      <x:c r="G20" s="70" t="str"/>
      <x:c r="H20" s="70" t="str"/>
      <x:c r="I20" s="70"/>
    </x:row>
    <x:row r="21" ht="94" customHeight="1">
      <x:c r="A21" s="71" t="str">
        <x:v>R020</x:v>
      </x:c>
      <x:c r="B21" s="70" t="str">
        <x:v>EUROPE</x:v>
      </x:c>
      <x:c r="C21" s="70" t="str">
        <x:v>French Baccalauréat / German Abitur / European Baccalaureate</x:v>
      </x:c>
      <x:c r="D21" s="70" t="str">
        <x:v>待拓展范围</x:v>
      </x:c>
      <x:c r="E21" s="70" t="str">
        <x:v>未建立新的02课程记录</x:v>
      </x:c>
      <x:c r="F21" s="70" t="str">
        <x:v>按主管机构、州/地区、语言与课程组合建模；本版未声称覆盖。</x:v>
      </x:c>
      <x:c r="G21" s="70" t="str"/>
      <x:c r="H21" s="70" t="str"/>
      <x:c r="I21" s="70"/>
    </x:row>
    <x:row r="22" ht="94" customHeight="1">
      <x:c r="A22" s="71" t="str">
        <x:v>R021</x:v>
      </x:c>
      <x:c r="B22" s="70" t="str">
        <x:v>SCOTLAND</x:v>
      </x:c>
      <x:c r="C22" s="70" t="str">
        <x:v>Scottish Higher / Advanced Higher</x:v>
      </x:c>
      <x:c r="D22" s="70" t="str">
        <x:v>待拓展范围</x:v>
      </x:c>
      <x:c r="E22" s="70" t="str">
        <x:v>未建立新的02课程记录</x:v>
      </x:c>
      <x:c r="F22" s="70" t="str">
        <x:v>与AS/A Level分开建系；需核现行机构及科目目录。</x:v>
      </x:c>
      <x:c r="G22" s="70" t="str"/>
      <x:c r="H22" s="70" t="str"/>
      <x:c r="I22" s="70"/>
    </x:row>
    <x:row r="23" ht="94" customHeight="1">
      <x:c r="A23" s="71" t="str">
        <x:v>R022</x:v>
      </x:c>
      <x:c r="B23" s="70" t="str">
        <x:v>VOCATIONAL</x:v>
      </x:c>
      <x:c r="C23" s="70" t="str">
        <x:v>BTEC / T Level / Applied / 职业与应用资格</x:v>
      </x:c>
      <x:c r="D23" s="70" t="str">
        <x:v>待拓展范围</x:v>
      </x:c>
      <x:c r="E23" s="70" t="str">
        <x:v>未建立新的02课程记录</x:v>
      </x:c>
      <x:c r="F23" s="70" t="str">
        <x:v>按具体qualification size、level、specification核对，不能仅填一个BTEC通用课程。</x:v>
      </x:c>
      <x:c r="G23" s="70" t="str"/>
      <x:c r="H23" s="70" t="str"/>
      <x:c r="I23" s="70"/>
    </x:row>
    <x:row r="24" ht="94" customHeight="1">
      <x:c r="A24" s="71" t="str">
        <x:v>R023</x:v>
      </x:c>
      <x:c r="B24" s="70" t="str">
        <x:v>FOUNDATION</x:v>
      </x:c>
      <x:c r="C24" s="70" t="str">
        <x:v>大学预科 / International Foundation / Access / Pathway</x:v>
      </x:c>
      <x:c r="D24" s="70" t="str">
        <x:v>待拓展范围</x:v>
      </x:c>
      <x:c r="E24" s="70" t="str">
        <x:v>未建立新的02课程记录</x:v>
      </x:c>
      <x:c r="F24" s="70" t="str">
        <x:v>常由大学或机构独立颁发，无全球统一单元代码；需逐机构版本。</x:v>
      </x:c>
      <x:c r="G24" s="70" t="str"/>
      <x:c r="H24" s="70" t="str"/>
      <x:c r="I24" s="70"/>
    </x:row>
    <x:row r="25" ht="94" customHeight="1">
      <x:c r="A25" s="71" t="str">
        <x:v>R024</x:v>
      </x:c>
      <x:c r="B25" s="70" t="str">
        <x:v>US-HIGH-SCHOOL</x:v>
      </x:c>
      <x:c r="C25" s="70" t="str">
        <x:v>美国普通高中学分课程、Honors、Dual Enrollment</x:v>
      </x:c>
      <x:c r="D25" s="70" t="str">
        <x:v>待拓展范围</x:v>
      </x:c>
      <x:c r="E25" s="70" t="str">
        <x:v>未建立新的02课程记录</x:v>
      </x:c>
      <x:c r="F25" s="70" t="str">
        <x:v>须依州、学区、学校或高校课程设置；AP和SAT都不能替代完整高中学历模型。</x:v>
      </x:c>
      <x:c r="G25" s="70" t="str"/>
      <x:c r="H25" s="70" t="str"/>
      <x:c r="I25" s="70"/>
    </x:row>
    <x:row r="26" ht="94" customHeight="1">
      <x:c r="A26" s="71" t="str">
        <x:v>R025</x:v>
      </x:c>
      <x:c r="B26" s="70" t="str">
        <x:v>IGCSE-GCSE</x:v>
      </x:c>
      <x:c r="C26" s="70" t="str">
        <x:v>Pearson International GCSE / OxfordAQA International GCSE / UK GCSE及其余Cambridge科目</x:v>
      </x:c>
      <x:c r="D26" s="70" t="str">
        <x:v>待拓展范围</x:v>
      </x:c>
      <x:c r="E26" s="70" t="str">
        <x:v>未建立新的02课程记录</x:v>
      </x:c>
      <x:c r="F26" s="70" t="str">
        <x:v>本版37门Cambridge IGCSE为常用选择，不是全球IGCSE/GCSE全部目录。</x:v>
      </x:c>
      <x:c r="G26" s="70" t="str"/>
      <x:c r="H26" s="70" t="str"/>
      <x:c r="I26" s="70"/>
    </x:row>
    <x:row r="27" ht="94" customHeight="1">
      <x:c r="A27" s="71" t="str">
        <x:v>R026</x:v>
      </x:c>
      <x:c r="B27" s="70" t="str">
        <x:v>OTHER-ADMISSIONS</x:v>
      </x:c>
      <x:c r="C27" s="70" t="str">
        <x:v>PSAT / SSAT / ISEE / SAT历史科目考试 / EJU等</x:v>
      </x:c>
      <x:c r="D27" s="70" t="str">
        <x:v>待拓展范围</x:v>
      </x:c>
      <x:c r="E27" s="70" t="str">
        <x:v>未建立新的02课程记录</x:v>
      </x:c>
      <x:c r="F27" s="70" t="str">
        <x:v>区分诊断/中学入学/大学入学/历史停考；不能将全部考试默认为大学必考。</x:v>
      </x:c>
      <x:c r="G27" s="70" t="str"/>
      <x:c r="H27" s="70" t="str"/>
      <x:c r="I27" s="70"/>
    </x:row>
    <x:row r="28" ht="94" customHeight="1">
      <x:c r="A28" s="71" t="str">
        <x:v>R027</x:v>
      </x:c>
      <x:c r="B28" s="70" t="str">
        <x:v>LANGUAGES</x:v>
      </x:c>
      <x:c r="C28" s="70" t="str">
        <x:v>JLPT / TestDaF / DSH / DELF-DALF / DELE / HSK等非英语语言能力考试</x:v>
      </x:c>
      <x:c r="D28" s="70" t="str">
        <x:v>待拓展范围</x:v>
      </x:c>
      <x:c r="E28" s="70" t="str">
        <x:v>未建立新的02课程记录</x:v>
      </x:c>
      <x:c r="F28" s="70" t="str">
        <x:v>本轮英语考试为主要范围；其他语言考试需单独核级别、产品与接受条件。</x:v>
      </x:c>
      <x:c r="G28" s="70" t="str"/>
      <x:c r="H28" s="70" t="str"/>
      <x:c r="I28" s="70"/>
    </x:row>
    <x:row r="29" ht="94" customHeight="1">
      <x:c r="A29" s="71" t="str">
        <x:v>R028</x:v>
      </x:c>
      <x:c r="B29" s="70" t="str">
        <x:v>POSTGRAD</x:v>
      </x:c>
      <x:c r="C29" s="70" t="str">
        <x:v>GRE / GMAT / LSAT / MCAT及其他研究生/职业入学考试</x:v>
      </x:c>
      <x:c r="D29" s="70" t="str">
        <x:v>待拓展范围</x:v>
      </x:c>
      <x:c r="E29" s="70" t="str">
        <x:v>未建立新的02课程记录</x:v>
      </x:c>
      <x:c r="F29" s="70" t="str">
        <x:v>超出本轮高中至本科为主范围；不混入普通学校GPA学科。</x:v>
      </x:c>
      <x:c r="G29" s="70" t="str"/>
      <x:c r="H29" s="70" t="str"/>
      <x:c r="I29" s="70"/>
    </x:row>
  </x:sheetData>
  <x:pageMargins left="0.7" right="0.7" top="0.75" bottom="0.75" header="0.3" footer="0.3"/>
  <x:tableParts count="1">
    <x:tablePart xmlns:r="http://schemas.openxmlformats.org/officeDocument/2006/relationships" r:id="Rb5ee8a2323494e6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5" hidden="0" customWidth="1"/>
    <x:col min="3" max="3" width="80" hidden="0" customWidth="1"/>
    <x:col min="4" max="4" width="100" hidden="0" customWidth="1"/>
  </x:cols>
  <x:sheetData>
    <x:row r="1" ht="38" customHeight="1">
      <x:c r="A1" s="76" t="str">
        <x:v>主题</x:v>
      </x:c>
      <x:c r="B1" s="76" t="str">
        <x:v>关联工作表</x:v>
      </x:c>
      <x:c r="C1" s="76" t="str">
        <x:v>规则</x:v>
      </x:c>
      <x:c r="D1" s="76" t="str">
        <x:v>注意事项</x:v>
      </x:c>
    </x:row>
    <x:row r="2" ht="92" customHeight="1">
      <x:c r="A2" s="71" t="str">
        <x:v>范围</x:v>
      </x:c>
      <x:c r="B2" s="70" t="str">
        <x:v>01–07</x:v>
      </x:c>
      <x:c r="C2" s="70" t="str">
        <x:v>保持原列名、列序与本地S/C/U/L等标记规则；新增课程只在现有表尾追加。</x:v>
      </x:c>
      <x:c r="D2" s="70" t="str">
        <x:v>保留原51课程、186单元、198关联、86资格出口、73考核组成及92映射。原92逐行核对记录未改。</x:v>
      </x:c>
    </x:row>
    <x:row r="3" ht="92" customHeight="1">
      <x:c r="A3" s="71" t="str">
        <x:v>新增分层</x:v>
      </x:c>
      <x:c r="B3" s="70" t="str">
        <x:v>94</x:v>
      </x:c>
      <x:c r="C3" s="70" t="str">
        <x:v>按学历学科、核心项目、校本课程、升学考试备考、语言考试备考分类；记录体系、级别、版本与来源。</x:v>
      </x:c>
      <x:c r="D3" s="70" t="str">
        <x:v>94是参考/扩展契约，不能假定旧导入器会识别；不识别时先筛选拟导入对象，并由有权限者确认类型与计分规则。</x:v>
      </x:c>
    </x:row>
    <x:row r="4" ht="92" customHeight="1">
      <x:c r="A4" s="71" t="str">
        <x:v>外部成绩</x:v>
      </x:c>
      <x:c r="B4" s="70" t="str">
        <x:v>95</x:v>
      </x:c>
      <x:c r="C4" s="70" t="str">
        <x:v>外部考试产品与量表版本目录；不是学生成绩表，不导入为05可兑换学历资格。</x:v>
      </x:c>
      <x:c r="D4" s="70" t="str">
        <x:v>实际考试记录另存考试日、地区/模式、attempt_id、原始量表、分项、总分及证明。外考成绩不得自动换GPA。</x:v>
      </x:c>
    </x:row>
    <x:row r="5" ht="92" customHeight="1">
      <x:c r="A5" s="71" t="str">
        <x:v>启用</x:v>
      </x:c>
      <x:c r="B5" s="70" t="str">
        <x:v>94 / 96</x:v>
      </x:c>
      <x:c r="C5" s="70" t="str">
        <x:v>新增记录是候选目录，不表示本校已授权开课、可报考、已批准或适用于所有考季。</x:v>
      </x:c>
      <x:c r="D5" s="70" t="str">
        <x:v>没有填官方代码、试卷或单元，不等于不存在；无证据的代码留空，不造代码，不用0代表不适用。</x:v>
      </x:c>
    </x:row>
    <x:row r="6" ht="92" customHeight="1">
      <x:c r="A6" s="71" t="str">
        <x:v>单元</x:v>
      </x:c>
      <x:c r="B6" s="70" t="str">
        <x:v>03 / 04</x:v>
      </x:c>
      <x:c r="C6" s="70" t="str">
        <x:v>本轮26个新单元全为明确标注的校内教学划分；不伪装成可独立兑换的官方unit。</x:v>
      </x:c>
      <x:c r="D6" s="70" t="str">
        <x:v>各考试保留独立教学池；不得因名称都是Reading、Mathematics就跨体系自动合并。</x:v>
      </x:c>
    </x:row>
    <x:row r="7" ht="92" customHeight="1">
      <x:c r="A7" s="71" t="str">
        <x:v>考试结构</x:v>
      </x:c>
      <x:c r="B7" s="70" t="str">
        <x:v>05–07</x:v>
      </x:c>
      <x:c r="C7" s="70" t="str">
        <x:v>原详细资格/考核/映射数据保留；本轮新体系主要只到课程目录层。</x:v>
      </x:c>
      <x:c r="D7" s="70" t="str">
        <x:v>不得把本轮519条目录条目理解为519套完整qualification/cash-in、试卷、评分和报考组合。</x:v>
      </x:c>
    </x:row>
    <x:row r="8" ht="92" customHeight="1">
      <x:c r="A8" s="71" t="str">
        <x:v>版本</x:v>
      </x:c>
      <x:c r="B8" s="70" t="str">
        <x:v>94 / 95 / 96</x:v>
      </x:c>
      <x:c r="C8" s="70" t="str">
        <x:v>同一代码可出现不同年份大纲；同一考试会换量表；未来与历史项目分开。</x:v>
      </x:c>
      <x:c r="D8" s="70" t="str">
        <x:v>TOEFL 2026新旧量表保留；SG同码换版和旧码末考单列；未来AP Networking/HKDSE Hindi不作为当前课程预置。</x:v>
      </x:c>
    </x:row>
    <x:row r="9" ht="92" customHeight="1">
      <x:c r="A9" s="71" t="str">
        <x:v>身份与匹配</x:v>
      </x:c>
      <x:c r="B9" s="70" t="str">
        <x:v>全表</x:v>
      </x:c>
      <x:c r="C9" s="70" t="str">
        <x:v>本地标记只在当前文件连线；不是永久代码或数据库ID。</x:v>
      </x:c>
      <x:c r="D9" s="70" t="str">
        <x:v>预览→明确匹配→确认提交；不按同名、空代码、缩写或层级静默合并。</x:v>
      </x:c>
    </x:row>
    <x:row r="10" ht="92" customHeight="1">
      <x:c r="A10" s="71" t="str">
        <x:v>校内统计</x:v>
      </x:c>
      <x:c r="B10" s="70" t="str">
        <x:v>GPA / 报表</x:v>
      </x:c>
      <x:c r="C10" s="70" t="str">
        <x:v>Academic/Overall GPA是否含某门校内课，需按本校已批准规则配置。</x:v>
      </x:c>
      <x:c r="D10" s="70" t="str">
        <x:v>SAT、ACT、IELTS、TOEFL、DET等外部考试成绩与备考课的校内过程评价分开；IB CAS等核心项目不强造普通分数学科。</x:v>
      </x:c>
    </x:row>
    <x:row r="11" ht="92" customHeight="1">
      <x:c r="A11" s="71" t="str">
        <x:v>来源与覆盖</x:v>
      </x:c>
      <x:c r="B11" s="70" t="str">
        <x:v>91 / 93 / 94</x:v>
      </x:c>
      <x:c r="C11" s="70" t="str">
        <x:v>原44条来源保留；新增来源带核对日期和支持范围。目录索引核对不代表逐份大纲精读。</x:v>
      </x:c>
      <x:c r="D11" s="70" t="str">
        <x:v>本版不宣称全球穷尽；未展开地区、机构、语言、职业资格、大学预科和中学阶段体系见96。</x:v>
      </x:c>
    </x:row>
    <x:row r="12" ht="92" customHeight="1">
      <x:c r="A12" s="71" t="str">
        <x:v>校验范围</x:v>
      </x:c>
      <x:c r="B12" s="70" t="str">
        <x:v>文件结构</x:v>
      </x:c>
      <x:c r="C12" s="70" t="str">
        <x:v>检查唯一标记、外键、来源、表格表头和ZIP/XML；保留代码文本类型。</x:v>
      </x:c>
      <x:c r="D12" s="70" t="str">
        <x:v>没有在你的Mac版Excel或weekly_feedback_ui运行真实开档/导入测试；导入前先预览小样。</x:v>
      </x:c>
    </x:row>
    <x:row r="13" ht="92" customHeight="1">
      <x:c r="A13" s="71" t="str">
        <x:v>使用顺序</x:v>
      </x:c>
      <x:c r="B13" s="70" t="str">
        <x:v>00 → 93 → 94 → 02–04</x:v>
      </x:c>
      <x:c r="C13" s="70" t="str">
        <x:v>先看覆盖范围，再按类型/版本筛选课程，连同所依赖学科、单元和关联一起选择。</x:v>
      </x:c>
      <x:c r="D13" s="70" t="str">
        <x:v>不只删父课程却留下关联；不批量启用96候选；需要新体系完整考核配置时再逐大纲建立05–07。</x:v>
      </x:c>
    </x:row>
  </x:sheetData>
  <x:pageMargins left="0.7" right="0.7" top="0.75" bottom="0.75" header="0.3" footer="0.3"/>
  <x:tableParts count="1">
    <x:tablePart xmlns:r="http://schemas.openxmlformats.org/officeDocument/2006/relationships" r:id="Rf0b3d90ec218469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7" hidden="0" customWidth="1"/>
    <x:col min="4" max="4" width="12" hidden="0" customWidth="1"/>
    <x:col min="5" max="5" width="12" hidden="0" customWidth="1"/>
    <x:col min="6" max="6" width="12" hidden="0" customWidth="1"/>
    <x:col min="7" max="7" width="67" hidden="0" customWidth="1"/>
    <x:col min="8" max="8" width="47" hidden="0" customWidth="1"/>
  </x:cols>
  <x:sheetData>
    <x:row r="1" ht="42" customHeight="1">
      <x:c r="A1" s="78" t="str">
        <x:v>国际升学课程与考试目录  |  v3.0</x:v>
      </x:c>
      <x:c r="B1" s="78"/>
      <x:c r="C1" s="78"/>
      <x:c r="D1" s="78"/>
      <x:c r="E1" s="78"/>
      <x:c r="F1" s="78"/>
      <x:c r="G1" s="78"/>
      <x:c r="H1" s="78"/>
    </x:row>
    <x:row r="2" ht="25" customHeight="1">
      <x:c r="A2" s="80" t="str">
        <x:v>核对日期 2026-09-17。课程目录为主；不同级别/语言/路径分别计数，不代表独立学科总数。先看94分类与版本，再选取拟导入的课程及依赖记录；未核范围见96。</x:v>
      </x:c>
      <x:c r="B2" s="80"/>
      <x:c r="C2" s="80"/>
      <x:c r="D2" s="80"/>
      <x:c r="E2" s="80"/>
      <x:c r="F2" s="80"/>
      <x:c r="G2" s="80"/>
      <x:c r="H2" s="80"/>
    </x:row>
    <x:row r="3" ht="25" customHeight="1">
      <x:c r="A3" s="80"/>
      <x:c r="B3" s="80"/>
      <x:c r="C3" s="80"/>
      <x:c r="D3" s="80"/>
      <x:c r="E3" s="80"/>
      <x:c r="F3" s="80"/>
      <x:c r="G3" s="80"/>
      <x:c r="H3" s="80"/>
    </x:row>
    <x:row r="4">
      <x:c r="A4" s="70"/>
      <x:c r="B4" s="70"/>
      <x:c r="C4" s="70"/>
      <x:c r="D4" s="70"/>
      <x:c r="E4" s="70"/>
      <x:c r="F4" s="70"/>
      <x:c r="G4" s="70"/>
      <x:c r="H4" s="70"/>
    </x:row>
    <x:row r="5" ht="28" customHeight="1">
      <x:c r="A5" s="83" t="str">
        <x:v>课程／备考条目</x:v>
      </x:c>
      <x:c r="B5" s="83"/>
      <x:c r="C5" s="83" t="str">
        <x:v>学科分类</x:v>
      </x:c>
      <x:c r="D5" s="83"/>
      <x:c r="E5" s="83" t="str">
        <x:v>体系分组</x:v>
      </x:c>
      <x:c r="F5" s="83"/>
      <x:c r="G5" s="83" t="str">
        <x:v>新增课程条目</x:v>
      </x:c>
      <x:c r="H5" s="83"/>
    </x:row>
    <x:row r="6" ht="40" customHeight="1">
      <x:c r="A6" s="86" t="n">
        <x:f>COUNTA('02_课程'!A2:A520)</x:f>
        <x:v>519</x:v>
      </x:c>
      <x:c r="B6" s="86"/>
      <x:c r="C6" s="86" t="n">
        <x:f>COUNTA('01_学科'!A2:A40)</x:f>
        <x:v>39</x:v>
      </x:c>
      <x:c r="D6" s="86"/>
      <x:c r="E6" s="86" t="n">
        <x:f>COUNTA(A9:A32)</x:f>
        <x:v>24</x:v>
      </x:c>
      <x:c r="F6" s="86"/>
      <x:c r="G6" s="86" t="n">
        <x:f>A6-SUM(D9:D32)</x:f>
        <x:v>468</x:v>
      </x:c>
      <x:c r="H6" s="86"/>
    </x:row>
    <x:row r="7">
      <x:c r="A7" s="70"/>
      <x:c r="B7" s="70"/>
      <x:c r="C7" s="70"/>
      <x:c r="D7" s="70"/>
      <x:c r="E7" s="70"/>
      <x:c r="F7" s="70"/>
      <x:c r="G7" s="70"/>
      <x:c r="H7" s="70"/>
    </x:row>
    <x:row r="8" ht="36" customHeight="1">
      <x:c r="A8" s="76" t="str">
        <x:v>体系键</x:v>
      </x:c>
      <x:c r="B8" s="76" t="str">
        <x:v>课程族／机构</x:v>
      </x:c>
      <x:c r="C8" s="76" t="str">
        <x:v>地区</x:v>
      </x:c>
      <x:c r="D8" s="76" t="str">
        <x:v>原条目</x:v>
      </x:c>
      <x:c r="E8" s="76" t="str">
        <x:v>新增</x:v>
      </x:c>
      <x:c r="F8" s="76" t="str">
        <x:v>现条目</x:v>
      </x:c>
      <x:c r="G8" s="76" t="str">
        <x:v>本版覆盖／限制</x:v>
      </x:c>
      <x:c r="H8" s="76" t="str">
        <x:v>官方来源入口</x:v>
      </x:c>
    </x:row>
    <x:row r="9" ht="68" customHeight="1">
      <x:c r="A9" s="70" t="str">
        <x:v>PEARSON-IAL</x:v>
      </x:c>
      <x:c r="B9" s="70" t="str">
        <x:v>International AS / A Level</x:v>
      </x:c>
      <x:c r="C9" s="70" t="str">
        <x:v>国际版</x:v>
      </x:c>
      <x:c r="D9" s="73" t="n">
        <x:v>21</x:v>
      </x:c>
      <x:c r="E9" s="73" t="n">
        <x:f>F9-D9</x:f>
        <x:v>0</x:v>
      </x:c>
      <x:c r="F9" s="73" t="n">
        <x:f>COUNTIF('94_课程分类与版本'!$B$2:$B$520,A9)</x:f>
        <x:v>21</x:v>
      </x:c>
      <x:c r="G9" s="70" t="str">
        <x:v>保留原21课程及模块化资格示例；不是英国本土GCE。</x:v>
      </x:c>
      <x:c r="H9" s="70" t="str">
        <x:v>https://qualifications.pearson.com/content/dam/pdf/International%20Advanced%20Level/Accounting/2015/specification-and-sample-assessments/pearson-edexcel-ial-accounting-specification.pdf</x:v>
      </x:c>
    </x:row>
    <x:row r="10" ht="68" customHeight="1">
      <x:c r="A10" s="70" t="str">
        <x:v>CAIE-AL</x:v>
      </x:c>
      <x:c r="B10" s="70" t="str">
        <x:v>International AS / A Level</x:v>
      </x:c>
      <x:c r="C10" s="70" t="str">
        <x:v>国际版</x:v>
      </x:c>
      <x:c r="D10" s="73" t="n">
        <x:v>10</x:v>
      </x:c>
      <x:c r="E10" s="73" t="n">
        <x:f>F10-D10</x:f>
        <x:v>36</x:v>
      </x:c>
      <x:c r="F10" s="73" t="n">
        <x:f>COUNTIF('94_课程分类与版本'!$B$2:$B$520,A10)</x:f>
        <x:v>46</x:v>
      </x:c>
      <x:c r="G10" s="70" t="str">
        <x:v>46条含原10条；常用/目录核对的增补。官网NEW且考季未核者见96。</x:v>
      </x:c>
      <x:c r="H10" s="70" t="str">
        <x:v>https://www.cambridgeinternational.org/programmes-and-qualifications/cambridge-international-as-and-a-level-mathematics-9709/</x:v>
      </x:c>
    </x:row>
    <x:row r="11" ht="68" customHeight="1">
      <x:c r="A11" s="70" t="str">
        <x:v>OXFORD-AL</x:v>
      </x:c>
      <x:c r="B11" s="70" t="str">
        <x:v>International AS / A Level</x:v>
      </x:c>
      <x:c r="C11" s="70" t="str">
        <x:v>国际版</x:v>
      </x:c>
      <x:c r="D11" s="73" t="n">
        <x:v>4</x:v>
      </x:c>
      <x:c r="E11" s="73" t="n">
        <x:f>F11-D11</x:f>
        <x:v>9</x:v>
      </x:c>
      <x:c r="F11" s="73" t="n">
        <x:f>COUNTIF('94_课程分类与版本'!$B$2:$B$520,A11)</x:f>
        <x:v>13</x:v>
      </x:c>
      <x:c r="G11" s="70" t="str">
        <x:v>13条；新旧规范须按首教/首考年份确认，不代表新规范全部展开。</x:v>
      </x:c>
      <x:c r="H11" s="70" t="str">
        <x:v>https://www.oxfordaqa.com/qualifications/international-as-a-level-mathematics/</x:v>
      </x:c>
    </x:row>
    <x:row r="12" ht="68" customHeight="1">
      <x:c r="A12" s="70" t="str">
        <x:v>AQA-UK</x:v>
      </x:c>
      <x:c r="B12" s="70" t="str">
        <x:v>GCE A Level</x:v>
      </x:c>
      <x:c r="C12" s="70" t="str">
        <x:v>英格兰</x:v>
      </x:c>
      <x:c r="D12" s="73" t="n">
        <x:v>5</x:v>
      </x:c>
      <x:c r="E12" s="73" t="n">
        <x:f>F12-D12</x:f>
        <x:v>0</x:v>
      </x:c>
      <x:c r="F12" s="73" t="n">
        <x:f>COUNTIF('94_课程分类与版本'!$B$2:$B$520,A12)</x:f>
        <x:v>5</x:v>
      </x:c>
      <x:c r="G12" s="70" t="str">
        <x:v>原5条结构示例保留；其余学科待补。</x:v>
      </x:c>
      <x:c r="H12" s="70" t="str">
        <x:v>https://www.aqa.org.uk/subjects/mathematics/a-level/mathematics-7357/specification/specification-at-a-glance</x:v>
      </x:c>
    </x:row>
    <x:row r="13" ht="68" customHeight="1">
      <x:c r="A13" s="70" t="str">
        <x:v>PEARSON-UK</x:v>
      </x:c>
      <x:c r="B13" s="70" t="str">
        <x:v>GCE AS / A Level</x:v>
      </x:c>
      <x:c r="C13" s="70" t="str">
        <x:v>英格兰</x:v>
      </x:c>
      <x:c r="D13" s="73" t="n">
        <x:v>2</x:v>
      </x:c>
      <x:c r="E13" s="73" t="n">
        <x:f>F13-D13</x:f>
        <x:v>0</x:v>
      </x:c>
      <x:c r="F13" s="73" t="n">
        <x:f>COUNTIF('94_课程分类与版本'!$B$2:$B$520,A13)</x:f>
        <x:v>2</x:v>
      </x:c>
      <x:c r="G13" s="70" t="str">
        <x:v>原2条数学示例；其他UK科目待补。</x:v>
      </x:c>
      <x:c r="H13" s="70" t="str">
        <x:v>https://qualifications.pearson.com/content/dam/pdf/A%20Level/Mathematics/2017/specification-and-sample-assesment/a-level-l3-mathematics-specification-issue4.pdf</x:v>
      </x:c>
    </x:row>
    <x:row r="14" ht="68" customHeight="1">
      <x:c r="A14" s="70" t="str">
        <x:v>OCR-UK</x:v>
      </x:c>
      <x:c r="B14" s="70" t="str">
        <x:v>GCE AS / A Level</x:v>
      </x:c>
      <x:c r="C14" s="70" t="str">
        <x:v>英格兰</x:v>
      </x:c>
      <x:c r="D14" s="73" t="n">
        <x:v>4</x:v>
      </x:c>
      <x:c r="E14" s="73" t="n">
        <x:f>F14-D14</x:f>
        <x:v>0</x:v>
      </x:c>
      <x:c r="F14" s="73" t="n">
        <x:f>COUNTIF('94_课程分类与版本'!$B$2:$B$520,A14)</x:f>
        <x:v>4</x:v>
      </x:c>
      <x:c r="G14" s="70" t="str">
        <x:v>原4条Maths A/B AS/AL示例；不是全科目录。</x:v>
      </x:c>
      <x:c r="H14" s="70" t="str">
        <x:v>https://www.ocr.org.uk/qualifications/as-and-a-level/mathematics-a-h230-h240-from-2017/specification-at-a-glance/</x:v>
      </x:c>
    </x:row>
    <x:row r="15" ht="68" customHeight="1">
      <x:c r="A15" s="70" t="str">
        <x:v>WJEC-WALES</x:v>
      </x:c>
      <x:c r="B15" s="70" t="str">
        <x:v>GCE AS / A Level</x:v>
      </x:c>
      <x:c r="C15" s="70" t="str">
        <x:v>威尔士</x:v>
      </x:c>
      <x:c r="D15" s="73" t="n">
        <x:v>1</x:v>
      </x:c>
      <x:c r="E15" s="73" t="n">
        <x:f>F15-D15</x:f>
        <x:v>0</x:v>
      </x:c>
      <x:c r="F15" s="73" t="n">
        <x:f>COUNTIF('94_课程分类与版本'!$B$2:$B$520,A15)</x:f>
        <x:v>1</x:v>
      </x:c>
      <x:c r="G15" s="70" t="str">
        <x:v>原数学示例；独立于英格兰Eduqas。</x:v>
      </x:c>
      <x:c r="H15" s="70" t="str">
        <x:v>https://www.wjec.co.uk/media/lm3fegtu/wjec-gce-maths-spec-from-2017-e.pdf</x:v>
      </x:c>
    </x:row>
    <x:row r="16" ht="68" customHeight="1">
      <x:c r="A16" s="70" t="str">
        <x:v>CCEA-NI</x:v>
      </x:c>
      <x:c r="B16" s="70" t="str">
        <x:v>GCE AS / A Level</x:v>
      </x:c>
      <x:c r="C16" s="70" t="str">
        <x:v>北爱尔兰</x:v>
      </x:c>
      <x:c r="D16" s="73" t="n">
        <x:v>1</x:v>
      </x:c>
      <x:c r="E16" s="73" t="n">
        <x:f>F16-D16</x:f>
        <x:v>0</x:v>
      </x:c>
      <x:c r="F16" s="73" t="n">
        <x:f>COUNTIF('94_课程分类与版本'!$B$2:$B$520,A16)</x:f>
        <x:v>1</x:v>
      </x:c>
      <x:c r="G16" s="70" t="str">
        <x:v>原数学示例；原来源读取限制保留。</x:v>
      </x:c>
      <x:c r="H16" s="70" t="str">
        <x:v>https://www.studocu.com/en-gb/document/bangor-university/mathematics-1/specification/90410310</x:v>
      </x:c>
    </x:row>
    <x:row r="17" ht="68" customHeight="1">
      <x:c r="A17" s="70" t="str">
        <x:v>EDUQAS-UK</x:v>
      </x:c>
      <x:c r="B17" s="70" t="str">
        <x:v>GCE A Level</x:v>
      </x:c>
      <x:c r="C17" s="70" t="str">
        <x:v>英格兰</x:v>
      </x:c>
      <x:c r="D17" s="73" t="n">
        <x:v>2</x:v>
      </x:c>
      <x:c r="E17" s="73" t="n">
        <x:f>F17-D17</x:f>
        <x:v>0</x:v>
      </x:c>
      <x:c r="F17" s="73" t="n">
        <x:f>COUNTIF('94_课程分类与版本'!$B$2:$B$520,A17)</x:f>
        <x:v>2</x:v>
      </x:c>
      <x:c r="G17" s="70" t="str">
        <x:v>原Business/Computer Science示例；其他科目待补。</x:v>
      </x:c>
      <x:c r="H17" s="70" t="str">
        <x:v>https://www.eduqas.co.uk/qualifications/business-asa-level/</x:v>
      </x:c>
    </x:row>
    <x:row r="18" ht="68" customHeight="1">
      <x:c r="A18" s="70" t="str">
        <x:v>CAIE-IGCSE</x:v>
      </x:c>
      <x:c r="B18" s="70" t="str">
        <x:v>IGCSE</x:v>
      </x:c>
      <x:c r="C18" s="70" t="str">
        <x:v>国际版</x:v>
      </x:c>
      <x:c r="D18" s="73" t="n">
        <x:v>0</x:v>
      </x:c>
      <x:c r="E18" s="73" t="n">
        <x:f>F18-D18</x:f>
        <x:v>37</x:v>
      </x:c>
      <x:c r="F18" s="73" t="n">
        <x:f>COUNTIF('94_课程分类与版本'!$B$2:$B$520,A18)</x:f>
        <x:v>37</x:v>
      </x:c>
      <x:c r="G18" s="70" t="str">
        <x:v>37条常用科目；不含全部Cambridge或其他机构的IGCSE/GCSE。</x:v>
      </x:c>
      <x:c r="H18" s="70" t="str">
        <x:v>https://www.cambridgeinternational.org/programmes-and-qualifications/cambridge-upper-secondary/cambridge-igcse/subjects/</x:v>
      </x:c>
    </x:row>
    <x:row r="19" ht="68" customHeight="1">
      <x:c r="A19" s="70" t="str">
        <x:v>IB-DP</x:v>
      </x:c>
      <x:c r="B19" s="70" t="str">
        <x:v>IB Diploma Programme</x:v>
      </x:c>
      <x:c r="C19" s="70" t="str">
        <x:v>国际</x:v>
      </x:c>
      <x:c r="D19" s="73" t="n">
        <x:v>0</x:v>
      </x:c>
      <x:c r="E19" s="73" t="n">
        <x:f>F19-D19</x:f>
        <x:v>119</x:v>
      </x:c>
      <x:c r="F19" s="73" t="n">
        <x:f>COUNTIF('94_课程分类与版本'!$B$2:$B$520,A19)</x:f>
        <x:v>119</x:v>
      </x:c>
      <x:c r="G19" s="70" t="str">
        <x:v>119条含SL/HL、语言变体、HL历史区域及TOK/EE/CAS；不是119个独立学科。</x:v>
      </x:c>
      <x:c r="H19" s="70" t="str">
        <x:v>https://ibo.org/globalassets/new-structure/programmes/dp/pdfs/all-dp-subjects-list-en.pdf</x:v>
      </x:c>
    </x:row>
    <x:row r="20" ht="68" customHeight="1">
      <x:c r="A20" s="70" t="str">
        <x:v>AP</x:v>
      </x:c>
      <x:c r="B20" s="70" t="str">
        <x:v>Advanced Placement</x:v>
      </x:c>
      <x:c r="C20" s="70" t="str">
        <x:v>美国／国际</x:v>
      </x:c>
      <x:c r="D20" s="73" t="n">
        <x:v>0</x:v>
      </x:c>
      <x:c r="E20" s="73" t="n">
        <x:f>F20-D20</x:f>
        <x:v>42</x:v>
      </x:c>
      <x:c r="F20" s="73" t="n">
        <x:f>COUNTIF('94_课程分类与版本'!$B$2:$B$520,A20)</x:f>
        <x:v>42</x:v>
      </x:c>
      <x:c r="G20" s="70" t="str">
        <x:v>42条含2026–27新增课程；Networking试点/未来开设另列96。</x:v>
      </x:c>
      <x:c r="H20" s="70" t="str">
        <x:v>https://apcentral.collegeboard.org/courses</x:v>
      </x:c>
    </x:row>
    <x:row r="21" ht="68" customHeight="1">
      <x:c r="A21" s="70" t="str">
        <x:v>SG-AL</x:v>
      </x:c>
      <x:c r="B21" s="70" t="str">
        <x:v>Singapore-Cambridge GCE A-Level</x:v>
      </x:c>
      <x:c r="C21" s="70" t="str">
        <x:v>新加坡</x:v>
      </x:c>
      <x:c r="D21" s="73" t="n">
        <x:v>0</x:v>
      </x:c>
      <x:c r="E21" s="73" t="n">
        <x:f>F21-D21</x:f>
        <x:v>65</x:v>
      </x:c>
      <x:c r="F21" s="73" t="n">
        <x:f>COUNTIF('94_课程分类与版本'!$B$2:$B$520,A21)</x:f>
        <x:v>65</x:v>
      </x:c>
      <x:c r="G21" s="70" t="str">
        <x:v>65条含H1/H2/H3及本地项目；旧码末考与同码换版分开，O/N/SEC另待补。</x:v>
      </x:c>
      <x:c r="H21" s="70" t="str">
        <x:v>https://www.seab.gov.sg/gce-a-level/a-level-syllabuses-examined-for-school-candidates-2026/</x:v>
      </x:c>
    </x:row>
    <x:row r="22" ht="68" customHeight="1">
      <x:c r="A22" s="70" t="str">
        <x:v>HKDSE-A</x:v>
      </x:c>
      <x:c r="B22" s="70" t="str">
        <x:v>HKDSE Category A</x:v>
      </x:c>
      <x:c r="C22" s="70" t="str">
        <x:v>香港</x:v>
      </x:c>
      <x:c r="D22" s="73" t="n">
        <x:v>0</x:v>
      </x:c>
      <x:c r="E22" s="73" t="n">
        <x:f>F22-D22</x:f>
        <x:v>23</x:v>
      </x:c>
      <x:c r="F22" s="73" t="n">
        <x:f>COUNTIF('94_课程分类与版本'!$B$2:$B$520,A22)</x:f>
        <x:v>23</x:v>
      </x:c>
      <x:c r="G22" s="70" t="str">
        <x:v>23条Category A；数学附M1/M2教学关联。未展开每科SBA/试卷。</x:v>
      </x:c>
      <x:c r="H22" s="70" t="str">
        <x:v>https://www.hkeaa.edu.hk/en/hkdse/assessment/subject_information/category_a_subjects/</x:v>
      </x:c>
    </x:row>
    <x:row r="23" ht="68" customHeight="1">
      <x:c r="A23" s="70" t="str">
        <x:v>HKDSE-C</x:v>
      </x:c>
      <x:c r="B23" s="70" t="str">
        <x:v>HKDSE Category C</x:v>
      </x:c>
      <x:c r="C23" s="70" t="str">
        <x:v>香港</x:v>
      </x:c>
      <x:c r="D23" s="73" t="n">
        <x:v>0</x:v>
      </x:c>
      <x:c r="E23" s="73" t="n">
        <x:f>F23-D23</x:f>
        <x:v>6</x:v>
      </x:c>
      <x:c r="F23" s="73" t="n">
        <x:f>COUNTIF('94_课程分类与版本'!$B$2:$B$520,A23)</x:f>
        <x:v>6</x:v>
      </x:c>
      <x:c r="G23" s="70" t="str">
        <x:v>6条含2026 Urdu；2028 Hindi仅列96；指定外语考试与等级映射待补。</x:v>
      </x:c>
      <x:c r="H23" s="70" t="str">
        <x:v>https://www.hkeaa.edu.hk/en/hkdse/assessment/subject_information/category_c_subjects/</x:v>
      </x:c>
    </x:row>
    <x:row r="24" ht="68" customHeight="1">
      <x:c r="A24" s="70" t="str">
        <x:v>CA-BC</x:v>
      </x:c>
      <x:c r="B24" s="70" t="str">
        <x:v>BC Graduation Programme</x:v>
      </x:c>
      <x:c r="C24" s="70" t="str">
        <x:v>加拿大／不列颠哥伦比亚</x:v>
      </x:c>
      <x:c r="D24" s="73" t="n">
        <x:v>0</x:v>
      </x:c>
      <x:c r="E24" s="73" t="n">
        <x:f>F24-D24</x:f>
        <x:v>20</x:v>
      </x:c>
      <x:c r="F24" s="73" t="n">
        <x:f>COUNTIF('94_课程分类与版本'!$B$2:$B$520,A24)</x:f>
        <x:v>20</x:v>
      </x:c>
      <x:c r="G24" s="70" t="str">
        <x:v>20条Grade 12数学/科学/英语选择；不是全部BC毕业课程。</x:v>
      </x:c>
      <x:c r="H24" s="70" t="str">
        <x:v>https://curriculum.gov.bc.ca/curriculum/science/12/courses</x:v>
      </x:c>
    </x:row>
    <x:row r="25" ht="68" customHeight="1">
      <x:c r="A25" s="70" t="str">
        <x:v>CA-ON</x:v>
      </x:c>
      <x:c r="B25" s="70" t="str">
        <x:v>OSSD</x:v>
      </x:c>
      <x:c r="C25" s="70" t="str">
        <x:v>加拿大／安大略</x:v>
      </x:c>
      <x:c r="D25" s="73" t="n">
        <x:v>0</x:v>
      </x:c>
      <x:c r="E25" s="73" t="n">
        <x:f>F25-D25</x:f>
        <x:v>4</x:v>
      </x:c>
      <x:c r="F25" s="73" t="n">
        <x:f>COUNTIF('94_课程分类与版本'!$B$2:$B$520,A25)</x:f>
        <x:v>4</x:v>
      </x:c>
      <x:c r="G25" s="70" t="str">
        <x:v>4条Grade 12英语/数学例示；OSSD毕业与其余科目未展开。</x:v>
      </x:c>
      <x:c r="H25" s="70" t="str">
        <x:v>https://www.dcp.edu.gov.on.ca/en/curriculum/secondary-english/courses-list</x:v>
      </x:c>
    </x:row>
    <x:row r="26" ht="68" customHeight="1">
      <x:c r="A26" s="70" t="str">
        <x:v>AU-VCE</x:v>
      </x:c>
      <x:c r="B26" s="70" t="str">
        <x:v>VCE</x:v>
      </x:c>
      <x:c r="C26" s="70" t="str">
        <x:v>澳大利亚／维多利亚</x:v>
      </x:c>
      <x:c r="D26" s="73" t="n">
        <x:v>0</x:v>
      </x:c>
      <x:c r="E26" s="73" t="n">
        <x:f>F26-D26</x:f>
        <x:v>38</x:v>
      </x:c>
      <x:c r="F26" s="73" t="n">
        <x:f>COUNTIF('94_课程分类与版本'!$B$2:$B$520,A26)</x:f>
        <x:v>38</x:v>
      </x:c>
      <x:c r="G26" s="70" t="str">
        <x:v>38个study层级条目；Units 1–4、SAC/SAT等未逐项展开。</x:v>
      </x:c>
      <x:c r="H26" s="70" t="str">
        <x:v>https://www.vcaa.vic.edu.au/curriculum/vce-curriculum/vce-study-designs/vce-study-designs</x:v>
      </x:c>
    </x:row>
    <x:row r="27" ht="68" customHeight="1">
      <x:c r="A27" s="70" t="str">
        <x:v>AU-HSC</x:v>
      </x:c>
      <x:c r="B27" s="70" t="str">
        <x:v>HSC</x:v>
      </x:c>
      <x:c r="C27" s="70" t="str">
        <x:v>澳大利亚／新南威尔士</x:v>
      </x:c>
      <x:c r="D27" s="73" t="n">
        <x:v>0</x:v>
      </x:c>
      <x:c r="E27" s="73" t="n">
        <x:f>F27-D27</x:f>
        <x:v>20</x:v>
      </x:c>
      <x:c r="F27" s="73" t="n">
        <x:f>COUNTIF('94_课程分类与版本'!$B$2:$B$520,A27)</x:f>
        <x:v>20</x:v>
      </x:c>
      <x:c r="G27" s="70" t="str">
        <x:v>20条主要课程；新旧大纲需按年级和考季选，不自动生成ATAR。</x:v>
      </x:c>
      <x:c r="H27" s="70" t="str">
        <x:v>https://curriculum.nsw.edu.au/stages/senior</x:v>
      </x:c>
    </x:row>
    <x:row r="28" ht="68" customHeight="1">
      <x:c r="A28" s="70" t="str">
        <x:v>IN-CBSE</x:v>
      </x:c>
      <x:c r="B28" s="70" t="str">
        <x:v>CBSE Senior Secondary</x:v>
      </x:c>
      <x:c r="C28" s="70" t="str">
        <x:v>印度／海外CBSE学校</x:v>
      </x:c>
      <x:c r="D28" s="73" t="n">
        <x:v>0</x:v>
      </x:c>
      <x:c r="E28" s="73" t="n">
        <x:f>F28-D28</x:f>
        <x:v>26</x:v>
      </x:c>
      <x:c r="F28" s="73" t="n">
        <x:f>COUNTIF('94_课程分类与版本'!$B$2:$B$520,A28)</x:f>
        <x:v>26</x:v>
      </x:c>
      <x:c r="G28" s="70" t="str">
        <x:v>26条XI–XII目录；未展开全部语言、职业技能和实践考核。</x:v>
      </x:c>
      <x:c r="H28" s="70" t="str">
        <x:v>https://cbseacademic.nic.in/curriculum_2027.html</x:v>
      </x:c>
    </x:row>
    <x:row r="29" ht="68" customHeight="1">
      <x:c r="A29" s="70" t="str">
        <x:v>US-TEST</x:v>
      </x:c>
      <x:c r="B29" s="70" t="str">
        <x:v>Undergraduate Admissions Tests</x:v>
      </x:c>
      <x:c r="C29" s="70" t="str">
        <x:v>美国／国际</x:v>
      </x:c>
      <x:c r="D29" s="73" t="n">
        <x:v>0</x:v>
      </x:c>
      <x:c r="E29" s="73" t="n">
        <x:f>F29-D29</x:f>
        <x:v>2</x:v>
      </x:c>
      <x:c r="F29" s="73" t="n">
        <x:f>COUNTIF('94_课程分类与版本'!$B$2:$B$520,A29)</x:f>
        <x:v>2</x:v>
      </x:c>
      <x:c r="G29" s="70" t="str">
        <x:v>SAT、ACT备考。不是美国高中毕业体系；正式考试成绩独立。</x:v>
      </x:c>
      <x:c r="H29" s="70" t="str">
        <x:v>https://satsuite.collegeboard.org/sat/whats-on-the-test/structure</x:v>
      </x:c>
    </x:row>
    <x:row r="30" ht="68" customHeight="1">
      <x:c r="A30" s="70" t="str">
        <x:v>ENGLISH-TEST</x:v>
      </x:c>
      <x:c r="B30" s="70" t="str">
        <x:v>English Language Proficiency Tests</x:v>
      </x:c>
      <x:c r="C30" s="70" t="str">
        <x:v>国际</x:v>
      </x:c>
      <x:c r="D30" s="73" t="n">
        <x:v>0</x:v>
      </x:c>
      <x:c r="E30" s="73" t="n">
        <x:f>F30-D30</x:f>
        <x:v>15</x:v>
      </x:c>
      <x:c r="F30" s="73" t="n">
        <x:f>COUNTIF('94_课程分类与版本'!$B$2:$B$520,A30)</x:f>
        <x:v>15</x:v>
      </x:c>
      <x:c r="G30" s="70" t="str">
        <x:v>15个英语考试产品/版本备考；考试用途与目标校接受条件分别核对。</x:v>
      </x:c>
      <x:c r="H30" s="70" t="str">
        <x:v>https://ielts.org/take-a-test/test-types/ielts-academic-test</x:v>
      </x:c>
    </x:row>
    <x:row r="31" ht="68" customHeight="1">
      <x:c r="A31" s="70" t="str">
        <x:v>SCHOOL</x:v>
      </x:c>
      <x:c r="B31" s="70" t="str">
        <x:v>校本课程</x:v>
      </x:c>
      <x:c r="C31" s="70" t="str">
        <x:v>学校</x:v>
      </x:c>
      <x:c r="D31" s="73" t="n">
        <x:v>1</x:v>
      </x:c>
      <x:c r="E31" s="73" t="n">
        <x:f>F31-D31</x:f>
        <x:v>0</x:v>
      </x:c>
      <x:c r="F31" s="73" t="n">
        <x:f>COUNTIF('94_课程分类与版本'!$B$2:$B$520,A31)</x:f>
        <x:v>1</x:v>
      </x:c>
      <x:c r="G31" s="70" t="str">
        <x:v>原校本数学衔接课程；非考试局资格。</x:v>
      </x:c>
      <x:c r="H31" s="70" t="str">
        <x:v>校内示例，无外部官方网址</x:v>
      </x:c>
    </x:row>
    <x:row r="32" ht="68" customHeight="1">
      <x:c r="A32" s="70" t="str">
        <x:v>UK-TEST</x:v>
      </x:c>
      <x:c r="B32" s="70" t="str">
        <x:v>UK Undergraduate Admissions Tests</x:v>
      </x:c>
      <x:c r="C32" s="70" t="str">
        <x:v>英国／国际</x:v>
      </x:c>
      <x:c r="D32" s="73" t="n">
        <x:v>0</x:v>
      </x:c>
      <x:c r="E32" s="73" t="n">
        <x:f>F32-D32</x:f>
        <x:v>6</x:v>
      </x:c>
      <x:c r="F32" s="73" t="n">
        <x:f>COUNTIF('94_课程分类与版本'!$B$2:$B$520,A32)</x:f>
        <x:v>6</x:v>
      </x:c>
      <x:c r="G32" s="70" t="str">
        <x:v>ESAT/TMUA/TARA/UCAT/LNAT/STEP六种备考目录；要求以目标校为准。</x:v>
      </x:c>
      <x:c r="H32" s="70" t="str">
        <x:v>https://esat-tmua.ac.uk/</x:v>
      </x:c>
    </x:row>
  </x:sheetData>
  <x:mergeCells>
    <x:mergeCell ref="A1:H1"/>
    <x:mergeCell ref="A2:H3"/>
    <x:mergeCell ref="A5:B5"/>
    <x:mergeCell ref="C5:D5"/>
    <x:mergeCell ref="E5:F5"/>
    <x:mergeCell ref="G5:H5"/>
    <x:mergeCell ref="A6:B6"/>
    <x:mergeCell ref="C6:D6"/>
    <x:mergeCell ref="E6:F6"/>
    <x:mergeCell ref="G6:H6"/>
  </x:mergeCells>
  <x:pageMargins left="0.7" right="0.7" top="0.75" bottom="0.75" header="0.3" footer="0.3"/>
  <x:tableParts count="1">
    <x:tablePart xmlns:r="http://schemas.openxmlformats.org/officeDocument/2006/relationships" r:id="R6be56c971d32450c"/>
  </x:tableParts>
</x:worksheet>
</file>